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10.79.26.240\80_個人フォルダ\chiba_千葉\CDCreator\久富さん用\"/>
    </mc:Choice>
  </mc:AlternateContent>
  <xr:revisionPtr revIDLastSave="0" documentId="13_ncr:1_{0234B0E9-8202-49BF-998D-D3BD8409598A}" xr6:coauthVersionLast="47" xr6:coauthVersionMax="47" xr10:uidLastSave="{00000000-0000-0000-0000-000000000000}"/>
  <bookViews>
    <workbookView xWindow="-110" yWindow="-110" windowWidth="19420" windowHeight="10300" tabRatio="714" activeTab="2" xr2:uid="{F455390C-1B4C-4FA6-B42C-1B0CF4EF47A4}"/>
  </bookViews>
  <sheets>
    <sheet name="工事情報入力シート_FS" sheetId="30" r:id="rId1"/>
    <sheet name="旧雛形" sheetId="31" r:id="rId2"/>
    <sheet name="雛型" sheetId="18" r:id="rId3"/>
    <sheet name="アラームリスト" sheetId="9" r:id="rId4"/>
    <sheet name="手順書パーツ" sheetId="20" r:id="rId5"/>
    <sheet name="ユニット構成" sheetId="29" r:id="rId6"/>
    <sheet name="SCCE" sheetId="28" r:id="rId7"/>
    <sheet name="SBC" sheetId="27" r:id="rId8"/>
    <sheet name="RAID" sheetId="26" r:id="rId9"/>
    <sheet name="MSW" sheetId="25" r:id="rId10"/>
    <sheet name="HSS" sheetId="24" r:id="rId11"/>
    <sheet name="HFS" sheetId="23" r:id="rId12"/>
    <sheet name="GUI" sheetId="22" r:id="rId13"/>
    <sheet name="FS" sheetId="21" r:id="rId14"/>
    <sheet name="プロンプト" sheetId="32" r:id="rId15"/>
    <sheet name="Log" sheetId="33" r:id="rId16"/>
    <sheet name="command_template" sheetId="34" r:id="rId17"/>
    <sheet name="application" sheetId="35" r:id="rId18"/>
  </sheets>
  <functionGroups builtInGroupCount="19"/>
  <externalReferences>
    <externalReference r:id="rId19"/>
    <externalReference r:id="rId20"/>
    <externalReference r:id="rId21"/>
    <externalReference r:id="rId22"/>
  </externalReferences>
  <definedNames>
    <definedName name="_xlnm._FilterDatabase" localSheetId="17" hidden="1">application!$A$1:$C$73</definedName>
    <definedName name="_xlnm._FilterDatabase" localSheetId="3" hidden="1">アラームリスト!$A$3:$F$186</definedName>
    <definedName name="_xlnm._FilterDatabase" localSheetId="1" hidden="1">旧雛形!#REF!</definedName>
    <definedName name="_xlnm._FilterDatabase" localSheetId="4" hidden="1">手順書パーツ!#REF!</definedName>
    <definedName name="_xlnm._FilterDatabase" localSheetId="2" hidden="1">雛型!#REF!</definedName>
    <definedName name="_Order1" hidden="1">255</definedName>
    <definedName name="_Order2" hidden="1">255</definedName>
    <definedName name="_Ref124865596" localSheetId="1">旧雛形!#REF!</definedName>
    <definedName name="_Ref124865596" localSheetId="4">手順書パーツ!#REF!</definedName>
    <definedName name="_Ref124865596" localSheetId="2">雛型!#REF!</definedName>
    <definedName name="_Sort" localSheetId="0" hidden="1">#REF!</definedName>
    <definedName name="_Sort" hidden="1">#REF!</definedName>
    <definedName name="_xlpm.Path" hidden="1" xlm="1">#NAME?</definedName>
    <definedName name="bbbb" localSheetId="0" hidden="1">#REF!</definedName>
    <definedName name="bbbb" hidden="1">#REF!</definedName>
    <definedName name="ExternalData_1" localSheetId="13" hidden="1">FS!$A$1:$M$96</definedName>
    <definedName name="ExternalData_2" localSheetId="12" hidden="1">GUI!$A$1:$L$60</definedName>
    <definedName name="ExternalData_3" localSheetId="11" hidden="1">HFS!$A$1:$J$24</definedName>
    <definedName name="ExternalData_4" localSheetId="10" hidden="1">HSS!$A$1:$K$122</definedName>
    <definedName name="ExternalData_5" localSheetId="9" hidden="1">MSW!$A$1:$E$60</definedName>
    <definedName name="ExternalData_6" localSheetId="8" hidden="1">'RAID'!$A$1:$F$96</definedName>
    <definedName name="ExternalData_7" localSheetId="7" hidden="1">SBC!$A$1:$AE$362</definedName>
    <definedName name="ExternalData_8" localSheetId="6" hidden="1">SCCE!$A$1:$Q$26</definedName>
    <definedName name="ExternalData_9" localSheetId="5" hidden="1">ユニット構成!$A$1:$BH$48</definedName>
    <definedName name="host1" localSheetId="0">#REF!</definedName>
    <definedName name="host1">#REF!</definedName>
    <definedName name="host2" localSheetId="0">#REF!</definedName>
    <definedName name="host2">#REF!</definedName>
    <definedName name="hostname" localSheetId="0">#REF!</definedName>
    <definedName name="hostname">#REF!</definedName>
    <definedName name="hostname_両系">#REF!</definedName>
    <definedName name="hostname2">#REF!</definedName>
    <definedName name="IPアドレス">#REF!</definedName>
    <definedName name="IPアドレス2">#REF!</definedName>
    <definedName name="LB_name1">#REF!</definedName>
    <definedName name="LB_name2">#REF!</definedName>
    <definedName name="LBIPアドレス1">#REF!</definedName>
    <definedName name="LBIPアドレス2">#REF!</definedName>
    <definedName name="LB番号1">#REF!</definedName>
    <definedName name="LB番号2">#REF!</definedName>
    <definedName name="LB名1">#REF!</definedName>
    <definedName name="LB名2">#REF!</definedName>
    <definedName name="LB和名1">#REF!</definedName>
    <definedName name="LB和名2">#REF!</definedName>
    <definedName name="_xlnm.Print_Area" localSheetId="16">command_template!$A$1:$AA$5486</definedName>
    <definedName name="サーバ名">#REF!</definedName>
    <definedName name="サーバ名和名">#REF!</definedName>
    <definedName name="サーバ名和名2">#REF!</definedName>
    <definedName name="プロンプトリスト">プロンプト!$A$2:$A$1048576</definedName>
    <definedName name="ホスト名">#REF!</definedName>
    <definedName name="ホスト名2">#REF!</definedName>
    <definedName name="関西１_FSリスト">#REF!</definedName>
    <definedName name="関西２_FSリスト">#REF!</definedName>
    <definedName name="九州_FSリスト">#REF!</definedName>
    <definedName name="検証C_FSリスト">#REF!</definedName>
    <definedName name="検証M_FSリスト">#REF!</definedName>
    <definedName name="工事ブロック_FS" localSheetId="16">_xlfn._xlws.FILTER([1]ユニット構成!$A$2:$A$46, [1]ユニット構成!$B$2:$B$46=[2]工事情報入力シート_FS!$B$4)</definedName>
    <definedName name="工事ブロック_FS" localSheetId="14">_xlfn._xlws.FILTER(#REF!,#REF!= [3]工事情報入力シート_FS!$B$4)</definedName>
    <definedName name="工事ブロック_FS">_xlfn._xlws.FILTER(ユニット構成!$A$2:$A$48, ユニット構成!$B$2:$B$48=工事情報入力シート_FS!$B$4)</definedName>
    <definedName name="中国・四国_FSリスト">#REF!</definedName>
    <definedName name="東海_FSリスト">#REF!</definedName>
    <definedName name="番号1" localSheetId="0">#REF!</definedName>
    <definedName name="番号1">#REF!</definedName>
    <definedName name="番号2" localSheetId="0">#REF!</definedName>
    <definedName name="番号2">#REF!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3" i="35" l="1"/>
  <c r="B72" i="35"/>
  <c r="B71" i="35"/>
  <c r="B70" i="35"/>
  <c r="B69" i="35"/>
  <c r="B68" i="35"/>
  <c r="B67" i="35"/>
  <c r="B66" i="35"/>
  <c r="B65" i="35"/>
  <c r="B64" i="35"/>
  <c r="B63" i="35"/>
  <c r="B62" i="35"/>
  <c r="B61" i="35"/>
  <c r="B60" i="35"/>
  <c r="B59" i="35"/>
  <c r="B58" i="35"/>
  <c r="B57" i="35"/>
  <c r="B56" i="35"/>
  <c r="B55" i="35"/>
  <c r="B54" i="35"/>
  <c r="B53" i="35"/>
  <c r="B52" i="35"/>
  <c r="B51" i="35"/>
  <c r="B50" i="35"/>
  <c r="B49" i="35"/>
  <c r="B48" i="35"/>
  <c r="B47" i="35"/>
  <c r="C46" i="35"/>
  <c r="B46" i="35"/>
  <c r="B45" i="35"/>
  <c r="B44" i="35"/>
  <c r="M45" i="18"/>
  <c r="M44" i="18"/>
  <c r="M31" i="18"/>
  <c r="M32" i="18"/>
  <c r="L42" i="31"/>
  <c r="L41" i="31"/>
  <c r="L31" i="31"/>
  <c r="L30" i="31"/>
  <c r="A1" i="31" a="1"/>
  <c r="A1" i="31" s="1"/>
  <c r="D135" i="30"/>
  <c r="C135" i="30"/>
  <c r="C136" i="30" s="1"/>
  <c r="C145" i="30" s="1"/>
  <c r="D136" i="30"/>
  <c r="D145" i="30" s="1"/>
  <c r="D119" i="30"/>
  <c r="D120" i="30"/>
  <c r="D132" i="30" s="1"/>
  <c r="C119" i="30"/>
  <c r="C120" i="30"/>
  <c r="C132" i="30" s="1"/>
  <c r="N165" i="30"/>
  <c r="M165" i="30"/>
  <c r="L165" i="30"/>
  <c r="K165" i="30"/>
  <c r="J165" i="30"/>
  <c r="I165" i="30"/>
  <c r="H165" i="30"/>
  <c r="G165" i="30"/>
  <c r="F165" i="30"/>
  <c r="E165" i="30"/>
  <c r="D165" i="30"/>
  <c r="C165" i="30"/>
  <c r="N149" i="30"/>
  <c r="M149" i="30"/>
  <c r="L149" i="30"/>
  <c r="K149" i="30"/>
  <c r="J149" i="30"/>
  <c r="I149" i="30"/>
  <c r="H149" i="30"/>
  <c r="G149" i="30"/>
  <c r="F149" i="30"/>
  <c r="E149" i="30"/>
  <c r="D149" i="30"/>
  <c r="C149" i="30"/>
  <c r="H3" i="30" a="1"/>
  <c r="H3" i="30" s="1"/>
  <c r="D212" i="30"/>
  <c r="D213" i="30" s="1"/>
  <c r="C212" i="30"/>
  <c r="C213" i="30" s="1"/>
  <c r="F206" i="30"/>
  <c r="F208" i="30" s="1"/>
  <c r="E206" i="30"/>
  <c r="E208" i="30" s="1"/>
  <c r="D206" i="30"/>
  <c r="D208" i="30" s="1"/>
  <c r="C206" i="30"/>
  <c r="C208" i="30" s="1"/>
  <c r="F200" i="30"/>
  <c r="F202" i="30" s="1"/>
  <c r="E200" i="30"/>
  <c r="E202" i="30" s="1"/>
  <c r="D200" i="30"/>
  <c r="D202" i="30" s="1"/>
  <c r="C200" i="30"/>
  <c r="C202" i="30" s="1"/>
  <c r="H194" i="30"/>
  <c r="H196" i="30" s="1"/>
  <c r="G194" i="30"/>
  <c r="G196" i="30" s="1"/>
  <c r="F194" i="30"/>
  <c r="F195" i="30" s="1"/>
  <c r="E194" i="30"/>
  <c r="E195" i="30" s="1"/>
  <c r="D194" i="30"/>
  <c r="D195" i="30" s="1"/>
  <c r="C194" i="30"/>
  <c r="C196" i="30" s="1"/>
  <c r="D186" i="30"/>
  <c r="D189" i="30" s="1"/>
  <c r="C186" i="30"/>
  <c r="C189" i="30" s="1"/>
  <c r="D178" i="30"/>
  <c r="D182" i="30" s="1"/>
  <c r="C178" i="30"/>
  <c r="C180" i="30" s="1"/>
  <c r="D107" i="30"/>
  <c r="D113" i="30" s="1"/>
  <c r="C107" i="30"/>
  <c r="C113" i="30" s="1"/>
  <c r="D91" i="30"/>
  <c r="D98" i="30" s="1"/>
  <c r="C91" i="30"/>
  <c r="C98" i="30" s="1"/>
  <c r="D83" i="30"/>
  <c r="D84" i="30" s="1"/>
  <c r="C83" i="30"/>
  <c r="C84" i="30" s="1"/>
  <c r="D75" i="30"/>
  <c r="D79" i="30" s="1"/>
  <c r="C75" i="30"/>
  <c r="C77" i="30" s="1"/>
  <c r="D64" i="30"/>
  <c r="D68" i="30" s="1"/>
  <c r="C64" i="30"/>
  <c r="C68" i="30" s="1"/>
  <c r="B60" i="30"/>
  <c r="F60" i="30" s="1"/>
  <c r="L78" i="20"/>
  <c r="L67" i="20"/>
  <c r="L66" i="20"/>
  <c r="L56" i="20"/>
  <c r="L55" i="20"/>
  <c r="L46" i="20"/>
  <c r="L37" i="20"/>
  <c r="L31" i="20"/>
  <c r="L30" i="20"/>
  <c r="A1" i="9" a="1"/>
  <c r="A1" i="9" s="1"/>
  <c r="A1" i="18" a="1"/>
  <c r="A1" i="18" s="1"/>
  <c r="A1" i="20" a="1"/>
  <c r="A1" i="20" s="1"/>
  <c r="G174" i="30" l="1"/>
  <c r="G173" i="30"/>
  <c r="G172" i="30"/>
  <c r="G171" i="30"/>
  <c r="G166" i="30"/>
  <c r="G170" i="30"/>
  <c r="G169" i="30"/>
  <c r="G168" i="30"/>
  <c r="G167" i="30"/>
  <c r="G158" i="30"/>
  <c r="G157" i="30"/>
  <c r="G156" i="30"/>
  <c r="G152" i="30"/>
  <c r="G151" i="30"/>
  <c r="G150" i="30"/>
  <c r="G161" i="30"/>
  <c r="G160" i="30"/>
  <c r="G159" i="30"/>
  <c r="G155" i="30"/>
  <c r="G154" i="30"/>
  <c r="G153" i="30"/>
  <c r="C171" i="30"/>
  <c r="C172" i="30"/>
  <c r="C166" i="30"/>
  <c r="C167" i="30"/>
  <c r="C173" i="30"/>
  <c r="C168" i="30"/>
  <c r="C174" i="30"/>
  <c r="C169" i="30"/>
  <c r="C170" i="30"/>
  <c r="C150" i="30"/>
  <c r="C156" i="30"/>
  <c r="C151" i="30"/>
  <c r="C157" i="30"/>
  <c r="C155" i="30"/>
  <c r="C154" i="30"/>
  <c r="C160" i="30"/>
  <c r="C161" i="30"/>
  <c r="C152" i="30"/>
  <c r="C158" i="30"/>
  <c r="C153" i="30"/>
  <c r="C159" i="30"/>
  <c r="D150" i="30"/>
  <c r="D151" i="30"/>
  <c r="D152" i="30"/>
  <c r="D153" i="30"/>
  <c r="D154" i="30"/>
  <c r="D155" i="30"/>
  <c r="D156" i="30"/>
  <c r="D157" i="30"/>
  <c r="D158" i="30"/>
  <c r="D159" i="30"/>
  <c r="D160" i="30"/>
  <c r="D161" i="30"/>
  <c r="D166" i="30"/>
  <c r="D167" i="30"/>
  <c r="D168" i="30"/>
  <c r="D169" i="30"/>
  <c r="D170" i="30"/>
  <c r="D171" i="30"/>
  <c r="D172" i="30"/>
  <c r="D173" i="30"/>
  <c r="D174" i="30"/>
  <c r="E150" i="30"/>
  <c r="E151" i="30"/>
  <c r="E152" i="30"/>
  <c r="E153" i="30"/>
  <c r="E154" i="30"/>
  <c r="E155" i="30"/>
  <c r="E156" i="30"/>
  <c r="E157" i="30"/>
  <c r="E158" i="30"/>
  <c r="E159" i="30"/>
  <c r="E160" i="30"/>
  <c r="E161" i="30"/>
  <c r="E166" i="30"/>
  <c r="E167" i="30"/>
  <c r="E168" i="30"/>
  <c r="E169" i="30"/>
  <c r="E170" i="30"/>
  <c r="E171" i="30"/>
  <c r="E172" i="30"/>
  <c r="E173" i="30"/>
  <c r="E174" i="30"/>
  <c r="F150" i="30"/>
  <c r="F151" i="30"/>
  <c r="F152" i="30"/>
  <c r="F153" i="30"/>
  <c r="F154" i="30"/>
  <c r="F155" i="30"/>
  <c r="F156" i="30"/>
  <c r="F157" i="30"/>
  <c r="F158" i="30"/>
  <c r="F159" i="30"/>
  <c r="F160" i="30"/>
  <c r="F161" i="30"/>
  <c r="F166" i="30"/>
  <c r="F167" i="30"/>
  <c r="F168" i="30"/>
  <c r="F169" i="30"/>
  <c r="F170" i="30"/>
  <c r="F171" i="30"/>
  <c r="F172" i="30"/>
  <c r="F173" i="30"/>
  <c r="F174" i="30"/>
  <c r="H150" i="30"/>
  <c r="H151" i="30"/>
  <c r="H152" i="30"/>
  <c r="H153" i="30"/>
  <c r="H154" i="30"/>
  <c r="H155" i="30"/>
  <c r="H156" i="30"/>
  <c r="H157" i="30"/>
  <c r="H158" i="30"/>
  <c r="H159" i="30"/>
  <c r="H160" i="30"/>
  <c r="H161" i="30"/>
  <c r="H166" i="30"/>
  <c r="H167" i="30"/>
  <c r="H168" i="30"/>
  <c r="H169" i="30"/>
  <c r="H170" i="30"/>
  <c r="H171" i="30"/>
  <c r="H172" i="30"/>
  <c r="H173" i="30"/>
  <c r="H174" i="30"/>
  <c r="I150" i="30"/>
  <c r="I151" i="30"/>
  <c r="I152" i="30"/>
  <c r="I153" i="30"/>
  <c r="I154" i="30"/>
  <c r="I155" i="30"/>
  <c r="I156" i="30"/>
  <c r="I157" i="30"/>
  <c r="I158" i="30"/>
  <c r="I159" i="30"/>
  <c r="I160" i="30"/>
  <c r="I161" i="30"/>
  <c r="I166" i="30"/>
  <c r="I167" i="30"/>
  <c r="I168" i="30"/>
  <c r="I169" i="30"/>
  <c r="I170" i="30"/>
  <c r="I171" i="30"/>
  <c r="I172" i="30"/>
  <c r="I173" i="30"/>
  <c r="I174" i="30"/>
  <c r="J150" i="30"/>
  <c r="J151" i="30"/>
  <c r="J152" i="30"/>
  <c r="J153" i="30"/>
  <c r="J154" i="30"/>
  <c r="J155" i="30"/>
  <c r="J156" i="30"/>
  <c r="J157" i="30"/>
  <c r="J158" i="30"/>
  <c r="J159" i="30"/>
  <c r="J160" i="30"/>
  <c r="J161" i="30"/>
  <c r="J166" i="30"/>
  <c r="J167" i="30"/>
  <c r="J168" i="30"/>
  <c r="J169" i="30"/>
  <c r="J170" i="30"/>
  <c r="J171" i="30"/>
  <c r="J172" i="30"/>
  <c r="J173" i="30"/>
  <c r="J174" i="30"/>
  <c r="K150" i="30"/>
  <c r="K151" i="30"/>
  <c r="K152" i="30"/>
  <c r="K153" i="30"/>
  <c r="K154" i="30"/>
  <c r="K155" i="30"/>
  <c r="K156" i="30"/>
  <c r="K157" i="30"/>
  <c r="K158" i="30"/>
  <c r="K159" i="30"/>
  <c r="K160" i="30"/>
  <c r="K161" i="30"/>
  <c r="K166" i="30"/>
  <c r="K167" i="30"/>
  <c r="K168" i="30"/>
  <c r="K169" i="30"/>
  <c r="K170" i="30"/>
  <c r="K171" i="30"/>
  <c r="K172" i="30"/>
  <c r="K173" i="30"/>
  <c r="K174" i="30"/>
  <c r="L150" i="30"/>
  <c r="L151" i="30"/>
  <c r="L152" i="30"/>
  <c r="L153" i="30"/>
  <c r="L154" i="30"/>
  <c r="L155" i="30"/>
  <c r="L156" i="30"/>
  <c r="L157" i="30"/>
  <c r="L158" i="30"/>
  <c r="L159" i="30"/>
  <c r="L160" i="30"/>
  <c r="L161" i="30"/>
  <c r="L166" i="30"/>
  <c r="L167" i="30"/>
  <c r="L168" i="30"/>
  <c r="L169" i="30"/>
  <c r="L170" i="30"/>
  <c r="L171" i="30"/>
  <c r="L172" i="30"/>
  <c r="L173" i="30"/>
  <c r="L174" i="30"/>
  <c r="M150" i="30"/>
  <c r="M151" i="30"/>
  <c r="M152" i="30"/>
  <c r="M153" i="30"/>
  <c r="M154" i="30"/>
  <c r="M155" i="30"/>
  <c r="M156" i="30"/>
  <c r="M157" i="30"/>
  <c r="M158" i="30"/>
  <c r="M159" i="30"/>
  <c r="M160" i="30"/>
  <c r="M161" i="30"/>
  <c r="M166" i="30"/>
  <c r="M167" i="30"/>
  <c r="M168" i="30"/>
  <c r="M169" i="30"/>
  <c r="M170" i="30"/>
  <c r="M171" i="30"/>
  <c r="M172" i="30"/>
  <c r="M173" i="30"/>
  <c r="M174" i="30"/>
  <c r="N150" i="30"/>
  <c r="N151" i="30"/>
  <c r="N152" i="30"/>
  <c r="N153" i="30"/>
  <c r="N154" i="30"/>
  <c r="N155" i="30"/>
  <c r="N156" i="30"/>
  <c r="N157" i="30"/>
  <c r="N158" i="30"/>
  <c r="N159" i="30"/>
  <c r="N160" i="30"/>
  <c r="N161" i="30"/>
  <c r="N166" i="30"/>
  <c r="N167" i="30"/>
  <c r="N168" i="30"/>
  <c r="N169" i="30"/>
  <c r="N170" i="30"/>
  <c r="N171" i="30"/>
  <c r="N172" i="30"/>
  <c r="N173" i="30"/>
  <c r="N174" i="30"/>
  <c r="C87" i="30"/>
  <c r="D87" i="30"/>
  <c r="C86" i="30"/>
  <c r="D86" i="30"/>
  <c r="C85" i="30"/>
  <c r="D85" i="30"/>
  <c r="D60" i="30"/>
  <c r="C94" i="30"/>
  <c r="E60" i="30"/>
  <c r="D94" i="30"/>
  <c r="C60" i="30"/>
  <c r="C93" i="30"/>
  <c r="D95" i="30"/>
  <c r="C95" i="30"/>
  <c r="C100" i="30"/>
  <c r="C201" i="30"/>
  <c r="D201" i="30"/>
  <c r="D190" i="30"/>
  <c r="C110" i="30"/>
  <c r="D207" i="30"/>
  <c r="C109" i="30"/>
  <c r="C116" i="30"/>
  <c r="H195" i="30"/>
  <c r="D109" i="30"/>
  <c r="D77" i="30"/>
  <c r="D76" i="30"/>
  <c r="D78" i="30"/>
  <c r="C96" i="30"/>
  <c r="C79" i="30"/>
  <c r="C99" i="30"/>
  <c r="D116" i="30"/>
  <c r="D99" i="30"/>
  <c r="G195" i="30"/>
  <c r="C207" i="30"/>
  <c r="D108" i="30"/>
  <c r="C101" i="30"/>
  <c r="E207" i="30"/>
  <c r="C102" i="30"/>
  <c r="C190" i="30"/>
  <c r="C115" i="30"/>
  <c r="C78" i="30"/>
  <c r="C108" i="30"/>
  <c r="D115" i="30"/>
  <c r="D110" i="30"/>
  <c r="D179" i="30"/>
  <c r="E201" i="30"/>
  <c r="F207" i="30"/>
  <c r="C69" i="30"/>
  <c r="D100" i="30"/>
  <c r="C111" i="30"/>
  <c r="D180" i="30"/>
  <c r="F201" i="30"/>
  <c r="C112" i="30"/>
  <c r="C181" i="30"/>
  <c r="D101" i="30"/>
  <c r="D112" i="30"/>
  <c r="D181" i="30"/>
  <c r="D69" i="30"/>
  <c r="D93" i="30"/>
  <c r="C114" i="30"/>
  <c r="C182" i="30"/>
  <c r="D114" i="30"/>
  <c r="D196" i="30"/>
  <c r="D65" i="30"/>
  <c r="D71" i="30"/>
  <c r="C121" i="30"/>
  <c r="C122" i="30"/>
  <c r="C123" i="30"/>
  <c r="C124" i="30"/>
  <c r="C125" i="30"/>
  <c r="C126" i="30"/>
  <c r="C127" i="30"/>
  <c r="C128" i="30"/>
  <c r="C129" i="30"/>
  <c r="C130" i="30"/>
  <c r="C131" i="30"/>
  <c r="C137" i="30"/>
  <c r="C187" i="30"/>
  <c r="D66" i="30"/>
  <c r="D96" i="30"/>
  <c r="D102" i="30"/>
  <c r="D111" i="30"/>
  <c r="D121" i="30"/>
  <c r="D122" i="30"/>
  <c r="D123" i="30"/>
  <c r="D124" i="30"/>
  <c r="D125" i="30"/>
  <c r="D126" i="30"/>
  <c r="D127" i="30"/>
  <c r="D128" i="30"/>
  <c r="D129" i="30"/>
  <c r="D130" i="30"/>
  <c r="D131" i="30"/>
  <c r="D137" i="30"/>
  <c r="D138" i="30"/>
  <c r="D139" i="30"/>
  <c r="D140" i="30"/>
  <c r="D141" i="30"/>
  <c r="D142" i="30"/>
  <c r="D143" i="30"/>
  <c r="D144" i="30"/>
  <c r="D187" i="30"/>
  <c r="D70" i="30"/>
  <c r="C65" i="30"/>
  <c r="F196" i="30"/>
  <c r="C138" i="30"/>
  <c r="C139" i="30"/>
  <c r="C140" i="30"/>
  <c r="C141" i="30"/>
  <c r="C142" i="30"/>
  <c r="C143" i="30"/>
  <c r="C144" i="30"/>
  <c r="C67" i="30"/>
  <c r="C76" i="30"/>
  <c r="C97" i="30"/>
  <c r="C103" i="30"/>
  <c r="C179" i="30"/>
  <c r="C188" i="30"/>
  <c r="C195" i="30"/>
  <c r="C70" i="30"/>
  <c r="E196" i="30"/>
  <c r="D67" i="30"/>
  <c r="D97" i="30"/>
  <c r="D103" i="30"/>
  <c r="D188" i="30"/>
  <c r="C71" i="30"/>
  <c r="C66" i="30"/>
  <c r="C92" i="30"/>
  <c r="D92" i="3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A92CC7-8EE0-4384-91C9-F77FE7D976E1}" keepAlive="1" name="クエリ - FS" description="ブック内の 'FS' クエリへの接続です。" type="5" refreshedVersion="8" background="1" saveData="1">
    <dbPr connection="Provider=Microsoft.Mashup.OleDb.1;Data Source=$Workbook$;Location=FS;Extended Properties=&quot;&quot;" command="SELECT * FROM [FS]"/>
  </connection>
  <connection id="2" xr16:uid="{EF99401F-9079-4EAF-BC93-4C9451C95D85}" keepAlive="1" name="クエリ - GUI" description="ブック内の 'GUI' クエリへの接続です。" type="5" refreshedVersion="8" background="1" saveData="1">
    <dbPr connection="Provider=Microsoft.Mashup.OleDb.1;Data Source=$Workbook$;Location=GUI;Extended Properties=&quot;&quot;" command="SELECT * FROM [GUI]"/>
  </connection>
  <connection id="3" xr16:uid="{FEC93A99-1701-40F1-97B1-A4B02FE3A5EB}" keepAlive="1" name="クエリ - HFS" description="ブック内の 'HFS' クエリへの接続です。" type="5" refreshedVersion="8" background="1" saveData="1">
    <dbPr connection="Provider=Microsoft.Mashup.OleDb.1;Data Source=$Workbook$;Location=HFS;Extended Properties=&quot;&quot;" command="SELECT * FROM [HFS]"/>
  </connection>
  <connection id="4" xr16:uid="{F701F1B0-EEE6-4240-A47B-75F7045A7542}" keepAlive="1" name="クエリ - HSS" description="ブック内の 'HSS' クエリへの接続です。" type="5" refreshedVersion="8" background="1" saveData="1">
    <dbPr connection="Provider=Microsoft.Mashup.OleDb.1;Data Source=$Workbook$;Location=HSS;Extended Properties=&quot;&quot;" command="SELECT * FROM [HSS]"/>
  </connection>
  <connection id="5" xr16:uid="{214765FD-6A90-4453-884C-63A0FE9D58CF}" keepAlive="1" name="クエリ - MSW" description="ブック内の 'MSW' クエリへの接続です。" type="5" refreshedVersion="8" background="1" saveData="1">
    <dbPr connection="Provider=Microsoft.Mashup.OleDb.1;Data Source=$Workbook$;Location=MSW;Extended Properties=&quot;&quot;" command="SELECT * FROM [MSW]"/>
  </connection>
  <connection id="6" xr16:uid="{53438A10-49AD-4436-A115-C72E67F909E3}" keepAlive="1" name="クエリ - RAID" description="ブック内の 'RAID' クエリへの接続です。" type="5" refreshedVersion="8" background="1" saveData="1">
    <dbPr connection="Provider=Microsoft.Mashup.OleDb.1;Data Source=$Workbook$;Location=RAID;Extended Properties=&quot;&quot;" command="SELECT * FROM [RAID]"/>
  </connection>
  <connection id="7" xr16:uid="{7BB8E6CF-960C-4D37-98F0-1DA6FD05DE26}" keepAlive="1" name="クエリ - SBC" description="ブック内の 'SBC' クエリへの接続です。" type="5" refreshedVersion="8" background="1" saveData="1">
    <dbPr connection="Provider=Microsoft.Mashup.OleDb.1;Data Source=$Workbook$;Location=SBC;Extended Properties=&quot;&quot;" command="SELECT * FROM [SBC]"/>
  </connection>
  <connection id="8" xr16:uid="{6B3D705E-3C3F-4AD3-8F76-1C1FEFB3C799}" keepAlive="1" name="クエリ - SCCE" description="ブック内の 'SCCE' クエリへの接続です。" type="5" refreshedVersion="8" background="1" saveData="1">
    <dbPr connection="Provider=Microsoft.Mashup.OleDb.1;Data Source=$Workbook$;Location=SCCE;Extended Properties=&quot;&quot;" command="SELECT * FROM [SCCE]"/>
  </connection>
  <connection id="9" xr16:uid="{1A51982A-15D5-4388-A8F3-F9E747B1C0FF}" keepAlive="1" name="クエリ - ユニット構成" description="ブック内の 'ユニット構成' クエリへの接続です。" type="5" refreshedVersion="8" background="1" saveData="1">
    <dbPr connection="Provider=Microsoft.Mashup.OleDb.1;Data Source=$Workbook$;Location=ユニット構成;Extended Properties=&quot;&quot;" command="SELECT * FROM [ユニット構成]"/>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<sst xmlns="http://schemas.openxmlformats.org/spreadsheetml/2006/main" count="20526" uniqueCount="7218">
  <si>
    <t>工事日</t>
    <rPh sb="0" eb="3">
      <t>コウジビ</t>
    </rPh>
    <phoneticPr fontId="1"/>
  </si>
  <si>
    <t>工事実施者</t>
    <rPh sb="0" eb="2">
      <t>コウジ</t>
    </rPh>
    <rPh sb="2" eb="4">
      <t>ジッシ</t>
    </rPh>
    <rPh sb="4" eb="5">
      <t>シャ</t>
    </rPh>
    <phoneticPr fontId="1"/>
  </si>
  <si>
    <t>工事名</t>
    <rPh sb="0" eb="3">
      <t>コウジメイ</t>
    </rPh>
    <phoneticPr fontId="1"/>
  </si>
  <si>
    <t>対象装置</t>
    <rPh sb="0" eb="2">
      <t>タイショウ</t>
    </rPh>
    <rPh sb="2" eb="4">
      <t>ソウチ</t>
    </rPh>
    <phoneticPr fontId="1"/>
  </si>
  <si>
    <t>ホスト名</t>
    <rPh sb="3" eb="4">
      <t>メイ</t>
    </rPh>
    <phoneticPr fontId="1"/>
  </si>
  <si>
    <t>通番</t>
    <rPh sb="0" eb="2">
      <t>ツウバン</t>
    </rPh>
    <phoneticPr fontId="1"/>
  </si>
  <si>
    <t>大</t>
    <rPh sb="0" eb="1">
      <t>ダイ</t>
    </rPh>
    <phoneticPr fontId="1"/>
  </si>
  <si>
    <t>中</t>
    <rPh sb="0" eb="1">
      <t>チュウ</t>
    </rPh>
    <phoneticPr fontId="1"/>
  </si>
  <si>
    <t>小</t>
    <rPh sb="0" eb="1">
      <t>ショウ</t>
    </rPh>
    <phoneticPr fontId="1"/>
  </si>
  <si>
    <t>作業内容</t>
    <rPh sb="0" eb="4">
      <t>サギョウナイヨウ</t>
    </rPh>
    <phoneticPr fontId="1"/>
  </si>
  <si>
    <t>コマンド</t>
    <phoneticPr fontId="1"/>
  </si>
  <si>
    <t>□</t>
  </si>
  <si>
    <t>□</t>
    <phoneticPr fontId="1"/>
  </si>
  <si>
    <t>P</t>
    <phoneticPr fontId="1"/>
  </si>
  <si>
    <t>$</t>
    <phoneticPr fontId="1"/>
  </si>
  <si>
    <t>uname -n; id; date</t>
    <phoneticPr fontId="1"/>
  </si>
  <si>
    <t>ベース技術資料</t>
    <rPh sb="3" eb="5">
      <t>ギジュツ</t>
    </rPh>
    <rPh sb="5" eb="7">
      <t>シリョウ</t>
    </rPh>
    <phoneticPr fontId="1"/>
  </si>
  <si>
    <t>資材</t>
    <rPh sb="0" eb="2">
      <t>シザイ</t>
    </rPh>
    <phoneticPr fontId="1"/>
  </si>
  <si>
    <t>重要度</t>
  </si>
  <si>
    <t>アラーム名称OID</t>
    <phoneticPr fontId="1"/>
  </si>
  <si>
    <t>作業で使用するPCのTeraTerm設定を下記の通り変更する。</t>
    <rPh sb="0" eb="2">
      <t>サギョウ</t>
    </rPh>
    <rPh sb="3" eb="5">
      <t>シヨウ</t>
    </rPh>
    <rPh sb="18" eb="20">
      <t>セッテイ</t>
    </rPh>
    <rPh sb="21" eb="23">
      <t>カキ</t>
    </rPh>
    <rPh sb="24" eb="25">
      <t>トオ</t>
    </rPh>
    <rPh sb="26" eb="28">
      <t>ヘンコウ</t>
    </rPh>
    <phoneticPr fontId="1"/>
  </si>
  <si>
    <t>①TeraTermを起動し、「設定」→「その他の設定」→「ログ」を開く</t>
    <rPh sb="10" eb="12">
      <t>キドウ</t>
    </rPh>
    <rPh sb="15" eb="17">
      <t>セッテイ</t>
    </rPh>
    <rPh sb="22" eb="23">
      <t>ホカ</t>
    </rPh>
    <rPh sb="24" eb="26">
      <t>セッテイ</t>
    </rPh>
    <rPh sb="33" eb="34">
      <t>ヒラ</t>
    </rPh>
    <phoneticPr fontId="1"/>
  </si>
  <si>
    <t>②その他の設定画面で以下の通り設定する</t>
    <rPh sb="3" eb="4">
      <t>タ</t>
    </rPh>
    <rPh sb="5" eb="7">
      <t>セッテイ</t>
    </rPh>
    <rPh sb="7" eb="9">
      <t>ガメン</t>
    </rPh>
    <rPh sb="10" eb="12">
      <t>イカ</t>
    </rPh>
    <rPh sb="13" eb="14">
      <t>トオ</t>
    </rPh>
    <rPh sb="15" eb="17">
      <t>セッテイ</t>
    </rPh>
    <phoneticPr fontId="1"/>
  </si>
  <si>
    <t>%Y%m%d_%H%M%S_&amp;h.log</t>
    <phoneticPr fontId="1"/>
  </si>
  <si>
    <t>任意のフォルダ(工事後ログ回収することを前提に！)</t>
    <rPh sb="0" eb="2">
      <t>ニンイ</t>
    </rPh>
    <rPh sb="8" eb="11">
      <t>コウジゴ</t>
    </rPh>
    <rPh sb="13" eb="15">
      <t>カイシュウ</t>
    </rPh>
    <rPh sb="20" eb="22">
      <t>ゼンテイ</t>
    </rPh>
    <phoneticPr fontId="1"/>
  </si>
  <si>
    <t>チェックを入れる</t>
    <rPh sb="5" eb="6">
      <t>イ</t>
    </rPh>
    <phoneticPr fontId="1"/>
  </si>
  <si>
    <t>チェックを入れる→ローカルタイム</t>
    <rPh sb="5" eb="6">
      <t>イ</t>
    </rPh>
    <phoneticPr fontId="1"/>
  </si>
  <si>
    <t>③OKを押し、「設定」→「設定の保存」を実施する。</t>
    <rPh sb="4" eb="5">
      <t>オ</t>
    </rPh>
    <rPh sb="8" eb="10">
      <t>セッテイ</t>
    </rPh>
    <rPh sb="13" eb="15">
      <t>セッテイ</t>
    </rPh>
    <rPh sb="16" eb="18">
      <t>ホゾン</t>
    </rPh>
    <rPh sb="20" eb="22">
      <t>ジッシ</t>
    </rPh>
    <phoneticPr fontId="1"/>
  </si>
  <si>
    <t>作業端末(Windows)の時刻設定を実施する。(ずれている場合のみでOK)</t>
    <rPh sb="0" eb="2">
      <t>サギョウ</t>
    </rPh>
    <rPh sb="2" eb="4">
      <t>タンマツ</t>
    </rPh>
    <rPh sb="14" eb="18">
      <t>ジコクセッテイ</t>
    </rPh>
    <rPh sb="19" eb="21">
      <t>ジッシ</t>
    </rPh>
    <rPh sb="30" eb="32">
      <t>バアイ</t>
    </rPh>
    <phoneticPr fontId="1"/>
  </si>
  <si>
    <t>①タスクバーの時計を右クリックし「日付と時刻の調整」を選択する。</t>
    <rPh sb="7" eb="9">
      <t>トケイ</t>
    </rPh>
    <rPh sb="10" eb="11">
      <t>ミギ</t>
    </rPh>
    <rPh sb="17" eb="19">
      <t>ヒヅケ</t>
    </rPh>
    <rPh sb="20" eb="22">
      <t>ジコク</t>
    </rPh>
    <rPh sb="23" eb="25">
      <t>チョウセイ</t>
    </rPh>
    <rPh sb="27" eb="29">
      <t>センタク</t>
    </rPh>
    <phoneticPr fontId="1"/>
  </si>
  <si>
    <t>②右記サーバと時刻同期を行う</t>
    <rPh sb="1" eb="3">
      <t>ウキ</t>
    </rPh>
    <rPh sb="7" eb="11">
      <t>ジコクドウキ</t>
    </rPh>
    <rPh sb="12" eb="13">
      <t>オコナ</t>
    </rPh>
    <phoneticPr fontId="1"/>
  </si>
  <si>
    <t>10.95.126.1</t>
    <phoneticPr fontId="1"/>
  </si>
  <si>
    <t>資材名</t>
    <rPh sb="0" eb="2">
      <t>シザイ</t>
    </rPh>
    <rPh sb="2" eb="3">
      <t>メイ</t>
    </rPh>
    <phoneticPr fontId="16"/>
  </si>
  <si>
    <t>チェックサム</t>
    <phoneticPr fontId="16"/>
  </si>
  <si>
    <t>確認事項 or 項目</t>
    <rPh sb="0" eb="2">
      <t>カクニン</t>
    </rPh>
    <rPh sb="2" eb="4">
      <t>ジコウ</t>
    </rPh>
    <rPh sb="8" eb="10">
      <t>コウモク</t>
    </rPh>
    <phoneticPr fontId="1"/>
  </si>
  <si>
    <t>技術資料名、項番</t>
    <phoneticPr fontId="1"/>
  </si>
  <si>
    <t>ログ画面が開くこと</t>
    <rPh sb="2" eb="4">
      <t>ガメン</t>
    </rPh>
    <rPh sb="5" eb="6">
      <t>ヒラ</t>
    </rPh>
    <phoneticPr fontId="4"/>
  </si>
  <si>
    <t>設定が完了すること</t>
    <rPh sb="0" eb="2">
      <t>セッテイ</t>
    </rPh>
    <rPh sb="3" eb="5">
      <t>カンリョウ</t>
    </rPh>
    <phoneticPr fontId="4"/>
  </si>
  <si>
    <t>設定が保存できること</t>
    <rPh sb="0" eb="2">
      <t>セッテイ</t>
    </rPh>
    <rPh sb="3" eb="5">
      <t>ホゾン</t>
    </rPh>
    <phoneticPr fontId="4"/>
  </si>
  <si>
    <t>日付と時刻の調整が開くこと</t>
    <rPh sb="0" eb="2">
      <t>ヒヅケ</t>
    </rPh>
    <rPh sb="3" eb="5">
      <t>ジコク</t>
    </rPh>
    <rPh sb="6" eb="8">
      <t>チョウセイ</t>
    </rPh>
    <rPh sb="9" eb="10">
      <t>ヒラ</t>
    </rPh>
    <phoneticPr fontId="4"/>
  </si>
  <si>
    <t>同期が成功すること</t>
    <rPh sb="0" eb="2">
      <t>ドウキ</t>
    </rPh>
    <rPh sb="3" eb="5">
      <t>セイコウ</t>
    </rPh>
    <phoneticPr fontId="4"/>
  </si>
  <si>
    <t>TT</t>
    <phoneticPr fontId="16"/>
  </si>
  <si>
    <t>chk</t>
    <phoneticPr fontId="1"/>
  </si>
  <si>
    <t>連絡事項</t>
    <rPh sb="0" eb="4">
      <t>レンラクジコウ</t>
    </rPh>
    <phoneticPr fontId="16"/>
  </si>
  <si>
    <t>TT</t>
  </si>
  <si>
    <t>SSH</t>
  </si>
  <si>
    <t>ホスト：</t>
  </si>
  <si>
    <t>サービス：</t>
  </si>
  <si>
    <t>TCPポート：</t>
  </si>
  <si>
    <t>ユーザ名：</t>
    <rPh sb="3" eb="4">
      <t>メイ</t>
    </rPh>
    <phoneticPr fontId="4"/>
  </si>
  <si>
    <t>パスフレーズ：</t>
  </si>
  <si>
    <t>メッセージ</t>
    <phoneticPr fontId="1"/>
  </si>
  <si>
    <t>メッセージ詳細</t>
    <phoneticPr fontId="1"/>
  </si>
  <si>
    <t>IE</t>
    <phoneticPr fontId="1"/>
  </si>
  <si>
    <t>URL：</t>
  </si>
  <si>
    <t>Username：</t>
  </si>
  <si>
    <t>Password：</t>
  </si>
  <si>
    <t>WIN</t>
    <phoneticPr fontId="16"/>
  </si>
  <si>
    <t>発生元装置</t>
    <rPh sb="0" eb="3">
      <t>ハッセイモト</t>
    </rPh>
    <rPh sb="3" eb="5">
      <t>ソウチ</t>
    </rPh>
    <phoneticPr fontId="1"/>
  </si>
  <si>
    <t>本作業で発生する可能性のあるアラームを以下に示す。</t>
    <rPh sb="0" eb="1">
      <t>ホン</t>
    </rPh>
    <rPh sb="1" eb="3">
      <t>サギョウ</t>
    </rPh>
    <rPh sb="4" eb="6">
      <t>ハッセイ</t>
    </rPh>
    <rPh sb="8" eb="11">
      <t>カノウセイ</t>
    </rPh>
    <rPh sb="19" eb="21">
      <t>イカ</t>
    </rPh>
    <rPh sb="22" eb="23">
      <t>シメ</t>
    </rPh>
    <phoneticPr fontId="2"/>
  </si>
  <si>
    <t>対応する項番</t>
    <rPh sb="0" eb="2">
      <t>タイオウ</t>
    </rPh>
    <rPh sb="4" eb="6">
      <t>コウバン</t>
    </rPh>
    <phoneticPr fontId="1"/>
  </si>
  <si>
    <t>SCP</t>
    <phoneticPr fontId="1"/>
  </si>
  <si>
    <t>WinSCP操作</t>
    <rPh sb="6" eb="8">
      <t>ソウサ</t>
    </rPh>
    <phoneticPr fontId="1"/>
  </si>
  <si>
    <t>FTP</t>
    <phoneticPr fontId="1"/>
  </si>
  <si>
    <t>IE</t>
  </si>
  <si>
    <t>ブラウザ操作</t>
    <rPh sb="4" eb="6">
      <t>ソウサ</t>
    </rPh>
    <phoneticPr fontId="1"/>
  </si>
  <si>
    <t>WIN</t>
  </si>
  <si>
    <t>時刻</t>
    <rPh sb="0" eb="2">
      <t>ジコク</t>
    </rPh>
    <phoneticPr fontId="1"/>
  </si>
  <si>
    <t>標準ログ・ファイル名</t>
    <rPh sb="0" eb="2">
      <t>ヒョウジュン</t>
    </rPh>
    <rPh sb="4" eb="10">
      <t>ファイルメイ</t>
    </rPh>
    <phoneticPr fontId="1"/>
  </si>
  <si>
    <t>標準ログのログ保存先フォルダ</t>
    <rPh sb="0" eb="2">
      <t>ヒョウジュン</t>
    </rPh>
    <rPh sb="7" eb="10">
      <t>ホゾンサキ</t>
    </rPh>
    <phoneticPr fontId="1"/>
  </si>
  <si>
    <t>自動的にログ採取を開始する</t>
    <rPh sb="0" eb="3">
      <t>ジドウテキ</t>
    </rPh>
    <rPh sb="6" eb="8">
      <t>サイシュ</t>
    </rPh>
    <rPh sb="9" eb="11">
      <t>カイシ</t>
    </rPh>
    <phoneticPr fontId="1"/>
  </si>
  <si>
    <t>オプション-追記</t>
    <rPh sb="6" eb="8">
      <t>ツイキ</t>
    </rPh>
    <phoneticPr fontId="1"/>
  </si>
  <si>
    <t>オプション-プレーンテキスト</t>
  </si>
  <si>
    <t>オプション-タイムスタンプ</t>
  </si>
  <si>
    <t>右記コマンドを実行し、ログイン装置の確認を行う</t>
    <rPh sb="0" eb="2">
      <t>ウキ</t>
    </rPh>
    <rPh sb="7" eb="9">
      <t>ジッコウ</t>
    </rPh>
    <rPh sb="15" eb="17">
      <t>ソウチ</t>
    </rPh>
    <rPh sb="18" eb="20">
      <t>カクニン</t>
    </rPh>
    <rPh sb="21" eb="22">
      <t>オコナ</t>
    </rPh>
    <phoneticPr fontId="1"/>
  </si>
  <si>
    <t>繰り返し工程パーツ</t>
    <rPh sb="0" eb="1">
      <t>ク</t>
    </rPh>
    <rPh sb="2" eb="3">
      <t>カエ</t>
    </rPh>
    <rPh sb="4" eb="6">
      <t>コウテイ</t>
    </rPh>
    <phoneticPr fontId="1"/>
  </si>
  <si>
    <t>ログイン系パーツ</t>
    <rPh sb="4" eb="5">
      <t>ケイ</t>
    </rPh>
    <phoneticPr fontId="1"/>
  </si>
  <si>
    <t>TeraTermを起動し、○○装置に右記設定で接続する</t>
    <rPh sb="18" eb="20">
      <t>ウキ</t>
    </rPh>
    <rPh sb="20" eb="22">
      <t>セッテイ</t>
    </rPh>
    <rPh sb="23" eb="25">
      <t>セツゾク</t>
    </rPh>
    <phoneticPr fontId="1"/>
  </si>
  <si>
    <t>ブラウザを起動し、○○装置のiLOに右記設定でログインする</t>
    <rPh sb="5" eb="7">
      <t>キドウ</t>
    </rPh>
    <rPh sb="11" eb="13">
      <t>ソウチ</t>
    </rPh>
    <rPh sb="18" eb="20">
      <t>ウキ</t>
    </rPh>
    <rPh sb="20" eb="22">
      <t>セッテイ</t>
    </rPh>
    <phoneticPr fontId="1"/>
  </si>
  <si>
    <t>ログイン後、トップページにてログイン装置の確認を行う</t>
    <rPh sb="4" eb="5">
      <t>アト</t>
    </rPh>
    <rPh sb="18" eb="20">
      <t>ソウチ</t>
    </rPh>
    <rPh sb="21" eb="23">
      <t>カクニン</t>
    </rPh>
    <rPh sb="24" eb="25">
      <t>オコナ</t>
    </rPh>
    <phoneticPr fontId="1"/>
  </si>
  <si>
    <t>条件分岐工程パーツ</t>
    <rPh sb="0" eb="2">
      <t>ジョウケン</t>
    </rPh>
    <rPh sb="2" eb="4">
      <t>ブンキ</t>
    </rPh>
    <rPh sb="4" eb="6">
      <t>コウテイ</t>
    </rPh>
    <phoneticPr fontId="1"/>
  </si>
  <si>
    <t>○○の場合のみ実施すること</t>
    <rPh sb="3" eb="5">
      <t>バアイ</t>
    </rPh>
    <rPh sb="7" eb="9">
      <t>ジッシ</t>
    </rPh>
    <phoneticPr fontId="1"/>
  </si>
  <si>
    <t>WinSCPを起動し、○○装置に右記設定で接続する</t>
    <rPh sb="7" eb="9">
      <t>キドウ</t>
    </rPh>
    <rPh sb="13" eb="15">
      <t>ソウチ</t>
    </rPh>
    <rPh sb="16" eb="18">
      <t>ウキ</t>
    </rPh>
    <rPh sb="18" eb="20">
      <t>セッテイ</t>
    </rPh>
    <rPh sb="21" eb="23">
      <t>セツゾク</t>
    </rPh>
    <phoneticPr fontId="1"/>
  </si>
  <si>
    <t>転送プロトコル：</t>
    <rPh sb="0" eb="2">
      <t>テンソウ</t>
    </rPh>
    <phoneticPr fontId="1"/>
  </si>
  <si>
    <t>ホスト名：</t>
    <rPh sb="3" eb="4">
      <t>メイ</t>
    </rPh>
    <phoneticPr fontId="1"/>
  </si>
  <si>
    <t>ポート番号：</t>
    <rPh sb="3" eb="5">
      <t>バンゴウ</t>
    </rPh>
    <phoneticPr fontId="1"/>
  </si>
  <si>
    <t>ユーザ名：</t>
    <rPh sb="3" eb="4">
      <t>メイ</t>
    </rPh>
    <phoneticPr fontId="1"/>
  </si>
  <si>
    <t>パスワード：</t>
  </si>
  <si>
    <t>パスワード：</t>
    <phoneticPr fontId="1"/>
  </si>
  <si>
    <t>SCP</t>
  </si>
  <si>
    <t>SFTP</t>
    <phoneticPr fontId="1"/>
  </si>
  <si>
    <t>ログイン後、タイトルバーにてログイン装置の確認を行う</t>
    <rPh sb="4" eb="5">
      <t>ゴ</t>
    </rPh>
    <rPh sb="18" eb="20">
      <t>ソウチ</t>
    </rPh>
    <rPh sb="21" eb="23">
      <t>カクニン</t>
    </rPh>
    <rPh sb="24" eb="25">
      <t>オコナ</t>
    </rPh>
    <phoneticPr fontId="1"/>
  </si>
  <si>
    <t>FFFTPを起動し、○○装置に右記設定で接続する</t>
    <rPh sb="6" eb="8">
      <t>キドウ</t>
    </rPh>
    <rPh sb="12" eb="14">
      <t>ソウチ</t>
    </rPh>
    <rPh sb="15" eb="17">
      <t>ウキ</t>
    </rPh>
    <rPh sb="17" eb="19">
      <t>セッテイ</t>
    </rPh>
    <rPh sb="20" eb="22">
      <t>セツゾク</t>
    </rPh>
    <phoneticPr fontId="1"/>
  </si>
  <si>
    <t>ファイルアップロード、ダウンロード系パーツ</t>
    <rPh sb="17" eb="18">
      <t>ケイ</t>
    </rPh>
    <phoneticPr fontId="1"/>
  </si>
  <si>
    <t>左側ウィンドウ(操作端末側)のパスを右記の通り設定する</t>
    <rPh sb="0" eb="1">
      <t>ヒダリ</t>
    </rPh>
    <rPh sb="1" eb="2">
      <t>ガワ</t>
    </rPh>
    <rPh sb="8" eb="10">
      <t>ソウサ</t>
    </rPh>
    <rPh sb="10" eb="12">
      <t>タンマツ</t>
    </rPh>
    <rPh sb="12" eb="13">
      <t>ガワ</t>
    </rPh>
    <rPh sb="18" eb="20">
      <t>ウキ</t>
    </rPh>
    <rPh sb="21" eb="22">
      <t>トオ</t>
    </rPh>
    <rPh sb="23" eb="25">
      <t>セッテイ</t>
    </rPh>
    <phoneticPr fontId="1"/>
  </si>
  <si>
    <t>右側ウィンドウ(サーバ側)のパスを右記の通り設定する</t>
    <rPh sb="0" eb="2">
      <t>ミギガワ</t>
    </rPh>
    <rPh sb="11" eb="12">
      <t>ガワ</t>
    </rPh>
    <rPh sb="17" eb="19">
      <t>ウキ</t>
    </rPh>
    <rPh sb="20" eb="21">
      <t>トオ</t>
    </rPh>
    <rPh sb="22" eb="24">
      <t>セッテイ</t>
    </rPh>
    <phoneticPr fontId="1"/>
  </si>
  <si>
    <t>右記の通り表示されていることを確認</t>
    <rPh sb="0" eb="2">
      <t>ウキ</t>
    </rPh>
    <rPh sb="3" eb="4">
      <t>トオ</t>
    </rPh>
    <rPh sb="5" eb="7">
      <t>ヒョウジ</t>
    </rPh>
    <rPh sb="15" eb="17">
      <t>カクニン</t>
    </rPh>
    <phoneticPr fontId="1"/>
  </si>
  <si>
    <t>同期が成功したことを確認</t>
    <rPh sb="0" eb="2">
      <t>ドウキ</t>
    </rPh>
    <rPh sb="3" eb="5">
      <t>セイコウ</t>
    </rPh>
    <rPh sb="10" eb="12">
      <t>カクニン</t>
    </rPh>
    <phoneticPr fontId="4"/>
  </si>
  <si>
    <t>日付と時刻の調整が開くことを確認</t>
    <rPh sb="0" eb="2">
      <t>ヒヅケ</t>
    </rPh>
    <rPh sb="3" eb="5">
      <t>ジコク</t>
    </rPh>
    <rPh sb="6" eb="8">
      <t>チョウセイ</t>
    </rPh>
    <rPh sb="9" eb="10">
      <t>ヒラ</t>
    </rPh>
    <rPh sb="14" eb="16">
      <t>カクニン</t>
    </rPh>
    <phoneticPr fontId="4"/>
  </si>
  <si>
    <t>設定が完了することを確認</t>
    <rPh sb="0" eb="2">
      <t>セッテイ</t>
    </rPh>
    <rPh sb="3" eb="5">
      <t>カンリョウ</t>
    </rPh>
    <rPh sb="10" eb="12">
      <t>カクニン</t>
    </rPh>
    <phoneticPr fontId="4"/>
  </si>
  <si>
    <t>ログ画面が開くことを確認</t>
    <rPh sb="2" eb="4">
      <t>ガメン</t>
    </rPh>
    <rPh sb="5" eb="6">
      <t>ヒラ</t>
    </rPh>
    <rPh sb="10" eb="12">
      <t>カクニン</t>
    </rPh>
    <phoneticPr fontId="4"/>
  </si>
  <si>
    <t>「Server Name」に右記の通り表示されていることを確認</t>
    <rPh sb="14" eb="16">
      <t>ウキ</t>
    </rPh>
    <rPh sb="17" eb="18">
      <t>トオ</t>
    </rPh>
    <rPh sb="19" eb="21">
      <t>ヒョウジ</t>
    </rPh>
    <rPh sb="29" eb="31">
      <t>カクニン</t>
    </rPh>
    <phoneticPr fontId="1"/>
  </si>
  <si>
    <t>エラーなく設定が行えたことを確認</t>
    <rPh sb="5" eb="7">
      <t>セッテイ</t>
    </rPh>
    <rPh sb="8" eb="9">
      <t>オコナ</t>
    </rPh>
    <rPh sb="14" eb="16">
      <t>カクニン</t>
    </rPh>
    <phoneticPr fontId="4"/>
  </si>
  <si>
    <t>PT1 資材等のアップロードの場合</t>
    <rPh sb="4" eb="6">
      <t>シザイ</t>
    </rPh>
    <rPh sb="6" eb="7">
      <t>ナド</t>
    </rPh>
    <rPh sb="15" eb="17">
      <t>バアイ</t>
    </rPh>
    <phoneticPr fontId="1"/>
  </si>
  <si>
    <t>PT2 ログ等のダウンロードの場合</t>
    <rPh sb="6" eb="7">
      <t>ナド</t>
    </rPh>
    <rPh sb="15" eb="17">
      <t>バアイ</t>
    </rPh>
    <phoneticPr fontId="1"/>
  </si>
  <si>
    <t>左側ウィンドウ(操作端末側)から右記ファイルを選択し、「アップロード」ボタンを押下する</t>
    <rPh sb="0" eb="1">
      <t>ヒダリ</t>
    </rPh>
    <rPh sb="1" eb="2">
      <t>ガワ</t>
    </rPh>
    <rPh sb="8" eb="10">
      <t>ソウサ</t>
    </rPh>
    <rPh sb="10" eb="12">
      <t>タンマツ</t>
    </rPh>
    <rPh sb="12" eb="13">
      <t>ガワ</t>
    </rPh>
    <rPh sb="16" eb="18">
      <t>ウキ</t>
    </rPh>
    <rPh sb="23" eb="25">
      <t>センタク</t>
    </rPh>
    <rPh sb="39" eb="41">
      <t>オウカ</t>
    </rPh>
    <phoneticPr fontId="1"/>
  </si>
  <si>
    <t>右側ウィンドウ(サーバ側)から右記ファイルを選択し、「ダウンロード」ボタンを押下する</t>
    <rPh sb="0" eb="1">
      <t>ミギ</t>
    </rPh>
    <rPh sb="1" eb="2">
      <t>ガワ</t>
    </rPh>
    <rPh sb="11" eb="12">
      <t>ガワ</t>
    </rPh>
    <rPh sb="15" eb="17">
      <t>ウキ</t>
    </rPh>
    <rPh sb="22" eb="24">
      <t>センタク</t>
    </rPh>
    <rPh sb="38" eb="40">
      <t>オウカ</t>
    </rPh>
    <phoneticPr fontId="1"/>
  </si>
  <si>
    <t>転送モード：バイナリ</t>
    <rPh sb="0" eb="2">
      <t>テンソウ</t>
    </rPh>
    <phoneticPr fontId="1"/>
  </si>
  <si>
    <t>アップロード画面にて右記の通り設定されていることを確認し、「OK」ボタンを押下する</t>
    <rPh sb="6" eb="8">
      <t>ガメン</t>
    </rPh>
    <rPh sb="10" eb="12">
      <t>ウキ</t>
    </rPh>
    <rPh sb="13" eb="14">
      <t>トオ</t>
    </rPh>
    <rPh sb="15" eb="17">
      <t>セッテイ</t>
    </rPh>
    <rPh sb="25" eb="27">
      <t>カクニン</t>
    </rPh>
    <rPh sb="37" eb="39">
      <t>オウカ</t>
    </rPh>
    <phoneticPr fontId="1"/>
  </si>
  <si>
    <t>転送設定：</t>
    <rPh sb="0" eb="4">
      <t>テンソウセッテイ</t>
    </rPh>
    <phoneticPr fontId="1"/>
  </si>
  <si>
    <t>ダウンロード：</t>
    <phoneticPr fontId="1"/>
  </si>
  <si>
    <t>アップロード：</t>
    <phoneticPr fontId="1"/>
  </si>
  <si>
    <t>パス：</t>
    <phoneticPr fontId="1"/>
  </si>
  <si>
    <t>アップロード完了後、ファイルサイズが転送前後で同一であることを確認する</t>
    <rPh sb="6" eb="9">
      <t>カンリョウゴ</t>
    </rPh>
    <rPh sb="18" eb="20">
      <t>テンソウ</t>
    </rPh>
    <rPh sb="20" eb="22">
      <t>ゼンゴ</t>
    </rPh>
    <rPh sb="23" eb="25">
      <t>ドウイツ</t>
    </rPh>
    <rPh sb="31" eb="33">
      <t>カクニン</t>
    </rPh>
    <phoneticPr fontId="1"/>
  </si>
  <si>
    <t>ファイルサイズが同一であることを確認</t>
    <rPh sb="8" eb="10">
      <t>ドウイツ</t>
    </rPh>
    <rPh sb="16" eb="18">
      <t>カクニン</t>
    </rPh>
    <phoneticPr fontId="1"/>
  </si>
  <si>
    <t>ダウンロード完了後、ファイルサイズが転送前後で同一であることを確認する</t>
    <rPh sb="6" eb="9">
      <t>カンリョウゴ</t>
    </rPh>
    <rPh sb="18" eb="20">
      <t>テンソウ</t>
    </rPh>
    <rPh sb="20" eb="22">
      <t>ゼンゴ</t>
    </rPh>
    <rPh sb="23" eb="25">
      <t>ドウイツ</t>
    </rPh>
    <rPh sb="31" eb="33">
      <t>カクニン</t>
    </rPh>
    <phoneticPr fontId="1"/>
  </si>
  <si>
    <t>ツールバーの「B(バイナリ転送モード)」アイコンを選択する</t>
    <rPh sb="13" eb="15">
      <t>テンソウ</t>
    </rPh>
    <rPh sb="25" eb="27">
      <t>センタク</t>
    </rPh>
    <phoneticPr fontId="1"/>
  </si>
  <si>
    <t>アップロード画面にて右記の通り設定されていることを確認する</t>
    <rPh sb="6" eb="8">
      <t>ガメン</t>
    </rPh>
    <rPh sb="10" eb="12">
      <t>ウキ</t>
    </rPh>
    <rPh sb="13" eb="14">
      <t>トオ</t>
    </rPh>
    <rPh sb="15" eb="17">
      <t>セッテイ</t>
    </rPh>
    <rPh sb="25" eb="27">
      <t>カクニン</t>
    </rPh>
    <phoneticPr fontId="1"/>
  </si>
  <si>
    <t>ダウンロード画面で右記の通り設定されていることを確認する</t>
    <rPh sb="6" eb="8">
      <t>ガメン</t>
    </rPh>
    <rPh sb="9" eb="11">
      <t>ウキ</t>
    </rPh>
    <rPh sb="12" eb="13">
      <t>トオ</t>
    </rPh>
    <rPh sb="14" eb="16">
      <t>セッテイ</t>
    </rPh>
    <rPh sb="24" eb="26">
      <t>カクニン</t>
    </rPh>
    <phoneticPr fontId="1"/>
  </si>
  <si>
    <t>ホスト名</t>
  </si>
  <si>
    <t>eth2</t>
  </si>
  <si>
    <t>eth0</t>
  </si>
  <si>
    <t>eth3</t>
  </si>
  <si>
    <t>eth1</t>
  </si>
  <si>
    <t>保守LANフローティングIPアドレス</t>
  </si>
  <si>
    <t>リモートシェルコマンド用フローティングIPアドレス</t>
  </si>
  <si>
    <t>コマンド用フローティングIPアドレス</t>
  </si>
  <si>
    <t>装置監視A用フローティングIPアドレス</t>
  </si>
  <si>
    <t>装置監視B用フローティングIPアドレス</t>
  </si>
  <si>
    <t>外部EMS一般コマンド用フローティングIPアドレス</t>
  </si>
  <si>
    <t>外部EMSアラーム用フローティングIPアドレス</t>
  </si>
  <si>
    <t>保守LANフローティングIPアドレス（SBY用）</t>
  </si>
  <si>
    <t>（未実装）</t>
  </si>
  <si>
    <t>-</t>
  </si>
  <si>
    <t>e01s2-fs-0200ss</t>
  </si>
  <si>
    <t>10.86.144.161</t>
  </si>
  <si>
    <t>10.86.144.193</t>
  </si>
  <si>
    <t>10.86.144.177</t>
  </si>
  <si>
    <t>10.86.144.209</t>
  </si>
  <si>
    <t>10.86.144.100</t>
  </si>
  <si>
    <t>10.86.144.116</t>
  </si>
  <si>
    <t>10.86.144.84</t>
  </si>
  <si>
    <t>10.86.144.132</t>
  </si>
  <si>
    <t>10.86.144.148</t>
  </si>
  <si>
    <t>10.86.144.70</t>
  </si>
  <si>
    <t>10.86.144.7</t>
  </si>
  <si>
    <t>10.86.144.101</t>
  </si>
  <si>
    <t>e01s2-fs-0201ss</t>
  </si>
  <si>
    <t>10.86.144.162</t>
  </si>
  <si>
    <t>10.86.144.194</t>
  </si>
  <si>
    <t>10.86.144.178</t>
  </si>
  <si>
    <t>10.86.144.210</t>
  </si>
  <si>
    <t>10.86.144.117</t>
  </si>
  <si>
    <t>10.86.144.8</t>
  </si>
  <si>
    <t>e01s2-fs-0210ss</t>
  </si>
  <si>
    <t>10.86.144.163</t>
  </si>
  <si>
    <t>10.86.144.195</t>
  </si>
  <si>
    <t>10.86.144.179</t>
  </si>
  <si>
    <t>10.86.144.211</t>
  </si>
  <si>
    <t>10.86.144.102</t>
  </si>
  <si>
    <t>10.86.144.118</t>
  </si>
  <si>
    <t>10.86.144.87</t>
  </si>
  <si>
    <t>10.86.144.134</t>
  </si>
  <si>
    <t>10.86.144.150</t>
  </si>
  <si>
    <t>10.86.144.71</t>
  </si>
  <si>
    <t>10.86.144.11</t>
  </si>
  <si>
    <t>10.86.144.103</t>
  </si>
  <si>
    <t>e01s2-fs-0211ss</t>
  </si>
  <si>
    <t>10.86.144.164</t>
  </si>
  <si>
    <t>10.86.144.196</t>
  </si>
  <si>
    <t>10.86.144.180</t>
  </si>
  <si>
    <t>10.86.144.212</t>
  </si>
  <si>
    <t>10.86.144.119</t>
  </si>
  <si>
    <t>10.86.144.12</t>
  </si>
  <si>
    <t>w0cfi-fs-0200ss</t>
  </si>
  <si>
    <t>10.207.144.1</t>
  </si>
  <si>
    <t>10.207.144.129</t>
  </si>
  <si>
    <t>10.207.144.65</t>
  </si>
  <si>
    <t>10.207.144.145</t>
  </si>
  <si>
    <t>10.207.141.129</t>
  </si>
  <si>
    <t>10.207.141.193</t>
  </si>
  <si>
    <t>10.207.141.97</t>
  </si>
  <si>
    <t>10.207.142.1</t>
  </si>
  <si>
    <t>10.207.142.33</t>
  </si>
  <si>
    <t>10.207.142.134</t>
  </si>
  <si>
    <t>10.207.141.7</t>
  </si>
  <si>
    <t>10.207.141.168</t>
  </si>
  <si>
    <t>w0cfi-fs-0201ss</t>
  </si>
  <si>
    <t>10.207.144.2</t>
  </si>
  <si>
    <t>10.207.144.130</t>
  </si>
  <si>
    <t>10.207.144.66</t>
  </si>
  <si>
    <t>10.207.144.146</t>
  </si>
  <si>
    <t>10.207.141.194</t>
  </si>
  <si>
    <t>10.207.141.8</t>
  </si>
  <si>
    <t>w0dfi-fs-0110ss</t>
  </si>
  <si>
    <t>10.207.176.3</t>
  </si>
  <si>
    <t>10.207.176.131</t>
  </si>
  <si>
    <t>10.207.176.67</t>
  </si>
  <si>
    <t>10.207.176.147</t>
  </si>
  <si>
    <t>10.207.178.130</t>
  </si>
  <si>
    <t>10.207.178.195</t>
  </si>
  <si>
    <t>10.207.178.98</t>
  </si>
  <si>
    <t>10.207.179.2</t>
  </si>
  <si>
    <t>10.207.179.34</t>
  </si>
  <si>
    <t>10.207.179.135</t>
  </si>
  <si>
    <t>10.207.178.9</t>
  </si>
  <si>
    <t>10.207.178.169</t>
  </si>
  <si>
    <t>w0dfi-fs-0111ss</t>
  </si>
  <si>
    <t>10.207.176.4</t>
  </si>
  <si>
    <t>10.207.176.132</t>
  </si>
  <si>
    <t>10.207.176.68</t>
  </si>
  <si>
    <t>10.207.176.148</t>
  </si>
  <si>
    <t>10.207.178.196</t>
  </si>
  <si>
    <t>10.207.178.10</t>
  </si>
  <si>
    <t>w23sh-fs-0110is</t>
  </si>
  <si>
    <t>10.93.64.3</t>
  </si>
  <si>
    <t>10.93.64.131</t>
  </si>
  <si>
    <t>10.93.64.67</t>
  </si>
  <si>
    <t>10.93.64.147</t>
  </si>
  <si>
    <t>10.93.72.66</t>
  </si>
  <si>
    <t>10.93.72.131</t>
  </si>
  <si>
    <t>10.93.72.34</t>
  </si>
  <si>
    <t>10.93.72.194</t>
  </si>
  <si>
    <t>10.93.72.226</t>
  </si>
  <si>
    <t>10.93.68.71</t>
  </si>
  <si>
    <t>10.93.68.9</t>
  </si>
  <si>
    <t>10.93.72.105</t>
  </si>
  <si>
    <t>w23sh-fs-0111is</t>
  </si>
  <si>
    <t>10.93.64.4</t>
  </si>
  <si>
    <t>10.93.64.132</t>
  </si>
  <si>
    <t>10.93.64.68</t>
  </si>
  <si>
    <t>10.93.64.148</t>
  </si>
  <si>
    <t>10.93.72.132</t>
  </si>
  <si>
    <t>10.93.68.10</t>
  </si>
  <si>
    <t>w23sh-fs-0120ss</t>
  </si>
  <si>
    <t>10.93.64.5</t>
  </si>
  <si>
    <t>10.93.64.133</t>
  </si>
  <si>
    <t>10.93.64.69</t>
  </si>
  <si>
    <t>10.93.64.149</t>
  </si>
  <si>
    <t>10.93.72.67</t>
  </si>
  <si>
    <t>10.93.72.133</t>
  </si>
  <si>
    <t>10.93.72.35</t>
  </si>
  <si>
    <t>10.93.72.195</t>
  </si>
  <si>
    <t>10.93.72.227</t>
  </si>
  <si>
    <t>10.93.68.72</t>
  </si>
  <si>
    <t>10.93.68.11</t>
  </si>
  <si>
    <t>10.93.72.106</t>
  </si>
  <si>
    <t>w23sh-fs-0121ss</t>
  </si>
  <si>
    <t>10.93.64.6</t>
  </si>
  <si>
    <t>10.93.64.134</t>
  </si>
  <si>
    <t>10.93.64.70</t>
  </si>
  <si>
    <t>10.93.64.150</t>
  </si>
  <si>
    <t>10.93.72.134</t>
  </si>
  <si>
    <t>10.93.68.12</t>
  </si>
  <si>
    <t>w23sh-fs-0410ss</t>
  </si>
  <si>
    <t>10.93.75.66</t>
  </si>
  <si>
    <t>10.93.75.131</t>
  </si>
  <si>
    <t>10.93.75.34</t>
  </si>
  <si>
    <t>10.93.75.194</t>
  </si>
  <si>
    <t>10.93.75.226</t>
  </si>
  <si>
    <t>10.93.71.71</t>
  </si>
  <si>
    <t>10.93.71.9</t>
  </si>
  <si>
    <t>10.93.75.105</t>
  </si>
  <si>
    <t>w23sh-fs-0411ss</t>
  </si>
  <si>
    <t>10.93.75.132</t>
  </si>
  <si>
    <t>10.93.71.10</t>
  </si>
  <si>
    <t>w23sh-fs-0700ss</t>
  </si>
  <si>
    <t>10.93.64.1</t>
  </si>
  <si>
    <t>10.93.64.129</t>
  </si>
  <si>
    <t>10.93.64.65</t>
  </si>
  <si>
    <t>10.93.64.145</t>
  </si>
  <si>
    <t>10.93.89.65</t>
  </si>
  <si>
    <t>10.93.89.129</t>
  </si>
  <si>
    <t>10.93.89.33</t>
  </si>
  <si>
    <t>10.93.89.193</t>
  </si>
  <si>
    <t>10.93.89.225</t>
  </si>
  <si>
    <t>10.93.68.102</t>
  </si>
  <si>
    <t>10.93.68.135</t>
  </si>
  <si>
    <t>10.93.89.104</t>
  </si>
  <si>
    <t>w23sh-fs-0701ss</t>
  </si>
  <si>
    <t>10.93.64.2</t>
  </si>
  <si>
    <t>10.93.64.130</t>
  </si>
  <si>
    <t>10.93.64.66</t>
  </si>
  <si>
    <t>10.93.64.146</t>
  </si>
  <si>
    <t>10.93.89.130</t>
  </si>
  <si>
    <t>10.93.68.136</t>
  </si>
  <si>
    <t>w23sh-fs-a200is</t>
  </si>
  <si>
    <t>10.93.73.65</t>
  </si>
  <si>
    <t>10.93.73.129</t>
  </si>
  <si>
    <t>10.93.73.33</t>
  </si>
  <si>
    <t>10.93.73.193</t>
  </si>
  <si>
    <t>10.93.73.225</t>
  </si>
  <si>
    <t>10.93.69.70</t>
  </si>
  <si>
    <t>10.93.69.7</t>
  </si>
  <si>
    <t>10.93.73.104</t>
  </si>
  <si>
    <t>w23sh-fs-a201is</t>
  </si>
  <si>
    <t>10.93.73.130</t>
  </si>
  <si>
    <t>10.93.69.8</t>
  </si>
  <si>
    <t>w23sh-fs-a300is</t>
  </si>
  <si>
    <t>10.93.74.65</t>
  </si>
  <si>
    <t>10.93.74.129</t>
  </si>
  <si>
    <t>10.93.74.33</t>
  </si>
  <si>
    <t>10.93.74.193</t>
  </si>
  <si>
    <t>10.93.74.225</t>
  </si>
  <si>
    <t>10.93.70.70</t>
  </si>
  <si>
    <t>10.93.70.7</t>
  </si>
  <si>
    <t>10.93.74.104</t>
  </si>
  <si>
    <t>w23sh-fs-a301is</t>
  </si>
  <si>
    <t>10.93.74.130</t>
  </si>
  <si>
    <t>10.93.70.8</t>
  </si>
  <si>
    <t>w23sh-fs-a400is</t>
  </si>
  <si>
    <t>10.93.75.65</t>
  </si>
  <si>
    <t>10.93.75.129</t>
  </si>
  <si>
    <t>10.93.75.33</t>
  </si>
  <si>
    <t>10.93.75.193</t>
  </si>
  <si>
    <t>10.93.75.225</t>
  </si>
  <si>
    <t>10.93.71.70</t>
  </si>
  <si>
    <t>10.93.71.7</t>
  </si>
  <si>
    <t>10.93.75.104</t>
  </si>
  <si>
    <t>w23sh-fs-a401is</t>
  </si>
  <si>
    <t>10.93.75.130</t>
  </si>
  <si>
    <t>10.93.71.8</t>
  </si>
  <si>
    <t>w23sh-fs-a500ss</t>
  </si>
  <si>
    <t>10.95.64.1</t>
  </si>
  <si>
    <t>10.95.64.129</t>
  </si>
  <si>
    <t>10.95.64.65</t>
  </si>
  <si>
    <t>10.95.64.145</t>
  </si>
  <si>
    <t>10.95.6.65</t>
  </si>
  <si>
    <t>10.95.6.129</t>
  </si>
  <si>
    <t>10.95.6.33</t>
  </si>
  <si>
    <t>10.95.6.193</t>
  </si>
  <si>
    <t>10.95.6.225</t>
  </si>
  <si>
    <t>10.95.5.70</t>
  </si>
  <si>
    <t>10.95.5.7</t>
  </si>
  <si>
    <t>10.95.6.104</t>
  </si>
  <si>
    <t>w23sh-fs-a501ss</t>
  </si>
  <si>
    <t>10.95.64.2</t>
  </si>
  <si>
    <t>10.95.64.130</t>
  </si>
  <si>
    <t>10.95.64.66</t>
  </si>
  <si>
    <t>10.95.64.146</t>
  </si>
  <si>
    <t>10.95.6.130</t>
  </si>
  <si>
    <t>10.95.5.8</t>
  </si>
  <si>
    <t>w23sh-fs-a510ss</t>
  </si>
  <si>
    <t>10.95.64.3</t>
  </si>
  <si>
    <t>10.95.64.131</t>
  </si>
  <si>
    <t>10.95.64.67</t>
  </si>
  <si>
    <t>10.95.64.147</t>
  </si>
  <si>
    <t>10.95.6.66</t>
  </si>
  <si>
    <t>10.95.6.131</t>
  </si>
  <si>
    <t>10.95.6.34</t>
  </si>
  <si>
    <t>10.95.6.194</t>
  </si>
  <si>
    <t>10.95.6.226</t>
  </si>
  <si>
    <t>10.95.5.71</t>
  </si>
  <si>
    <t>10.95.5.9</t>
  </si>
  <si>
    <t>10.95.6.105</t>
  </si>
  <si>
    <t>w23sh-fs-a511ss</t>
  </si>
  <si>
    <t>10.95.64.4</t>
  </si>
  <si>
    <t>10.95.64.132</t>
  </si>
  <si>
    <t>10.95.64.68</t>
  </si>
  <si>
    <t>10.95.64.148</t>
  </si>
  <si>
    <t>10.95.6.132</t>
  </si>
  <si>
    <t>10.95.5.10</t>
  </si>
  <si>
    <t>w23sh-fs-a600ss</t>
  </si>
  <si>
    <t>10.94.64.1</t>
  </si>
  <si>
    <t>10.94.64.129</t>
  </si>
  <si>
    <t>10.94.64.65</t>
  </si>
  <si>
    <t>10.94.64.145</t>
  </si>
  <si>
    <t>10.94.74.65</t>
  </si>
  <si>
    <t>10.94.74.129</t>
  </si>
  <si>
    <t>10.94.74.33</t>
  </si>
  <si>
    <t>10.94.74.193</t>
  </si>
  <si>
    <t>10.94.74.225</t>
  </si>
  <si>
    <t>10.94.70.70</t>
  </si>
  <si>
    <t>10.94.70.7</t>
  </si>
  <si>
    <t>10.94.74.104</t>
  </si>
  <si>
    <t>w23sh-fs-a601ss</t>
  </si>
  <si>
    <t>10.94.64.2</t>
  </si>
  <si>
    <t>10.94.64.130</t>
  </si>
  <si>
    <t>10.94.64.66</t>
  </si>
  <si>
    <t>10.94.64.146</t>
  </si>
  <si>
    <t>10.94.74.130</t>
  </si>
  <si>
    <t>10.94.70.8</t>
  </si>
  <si>
    <t>w26km-fs-0100ss</t>
  </si>
  <si>
    <t>10.250.86.1</t>
  </si>
  <si>
    <t>10.250.86.17</t>
  </si>
  <si>
    <t>10.250.86.9</t>
  </si>
  <si>
    <t>10.250.86.25</t>
  </si>
  <si>
    <t>10.250.83.100</t>
  </si>
  <si>
    <t>10.250.83.116</t>
  </si>
  <si>
    <t>10.250.83.52</t>
  </si>
  <si>
    <t>10.250.83.132</t>
  </si>
  <si>
    <t>10.250.83.148</t>
  </si>
  <si>
    <t>10.250.83.38</t>
  </si>
  <si>
    <t>10.250.83.7</t>
  </si>
  <si>
    <t>10.250.83.103</t>
  </si>
  <si>
    <t>w26km-fs-0101ss</t>
  </si>
  <si>
    <t>10.250.86.2</t>
  </si>
  <si>
    <t>10.250.86.18</t>
  </si>
  <si>
    <t>10.250.86.10</t>
  </si>
  <si>
    <t>10.250.86.26</t>
  </si>
  <si>
    <t>10.250.83.117</t>
  </si>
  <si>
    <t>10.250.83.8</t>
  </si>
  <si>
    <t>w27on-fs-0100ss</t>
  </si>
  <si>
    <t>10.250.84.1</t>
  </si>
  <si>
    <t>10.250.84.17</t>
  </si>
  <si>
    <t>10.250.84.9</t>
  </si>
  <si>
    <t>10.250.84.25</t>
  </si>
  <si>
    <t>10.250.81.100</t>
  </si>
  <si>
    <t>10.250.81.116</t>
  </si>
  <si>
    <t>10.250.81.52</t>
  </si>
  <si>
    <t>10.250.81.132</t>
  </si>
  <si>
    <t>10.250.81.148</t>
  </si>
  <si>
    <t>10.250.81.38</t>
  </si>
  <si>
    <t>10.250.81.7</t>
  </si>
  <si>
    <t>10.250.81.103</t>
  </si>
  <si>
    <t>w27on-fs-0101ss</t>
  </si>
  <si>
    <t>10.250.84.2</t>
  </si>
  <si>
    <t>10.250.84.18</t>
  </si>
  <si>
    <t>10.250.84.10</t>
  </si>
  <si>
    <t>10.250.84.26</t>
  </si>
  <si>
    <t>10.250.81.117</t>
  </si>
  <si>
    <t>10.250.81.8</t>
  </si>
  <si>
    <t>w27os-fs-0310is</t>
  </si>
  <si>
    <t>10.95.68.130</t>
  </si>
  <si>
    <t>10.95.68.195</t>
  </si>
  <si>
    <t>10.95.68.98</t>
  </si>
  <si>
    <t>10.95.69.2</t>
  </si>
  <si>
    <t>10.95.69.34</t>
  </si>
  <si>
    <t>10.95.67.199</t>
  </si>
  <si>
    <t>10.95.68.9</t>
  </si>
  <si>
    <t>10.95.68.169</t>
  </si>
  <si>
    <t>w27os-fs-0311is</t>
  </si>
  <si>
    <t>10.95.68.196</t>
  </si>
  <si>
    <t>10.95.68.10</t>
  </si>
  <si>
    <t>w27os-fs-0320ss</t>
  </si>
  <si>
    <t>10.95.64.5</t>
  </si>
  <si>
    <t>10.95.64.133</t>
  </si>
  <si>
    <t>10.95.64.69</t>
  </si>
  <si>
    <t>10.95.64.149</t>
  </si>
  <si>
    <t>10.95.68.131</t>
  </si>
  <si>
    <t>10.95.68.197</t>
  </si>
  <si>
    <t>10.95.68.99</t>
  </si>
  <si>
    <t>10.95.69.3</t>
  </si>
  <si>
    <t>10.95.69.35</t>
  </si>
  <si>
    <t>10.95.67.200</t>
  </si>
  <si>
    <t>10.95.68.11</t>
  </si>
  <si>
    <t>10.95.68.170</t>
  </si>
  <si>
    <t>w27os-fs-0321ss</t>
  </si>
  <si>
    <t>10.95.64.6</t>
  </si>
  <si>
    <t>10.95.64.134</t>
  </si>
  <si>
    <t>10.95.64.70</t>
  </si>
  <si>
    <t>10.95.64.150</t>
  </si>
  <si>
    <t>10.95.68.198</t>
  </si>
  <si>
    <t>10.95.68.12</t>
  </si>
  <si>
    <t>w27os-fs-0400is</t>
  </si>
  <si>
    <t>10.95.75.65</t>
  </si>
  <si>
    <t>10.95.75.129</t>
  </si>
  <si>
    <t>10.95.75.33</t>
  </si>
  <si>
    <t>10.95.75.193</t>
  </si>
  <si>
    <t>10.95.75.225</t>
  </si>
  <si>
    <t>10.95.74.70</t>
  </si>
  <si>
    <t>10.95.74.7</t>
  </si>
  <si>
    <t>10.95.75.104</t>
  </si>
  <si>
    <t>w27os-fs-0401is</t>
  </si>
  <si>
    <t>10.95.75.130</t>
  </si>
  <si>
    <t>10.95.74.8</t>
  </si>
  <si>
    <t>w27os-fs-0410ss</t>
  </si>
  <si>
    <t>10.95.75.66</t>
  </si>
  <si>
    <t>10.95.75.131</t>
  </si>
  <si>
    <t>10.95.75.34</t>
  </si>
  <si>
    <t>10.95.75.194</t>
  </si>
  <si>
    <t>10.95.75.226</t>
  </si>
  <si>
    <t>10.95.74.71</t>
  </si>
  <si>
    <t>10.95.74.9</t>
  </si>
  <si>
    <t>10.95.75.105</t>
  </si>
  <si>
    <t>w27os-fs-0411ss</t>
  </si>
  <si>
    <t>10.95.75.132</t>
  </si>
  <si>
    <t>10.95.74.10</t>
  </si>
  <si>
    <t>w27os-fs-0500ss</t>
  </si>
  <si>
    <t>10.95.81.65</t>
  </si>
  <si>
    <t>10.95.81.129</t>
  </si>
  <si>
    <t>10.95.81.33</t>
  </si>
  <si>
    <t>10.95.81.193</t>
  </si>
  <si>
    <t>10.95.81.225</t>
  </si>
  <si>
    <t>10.95.74.198</t>
  </si>
  <si>
    <t>10.95.74.135</t>
  </si>
  <si>
    <t>10.95.81.104</t>
  </si>
  <si>
    <t>w27os-fs-0501ss</t>
  </si>
  <si>
    <t>10.95.81.130</t>
  </si>
  <si>
    <t>10.95.74.136</t>
  </si>
  <si>
    <t>w27os-fs-0510ss</t>
  </si>
  <si>
    <t>10.95.81.66</t>
  </si>
  <si>
    <t>10.95.81.131</t>
  </si>
  <si>
    <t>10.95.81.34</t>
  </si>
  <si>
    <t>10.95.81.194</t>
  </si>
  <si>
    <t>10.95.81.226</t>
  </si>
  <si>
    <t>10.95.74.199</t>
  </si>
  <si>
    <t>10.95.74.137</t>
  </si>
  <si>
    <t>10.95.81.105</t>
  </si>
  <si>
    <t>w27os-fs-0511ss</t>
  </si>
  <si>
    <t>10.95.81.132</t>
  </si>
  <si>
    <t>10.95.74.138</t>
  </si>
  <si>
    <t>w27os-fs-a600ss</t>
  </si>
  <si>
    <t>10.93.78.65</t>
  </si>
  <si>
    <t>10.93.78.129</t>
  </si>
  <si>
    <t>10.93.78.33</t>
  </si>
  <si>
    <t>10.93.78.193</t>
  </si>
  <si>
    <t>10.93.78.225</t>
  </si>
  <si>
    <t>10.93.76.70</t>
  </si>
  <si>
    <t>10.93.76.7</t>
  </si>
  <si>
    <t>10.93.78.104</t>
  </si>
  <si>
    <t>w27os-fs-a601ss</t>
  </si>
  <si>
    <t>10.93.78.130</t>
  </si>
  <si>
    <t>10.93.76.8</t>
  </si>
  <si>
    <t>w27os-fs-a610ss</t>
  </si>
  <si>
    <t>10.93.78.66</t>
  </si>
  <si>
    <t>10.93.78.131</t>
  </si>
  <si>
    <t>10.93.78.34</t>
  </si>
  <si>
    <t>10.93.78.194</t>
  </si>
  <si>
    <t>10.93.78.226</t>
  </si>
  <si>
    <t>10.93.76.71</t>
  </si>
  <si>
    <t>10.93.76.9</t>
  </si>
  <si>
    <t>10.93.78.105</t>
  </si>
  <si>
    <t>w27os-fs-a611ss</t>
  </si>
  <si>
    <t>10.93.78.132</t>
  </si>
  <si>
    <t>10.93.76.10</t>
  </si>
  <si>
    <t>w28dk-fs-0100is</t>
  </si>
  <si>
    <t>10.94.72.65</t>
  </si>
  <si>
    <t>10.94.72.129</t>
  </si>
  <si>
    <t>10.94.72.33</t>
  </si>
  <si>
    <t>10.94.72.193</t>
  </si>
  <si>
    <t>10.94.72.225</t>
  </si>
  <si>
    <t>10.94.68.70</t>
  </si>
  <si>
    <t>10.94.68.7</t>
  </si>
  <si>
    <t>10.94.72.104</t>
  </si>
  <si>
    <t>w28dk-fs-0101is</t>
  </si>
  <si>
    <t>10.94.72.130</t>
  </si>
  <si>
    <t>10.94.68.8</t>
  </si>
  <si>
    <t>w28dk-fs-0110ss</t>
  </si>
  <si>
    <t>10.94.64.3</t>
  </si>
  <si>
    <t>10.94.64.131</t>
  </si>
  <si>
    <t>10.94.64.67</t>
  </si>
  <si>
    <t>10.94.64.147</t>
  </si>
  <si>
    <t>10.94.72.66</t>
  </si>
  <si>
    <t>10.94.72.131</t>
  </si>
  <si>
    <t>10.94.72.34</t>
  </si>
  <si>
    <t>10.94.72.194</t>
  </si>
  <si>
    <t>10.94.72.226</t>
  </si>
  <si>
    <t>10.94.68.71</t>
  </si>
  <si>
    <t>10.94.68.9</t>
  </si>
  <si>
    <t>10.94.72.105</t>
  </si>
  <si>
    <t>w28dk-fs-0111ss</t>
  </si>
  <si>
    <t>10.94.64.4</t>
  </si>
  <si>
    <t>10.94.64.132</t>
  </si>
  <si>
    <t>10.94.64.68</t>
  </si>
  <si>
    <t>10.94.64.148</t>
  </si>
  <si>
    <t>10.94.72.132</t>
  </si>
  <si>
    <t>10.94.68.10</t>
  </si>
  <si>
    <t>w28dk-fs-0120ss</t>
  </si>
  <si>
    <t>10.94.64.5</t>
  </si>
  <si>
    <t>10.94.64.133</t>
  </si>
  <si>
    <t>10.94.64.69</t>
  </si>
  <si>
    <t>10.94.64.149</t>
  </si>
  <si>
    <t>10.94.72.67</t>
  </si>
  <si>
    <t>10.94.72.133</t>
  </si>
  <si>
    <t>10.94.72.35</t>
  </si>
  <si>
    <t>10.94.72.195</t>
  </si>
  <si>
    <t>10.94.72.227</t>
  </si>
  <si>
    <t>10.94.68.72</t>
  </si>
  <si>
    <t>10.94.68.11</t>
  </si>
  <si>
    <t>10.94.72.106</t>
  </si>
  <si>
    <t>w28dk-fs-0121ss</t>
  </si>
  <si>
    <t>10.94.64.6</t>
  </si>
  <si>
    <t>10.94.64.134</t>
  </si>
  <si>
    <t>10.94.64.70</t>
  </si>
  <si>
    <t>10.94.64.150</t>
  </si>
  <si>
    <t>10.94.72.134</t>
  </si>
  <si>
    <t>10.94.68.12</t>
  </si>
  <si>
    <t>w28dk-fs-a200is</t>
  </si>
  <si>
    <t>10.94.73.65</t>
  </si>
  <si>
    <t>10.94.73.129</t>
  </si>
  <si>
    <t>10.94.73.33</t>
  </si>
  <si>
    <t>10.94.73.193</t>
  </si>
  <si>
    <t>10.94.73.225</t>
  </si>
  <si>
    <t>10.94.69.70</t>
  </si>
  <si>
    <t>10.94.69.7</t>
  </si>
  <si>
    <t>10.94.73.104</t>
  </si>
  <si>
    <t>w28dk-fs-a201is</t>
  </si>
  <si>
    <t>10.94.73.130</t>
  </si>
  <si>
    <t>10.94.69.8</t>
  </si>
  <si>
    <t>w28kc-fs-0100ss</t>
  </si>
  <si>
    <t>10.199.116.1</t>
  </si>
  <si>
    <t>10.199.116.17</t>
  </si>
  <si>
    <t>10.199.116.9</t>
  </si>
  <si>
    <t>10.199.116.25</t>
  </si>
  <si>
    <t>10.199.113.100</t>
  </si>
  <si>
    <t>10.199.113.116</t>
  </si>
  <si>
    <t>10.199.113.52</t>
  </si>
  <si>
    <t>10.199.113.132</t>
  </si>
  <si>
    <t>10.199.113.148</t>
  </si>
  <si>
    <t>10.199.113.38</t>
  </si>
  <si>
    <t>10.199.113.7</t>
  </si>
  <si>
    <t>10.199.113.103</t>
  </si>
  <si>
    <t>w28kc-fs-0101ss</t>
  </si>
  <si>
    <t>10.199.116.2</t>
  </si>
  <si>
    <t>10.199.116.18</t>
  </si>
  <si>
    <t>10.199.116.10</t>
  </si>
  <si>
    <t>10.199.116.26</t>
  </si>
  <si>
    <t>10.199.113.117</t>
  </si>
  <si>
    <t>10.199.113.8</t>
  </si>
  <si>
    <t>10.199.118.1</t>
  </si>
  <si>
    <t>10.199.118.17</t>
  </si>
  <si>
    <t>10.199.118.9</t>
  </si>
  <si>
    <t>10.199.118.25</t>
  </si>
  <si>
    <t>10.199.115.100</t>
  </si>
  <si>
    <t>10.199.115.116</t>
  </si>
  <si>
    <t>10.199.115.52</t>
  </si>
  <si>
    <t>10.199.115.132</t>
  </si>
  <si>
    <t>10.199.115.148</t>
  </si>
  <si>
    <t>10.199.115.38</t>
  </si>
  <si>
    <t>10.199.115.7</t>
  </si>
  <si>
    <t>10.199.115.103</t>
  </si>
  <si>
    <t>10.199.118.2</t>
  </si>
  <si>
    <t>10.199.118.18</t>
  </si>
  <si>
    <t>10.199.118.10</t>
  </si>
  <si>
    <t>10.199.118.26</t>
  </si>
  <si>
    <t>10.199.115.117</t>
  </si>
  <si>
    <t>10.199.115.8</t>
  </si>
  <si>
    <t>w34mm-fs-0100is</t>
  </si>
  <si>
    <t>10.92.64.1</t>
  </si>
  <si>
    <t>10.92.64.129</t>
  </si>
  <si>
    <t>10.92.64.65</t>
  </si>
  <si>
    <t>10.92.64.145</t>
  </si>
  <si>
    <t>10.92.72.65</t>
  </si>
  <si>
    <t>10.92.72.129</t>
  </si>
  <si>
    <t>10.92.72.33</t>
  </si>
  <si>
    <t>10.92.72.193</t>
  </si>
  <si>
    <t>10.92.72.225</t>
  </si>
  <si>
    <t>10.92.68.70</t>
  </si>
  <si>
    <t>10.92.68.7</t>
  </si>
  <si>
    <t>10.92.72.104</t>
  </si>
  <si>
    <t>w34mm-fs-0101is</t>
  </si>
  <si>
    <t>10.92.64.2</t>
  </si>
  <si>
    <t>10.92.64.130</t>
  </si>
  <si>
    <t>10.92.64.66</t>
  </si>
  <si>
    <t>10.92.64.146</t>
  </si>
  <si>
    <t>10.92.72.130</t>
  </si>
  <si>
    <t>10.92.68.8</t>
  </si>
  <si>
    <t>w34mm-fs-0110ss</t>
  </si>
  <si>
    <t>10.92.64.3</t>
  </si>
  <si>
    <t>10.92.64.131</t>
  </si>
  <si>
    <t>10.92.64.67</t>
  </si>
  <si>
    <t>10.92.64.147</t>
  </si>
  <si>
    <t>10.92.72.66</t>
  </si>
  <si>
    <t>10.92.72.131</t>
  </si>
  <si>
    <t>10.92.72.34</t>
  </si>
  <si>
    <t>10.92.72.194</t>
  </si>
  <si>
    <t>10.92.72.226</t>
  </si>
  <si>
    <t>10.92.68.71</t>
  </si>
  <si>
    <t>10.92.68.9</t>
  </si>
  <si>
    <t>10.92.72.105</t>
  </si>
  <si>
    <t>w34mm-fs-0111ss</t>
  </si>
  <si>
    <t>10.92.64.4</t>
  </si>
  <si>
    <t>10.92.64.132</t>
  </si>
  <si>
    <t>10.92.64.68</t>
  </si>
  <si>
    <t>10.92.64.148</t>
  </si>
  <si>
    <t>10.92.72.132</t>
  </si>
  <si>
    <t>10.92.68.10</t>
  </si>
  <si>
    <t>w34mm-fs-0120ss</t>
  </si>
  <si>
    <t>10.92.64.5</t>
  </si>
  <si>
    <t>10.92.64.133</t>
  </si>
  <si>
    <t>10.92.64.69</t>
  </si>
  <si>
    <t>10.92.64.149</t>
  </si>
  <si>
    <t>10.92.72.67</t>
  </si>
  <si>
    <t>10.92.72.133</t>
  </si>
  <si>
    <t>10.92.72.35</t>
  </si>
  <si>
    <t>10.92.72.195</t>
  </si>
  <si>
    <t>10.92.72.227</t>
  </si>
  <si>
    <t>10.92.68.72</t>
  </si>
  <si>
    <t>10.92.68.11</t>
  </si>
  <si>
    <t>10.92.72.106</t>
  </si>
  <si>
    <t>w34mm-fs-0121ss</t>
  </si>
  <si>
    <t>10.92.64.6</t>
  </si>
  <si>
    <t>10.92.64.134</t>
  </si>
  <si>
    <t>10.92.64.70</t>
  </si>
  <si>
    <t>10.92.64.150</t>
  </si>
  <si>
    <t>10.92.72.134</t>
  </si>
  <si>
    <t>10.92.68.12</t>
  </si>
  <si>
    <t>w34mm-fs-a200is</t>
  </si>
  <si>
    <t>10.92.73.65</t>
  </si>
  <si>
    <t>10.92.73.129</t>
  </si>
  <si>
    <t>10.92.73.33</t>
  </si>
  <si>
    <t>10.92.73.193</t>
  </si>
  <si>
    <t>10.92.73.225</t>
  </si>
  <si>
    <t>10.92.69.70</t>
  </si>
  <si>
    <t>10.92.69.7</t>
  </si>
  <si>
    <t>10.92.73.104</t>
  </si>
  <si>
    <t>w34mm-fs-a201is</t>
  </si>
  <si>
    <t>10.92.73.130</t>
  </si>
  <si>
    <t>10.92.69.8</t>
  </si>
  <si>
    <t>w34mm-fs-a300ss</t>
  </si>
  <si>
    <t>10.91.64.1</t>
  </si>
  <si>
    <t>10.91.64.129</t>
  </si>
  <si>
    <t>10.91.64.65</t>
  </si>
  <si>
    <t>10.91.64.145</t>
  </si>
  <si>
    <t>10.91.74.65</t>
  </si>
  <si>
    <t>10.91.74.129</t>
  </si>
  <si>
    <t>10.91.74.33</t>
  </si>
  <si>
    <t>10.91.74.193</t>
  </si>
  <si>
    <t>10.91.74.225</t>
  </si>
  <si>
    <t>10.91.70.70</t>
  </si>
  <si>
    <t>10.91.70.7</t>
  </si>
  <si>
    <t>10.91.74.104</t>
  </si>
  <si>
    <t>w34mm-fs-a301ss</t>
  </si>
  <si>
    <t>10.91.64.2</t>
  </si>
  <si>
    <t>10.91.64.130</t>
  </si>
  <si>
    <t>10.91.64.66</t>
  </si>
  <si>
    <t>10.91.64.146</t>
  </si>
  <si>
    <t>10.91.74.130</t>
  </si>
  <si>
    <t>10.91.70.8</t>
  </si>
  <si>
    <t>w34mm-fs-a310ss</t>
  </si>
  <si>
    <t>10.91.64.3</t>
  </si>
  <si>
    <t>10.91.64.131</t>
  </si>
  <si>
    <t>10.91.64.67</t>
  </si>
  <si>
    <t>10.91.64.147</t>
  </si>
  <si>
    <t>10.91.74.66</t>
  </si>
  <si>
    <t>10.91.74.131</t>
  </si>
  <si>
    <t>10.91.74.34</t>
  </si>
  <si>
    <t>10.91.74.194</t>
  </si>
  <si>
    <t>10.91.74.226</t>
  </si>
  <si>
    <t>10.91.70.71</t>
  </si>
  <si>
    <t>10.91.70.9</t>
  </si>
  <si>
    <t>10.91.74.105</t>
  </si>
  <si>
    <t>w34mm-fs-a311ss</t>
  </si>
  <si>
    <t>10.91.64.4</t>
  </si>
  <si>
    <t>10.91.64.132</t>
  </si>
  <si>
    <t>10.91.64.68</t>
  </si>
  <si>
    <t>10.91.64.148</t>
  </si>
  <si>
    <t>10.91.74.132</t>
  </si>
  <si>
    <t>10.91.70.10</t>
  </si>
  <si>
    <t>w34nh-fs-0400ss</t>
  </si>
  <si>
    <t>10.92.77.1</t>
  </si>
  <si>
    <t>10.92.77.17</t>
  </si>
  <si>
    <t>10.92.77.9</t>
  </si>
  <si>
    <t>10.92.77.25</t>
  </si>
  <si>
    <t>10.92.97.100</t>
  </si>
  <si>
    <t>10.92.97.116</t>
  </si>
  <si>
    <t>10.92.97.52</t>
  </si>
  <si>
    <t>10.92.97.132</t>
  </si>
  <si>
    <t>10.92.97.148</t>
  </si>
  <si>
    <t>10.92.97.38</t>
  </si>
  <si>
    <t>10.92.97.7</t>
  </si>
  <si>
    <t>10.92.97.103</t>
  </si>
  <si>
    <t>w34nh-fs-0401ss</t>
  </si>
  <si>
    <t>10.92.77.2</t>
  </si>
  <si>
    <t>10.92.77.18</t>
  </si>
  <si>
    <t>10.92.77.10</t>
  </si>
  <si>
    <t>10.92.77.26</t>
  </si>
  <si>
    <t>10.92.97.117</t>
  </si>
  <si>
    <t>10.92.97.8</t>
  </si>
  <si>
    <t>w40ht-fs-0400ss</t>
  </si>
  <si>
    <t>10.91.111.1</t>
  </si>
  <si>
    <t>10.91.111.17</t>
  </si>
  <si>
    <t>10.91.111.9</t>
  </si>
  <si>
    <t>10.91.111.25</t>
  </si>
  <si>
    <t>10.91.118.100</t>
  </si>
  <si>
    <t>10.91.118.116</t>
  </si>
  <si>
    <t>10.91.118.52</t>
  </si>
  <si>
    <t>10.91.118.132</t>
  </si>
  <si>
    <t>10.91.118.148</t>
  </si>
  <si>
    <t>10.91.118.38</t>
  </si>
  <si>
    <t>10.91.118.7</t>
  </si>
  <si>
    <t>10.91.118.103</t>
  </si>
  <si>
    <t>w40ht-fs-0401ss</t>
  </si>
  <si>
    <t>10.91.111.2</t>
  </si>
  <si>
    <t>10.91.111.18</t>
  </si>
  <si>
    <t>10.91.111.10</t>
  </si>
  <si>
    <t>10.91.111.26</t>
  </si>
  <si>
    <t>10.91.118.117</t>
  </si>
  <si>
    <t>10.91.118.8</t>
  </si>
  <si>
    <t>w40ht-fs-0410ss</t>
  </si>
  <si>
    <t>10.91.111.3</t>
  </si>
  <si>
    <t>10.91.111.19</t>
  </si>
  <si>
    <t>10.91.111.11</t>
  </si>
  <si>
    <t>10.91.111.27</t>
  </si>
  <si>
    <t>10.91.118.101</t>
  </si>
  <si>
    <t>10.91.118.118</t>
  </si>
  <si>
    <t>10.91.118.53</t>
  </si>
  <si>
    <t>10.91.118.133</t>
  </si>
  <si>
    <t>10.91.118.149</t>
  </si>
  <si>
    <t>10.91.118.39</t>
  </si>
  <si>
    <t>10.91.118.9</t>
  </si>
  <si>
    <t>10.91.118.104</t>
  </si>
  <si>
    <t>w40ht-fs-0411ss</t>
  </si>
  <si>
    <t>10.91.111.4</t>
  </si>
  <si>
    <t>10.91.111.20</t>
  </si>
  <si>
    <t>10.91.111.12</t>
  </si>
  <si>
    <t>10.91.111.28</t>
  </si>
  <si>
    <t>10.91.118.119</t>
  </si>
  <si>
    <t>10.91.118.10</t>
  </si>
  <si>
    <t>w40tj-fs-0100is</t>
  </si>
  <si>
    <t>10.91.72.65</t>
  </si>
  <si>
    <t>10.91.72.129</t>
  </si>
  <si>
    <t>10.91.72.33</t>
  </si>
  <si>
    <t>10.91.72.193</t>
  </si>
  <si>
    <t>10.91.72.225</t>
  </si>
  <si>
    <t>10.91.68.70</t>
  </si>
  <si>
    <t>10.91.68.7</t>
  </si>
  <si>
    <t>10.91.72.104</t>
  </si>
  <si>
    <t>w40tj-fs-0101is</t>
  </si>
  <si>
    <t>10.91.72.130</t>
  </si>
  <si>
    <t>10.91.68.8</t>
  </si>
  <si>
    <t>w40tj-fs-0110ss</t>
  </si>
  <si>
    <t>10.91.72.66</t>
  </si>
  <si>
    <t>10.91.72.131</t>
  </si>
  <si>
    <t>10.91.72.34</t>
  </si>
  <si>
    <t>10.91.72.194</t>
  </si>
  <si>
    <t>10.91.72.226</t>
  </si>
  <si>
    <t>10.91.68.71</t>
  </si>
  <si>
    <t>10.91.68.9</t>
  </si>
  <si>
    <t>10.91.72.105</t>
  </si>
  <si>
    <t>w40tj-fs-0111ss</t>
  </si>
  <si>
    <t>10.91.72.132</t>
  </si>
  <si>
    <t>10.91.68.10</t>
  </si>
  <si>
    <t>w40tj-fs-0120ss</t>
  </si>
  <si>
    <t>10.91.64.5</t>
  </si>
  <si>
    <t>10.91.64.133</t>
  </si>
  <si>
    <t>10.91.64.69</t>
  </si>
  <si>
    <t>10.91.64.149</t>
  </si>
  <si>
    <t>10.91.72.67</t>
  </si>
  <si>
    <t>10.91.72.133</t>
  </si>
  <si>
    <t>10.91.72.35</t>
  </si>
  <si>
    <t>10.91.72.195</t>
  </si>
  <si>
    <t>10.91.72.227</t>
  </si>
  <si>
    <t>10.91.68.72</t>
  </si>
  <si>
    <t>10.91.68.11</t>
  </si>
  <si>
    <t>10.91.72.106</t>
  </si>
  <si>
    <t>w40tj-fs-0121ss</t>
  </si>
  <si>
    <t>10.91.64.6</t>
  </si>
  <si>
    <t>10.91.64.134</t>
  </si>
  <si>
    <t>10.91.64.70</t>
  </si>
  <si>
    <t>10.91.64.150</t>
  </si>
  <si>
    <t>10.91.72.134</t>
  </si>
  <si>
    <t>10.91.68.12</t>
  </si>
  <si>
    <t>w40tj-fs-a200is</t>
  </si>
  <si>
    <t>10.91.73.65</t>
  </si>
  <si>
    <t>10.91.73.129</t>
  </si>
  <si>
    <t>10.91.73.33</t>
  </si>
  <si>
    <t>10.91.73.193</t>
  </si>
  <si>
    <t>10.91.73.225</t>
  </si>
  <si>
    <t>10.91.69.70</t>
  </si>
  <si>
    <t>10.91.69.7</t>
  </si>
  <si>
    <t>10.91.73.104</t>
  </si>
  <si>
    <t>w40tj-fs-a201is</t>
  </si>
  <si>
    <t>10.91.73.130</t>
  </si>
  <si>
    <t>10.91.69.8</t>
  </si>
  <si>
    <t>w40tj-fs-a300ss</t>
  </si>
  <si>
    <t>10.92.74.65</t>
  </si>
  <si>
    <t>10.92.74.129</t>
  </si>
  <si>
    <t>10.92.74.33</t>
  </si>
  <si>
    <t>10.92.74.193</t>
  </si>
  <si>
    <t>10.92.74.225</t>
  </si>
  <si>
    <t>10.92.70.70</t>
  </si>
  <si>
    <t>10.92.70.7</t>
  </si>
  <si>
    <t>10.92.74.104</t>
  </si>
  <si>
    <t>w40tj-fs-a301ss</t>
  </si>
  <si>
    <t>10.92.74.130</t>
  </si>
  <si>
    <t>10.92.70.8</t>
  </si>
  <si>
    <t>w40tj-fs-a310ss</t>
  </si>
  <si>
    <t>10.92.74.66</t>
  </si>
  <si>
    <t>10.92.74.131</t>
  </si>
  <si>
    <t>10.92.74.34</t>
  </si>
  <si>
    <t>10.92.74.194</t>
  </si>
  <si>
    <t>10.92.74.226</t>
  </si>
  <si>
    <t>10.92.70.71</t>
  </si>
  <si>
    <t>10.92.70.9</t>
  </si>
  <si>
    <t>10.92.74.105</t>
  </si>
  <si>
    <t>w40tj-fs-a311ss</t>
  </si>
  <si>
    <t>10.92.74.132</t>
  </si>
  <si>
    <t>10.92.70.10</t>
  </si>
  <si>
    <t>EMSコマンド用IPアドレス</t>
  </si>
  <si>
    <t>EMSアラーム用IPアドレス</t>
  </si>
  <si>
    <t>APL付与のフローティングIPアドレス</t>
  </si>
  <si>
    <t>iLO用</t>
  </si>
  <si>
    <t>収容形態</t>
  </si>
  <si>
    <t>BCR02のIPアドレス(ループバックIPアドレス)</t>
  </si>
  <si>
    <t>TTS-Host</t>
  </si>
  <si>
    <t>TTS-IP</t>
  </si>
  <si>
    <t>TTS-Port</t>
  </si>
  <si>
    <t>AGENT_NO</t>
  </si>
  <si>
    <t>WEB_DEVICE_NO</t>
  </si>
  <si>
    <t>e01s2gui-0200p2</t>
  </si>
  <si>
    <t>10.86.144.68</t>
  </si>
  <si>
    <t>10.86.144.5</t>
  </si>
  <si>
    <t>10.86.144.4</t>
  </si>
  <si>
    <t>10.86.144.36</t>
  </si>
  <si>
    <t>e01s2gui-0201p2</t>
  </si>
  <si>
    <t>10.86.144.69</t>
  </si>
  <si>
    <t>10.86.144.6</t>
  </si>
  <si>
    <t>10.86.144.37</t>
  </si>
  <si>
    <t>w0cfigui-0200p2</t>
  </si>
  <si>
    <t>10.207.142.132</t>
  </si>
  <si>
    <t>10.207.141.5</t>
  </si>
  <si>
    <t>10.207.141.4</t>
  </si>
  <si>
    <t>10.207.141.56</t>
  </si>
  <si>
    <t>w0cfigui-0201p2</t>
  </si>
  <si>
    <t>10.207.142.133</t>
  </si>
  <si>
    <t>10.207.141.6</t>
  </si>
  <si>
    <t>10.207.141.60</t>
  </si>
  <si>
    <t>w0dfigui-0100p2</t>
  </si>
  <si>
    <t>10.207.179.132</t>
  </si>
  <si>
    <t>10.207.178.5</t>
  </si>
  <si>
    <t>10.207.178.4</t>
  </si>
  <si>
    <t>10.207.178.47</t>
  </si>
  <si>
    <t>w0dfigui-0101p2</t>
  </si>
  <si>
    <t>10.207.179.133</t>
  </si>
  <si>
    <t>10.207.178.6</t>
  </si>
  <si>
    <t>10.207.178.48</t>
  </si>
  <si>
    <t>w23shgui-0100p2</t>
  </si>
  <si>
    <t>10.93.68.68</t>
  </si>
  <si>
    <t>10.93.68.5</t>
  </si>
  <si>
    <t>10.93.68.4</t>
  </si>
  <si>
    <t>10.93.68.52</t>
  </si>
  <si>
    <t>東海呼処理収容(SSC/ISC)</t>
  </si>
  <si>
    <t>w23shgui-0101p2</t>
  </si>
  <si>
    <t>10.93.68.69</t>
  </si>
  <si>
    <t>10.93.68.6</t>
  </si>
  <si>
    <t>10.93.68.53</t>
  </si>
  <si>
    <t>w23shgui-0700p2</t>
  </si>
  <si>
    <t>10.93.68.100</t>
  </si>
  <si>
    <t>10.93.68.133</t>
  </si>
  <si>
    <t>10.93.68.132</t>
  </si>
  <si>
    <t>10.93.68.186</t>
  </si>
  <si>
    <t>クロスのみ(SSC)</t>
  </si>
  <si>
    <t>w23shgui-0701p2</t>
  </si>
  <si>
    <t>10.93.68.101</t>
  </si>
  <si>
    <t>10.93.68.134</t>
  </si>
  <si>
    <t>10.93.68.187</t>
  </si>
  <si>
    <t>w23shgui-a200p2</t>
  </si>
  <si>
    <t>10.93.69.68</t>
  </si>
  <si>
    <t>10.93.69.5</t>
  </si>
  <si>
    <t>10.93.69.4</t>
  </si>
  <si>
    <t>10.93.69.52</t>
  </si>
  <si>
    <t>関西１呼処理収容(ISC)</t>
  </si>
  <si>
    <t>w23shgui-a201p2</t>
  </si>
  <si>
    <t>10.93.69.69</t>
  </si>
  <si>
    <t>10.93.69.6</t>
  </si>
  <si>
    <t>10.93.69.53</t>
  </si>
  <si>
    <t>w23shgui-a300p2</t>
  </si>
  <si>
    <t>10.93.70.68</t>
  </si>
  <si>
    <t>10.93.70.5</t>
  </si>
  <si>
    <t>10.93.70.4</t>
  </si>
  <si>
    <t>10.93.70.52</t>
  </si>
  <si>
    <t>関西２呼処理収容(ISC)</t>
  </si>
  <si>
    <t>w23shgui-a301p2</t>
  </si>
  <si>
    <t>10.93.70.69</t>
  </si>
  <si>
    <t>10.93.70.6</t>
  </si>
  <si>
    <t>10.93.70.53</t>
  </si>
  <si>
    <t>w23shgui-a400p2</t>
  </si>
  <si>
    <t>10.93.71.68</t>
  </si>
  <si>
    <t>10.93.71.5</t>
  </si>
  <si>
    <t>10.93.71.4</t>
  </si>
  <si>
    <t>10.93.71.52</t>
  </si>
  <si>
    <t>東海呼処理収容(SSC/ISC(IP-GW))</t>
  </si>
  <si>
    <t>w23shgui-a401p2</t>
  </si>
  <si>
    <t>10.93.71.69</t>
  </si>
  <si>
    <t>10.93.71.6</t>
  </si>
  <si>
    <t>10.93.71.53</t>
  </si>
  <si>
    <t>w23shgui-a500p2</t>
  </si>
  <si>
    <t>10.95.5.68</t>
  </si>
  <si>
    <t>10.95.5.5</t>
  </si>
  <si>
    <t>10.95.5.4</t>
  </si>
  <si>
    <t>10.95.5.38</t>
  </si>
  <si>
    <t>関西１激甚(SSC)</t>
  </si>
  <si>
    <t>w23shgui-a501p2</t>
  </si>
  <si>
    <t>10.95.5.69</t>
  </si>
  <si>
    <t>10.95.5.6</t>
  </si>
  <si>
    <t>10.95.5.39</t>
  </si>
  <si>
    <t>w23shgui-a600p2</t>
  </si>
  <si>
    <t>10.94.70.68</t>
  </si>
  <si>
    <t>10.94.70.5</t>
  </si>
  <si>
    <t>10.94.70.4</t>
  </si>
  <si>
    <t>10.94.70.38</t>
  </si>
  <si>
    <t>関西２激甚(SSC)</t>
  </si>
  <si>
    <t>w23shgui-a601p2</t>
  </si>
  <si>
    <t>10.94.70.69</t>
  </si>
  <si>
    <t>10.94.70.6</t>
  </si>
  <si>
    <t>10.94.70.39</t>
  </si>
  <si>
    <t>w26kmgui-0100p2</t>
  </si>
  <si>
    <t>10.250.83.36</t>
  </si>
  <si>
    <t>10.250.83.5</t>
  </si>
  <si>
    <t>10.250.83.4</t>
  </si>
  <si>
    <t>10.250.83.74</t>
  </si>
  <si>
    <t>関西1クロス電話vSSC用</t>
  </si>
  <si>
    <t>10.95.0.4</t>
  </si>
  <si>
    <t>TTS-0008</t>
  </si>
  <si>
    <t>10.95.218.25</t>
  </si>
  <si>
    <t>8117</t>
  </si>
  <si>
    <t>18</t>
  </si>
  <si>
    <t>22</t>
  </si>
  <si>
    <t>w26kmgui-0101p2</t>
  </si>
  <si>
    <t>10.250.83.37</t>
  </si>
  <si>
    <t>10.250.83.6</t>
  </si>
  <si>
    <t>10.250.83.75</t>
  </si>
  <si>
    <t>8118</t>
  </si>
  <si>
    <t>w27ongui-0100p2</t>
  </si>
  <si>
    <t>10.250.81.36</t>
  </si>
  <si>
    <t>10.250.81.5</t>
  </si>
  <si>
    <t>10.250.81.4</t>
  </si>
  <si>
    <t>10.250.81.74</t>
  </si>
  <si>
    <t>10.95.0.3</t>
  </si>
  <si>
    <t>10.95.200.140</t>
  </si>
  <si>
    <t>17</t>
  </si>
  <si>
    <t>w27ongui-0101p2</t>
  </si>
  <si>
    <t>10.250.81.37</t>
  </si>
  <si>
    <t>10.250.81.6</t>
  </si>
  <si>
    <t>10.250.81.75</t>
  </si>
  <si>
    <t>w27osgui-0400p2</t>
  </si>
  <si>
    <t>10.95.74.68</t>
  </si>
  <si>
    <t>10.95.74.5</t>
  </si>
  <si>
    <t>10.95.74.4</t>
  </si>
  <si>
    <t>10.95.74.52</t>
  </si>
  <si>
    <t>関西１呼処理収容(SSC/ISC(IP-GW))</t>
  </si>
  <si>
    <t>w27osgui-0401p2</t>
  </si>
  <si>
    <t>10.95.74.69</t>
  </si>
  <si>
    <t>10.95.74.6</t>
  </si>
  <si>
    <t>10.95.74.53</t>
  </si>
  <si>
    <t>w27osgui-0500p2</t>
  </si>
  <si>
    <t>10.95.74.196</t>
  </si>
  <si>
    <t>10.95.74.133</t>
  </si>
  <si>
    <t>10.95.74.132</t>
  </si>
  <si>
    <t>10.95.74.178</t>
  </si>
  <si>
    <t>関西１呼処理収容(SSC(SNI用)/クロス)</t>
  </si>
  <si>
    <t>w27osgui-0501p2</t>
  </si>
  <si>
    <t>10.95.74.197</t>
  </si>
  <si>
    <t>10.95.74.134</t>
  </si>
  <si>
    <t>10.95.74.179</t>
  </si>
  <si>
    <t>w27osgui-a300p2</t>
  </si>
  <si>
    <t>10.95.67.196</t>
  </si>
  <si>
    <t>10.95.68.5</t>
  </si>
  <si>
    <t>10.95.68.4</t>
  </si>
  <si>
    <t>10.95.68.52</t>
  </si>
  <si>
    <t>関西１呼処理収容(SSC/ISC)</t>
  </si>
  <si>
    <t>w27osgui-a301p2</t>
  </si>
  <si>
    <t>10.95.67.197</t>
  </si>
  <si>
    <t>10.95.68.6</t>
  </si>
  <si>
    <t>10.95.68.53</t>
  </si>
  <si>
    <t>w27osgui-a600p2</t>
  </si>
  <si>
    <t>10.93.76.68</t>
  </si>
  <si>
    <t>10.93.76.5</t>
  </si>
  <si>
    <t>10.93.76.4</t>
  </si>
  <si>
    <t>10.93.76.38</t>
  </si>
  <si>
    <t>東海激甚(SSC)</t>
  </si>
  <si>
    <t>w27osgui-a601p2</t>
  </si>
  <si>
    <t>10.93.76.69</t>
  </si>
  <si>
    <t>10.93.76.6</t>
  </si>
  <si>
    <t>10.93.76.39</t>
  </si>
  <si>
    <t>w28dkgui-0100p2</t>
  </si>
  <si>
    <t>10.94.68.68</t>
  </si>
  <si>
    <t>10.94.68.5</t>
  </si>
  <si>
    <t>10.94.68.4</t>
  </si>
  <si>
    <t>10.94.68.36</t>
  </si>
  <si>
    <t>関西２呼処理収容(SSC/ISC)</t>
  </si>
  <si>
    <t>w28dkgui-0101p2</t>
  </si>
  <si>
    <t>10.94.68.69</t>
  </si>
  <si>
    <t>10.94.68.6</t>
  </si>
  <si>
    <t>10.94.68.37</t>
  </si>
  <si>
    <t>w28dkgui-a200p2</t>
  </si>
  <si>
    <t>10.94.69.68</t>
  </si>
  <si>
    <t>10.94.69.5</t>
  </si>
  <si>
    <t>10.94.69.4</t>
  </si>
  <si>
    <t>10.94.69.52</t>
  </si>
  <si>
    <t>東海呼処理収容(ISC)</t>
  </si>
  <si>
    <t>w28dkgui-a201p2</t>
  </si>
  <si>
    <t>10.94.69.69</t>
  </si>
  <si>
    <t>10.94.69.6</t>
  </si>
  <si>
    <t>10.94.69.53</t>
  </si>
  <si>
    <t>w28kcgui-0100p2</t>
  </si>
  <si>
    <t>10.199.113.36</t>
  </si>
  <si>
    <t>10.199.113.5</t>
  </si>
  <si>
    <t>10.199.113.4</t>
  </si>
  <si>
    <t>10.199.113.74</t>
  </si>
  <si>
    <t>関西2クロス電話vSSC用</t>
  </si>
  <si>
    <t>w28kcgui-0101p2</t>
  </si>
  <si>
    <t>10.199.113.37</t>
  </si>
  <si>
    <t>10.199.113.6</t>
  </si>
  <si>
    <t>10.199.113.75</t>
  </si>
  <si>
    <t>10.199.115.36</t>
  </si>
  <si>
    <t>10.199.115.5</t>
  </si>
  <si>
    <t>10.199.115.4</t>
  </si>
  <si>
    <t>10.199.115.74</t>
  </si>
  <si>
    <t>10.199.115.37</t>
  </si>
  <si>
    <t>10.199.115.6</t>
  </si>
  <si>
    <t>10.199.115.75</t>
  </si>
  <si>
    <t>w34mmgui-0100p2</t>
  </si>
  <si>
    <t>10.92.68.68</t>
  </si>
  <si>
    <t>10.92.68.5</t>
  </si>
  <si>
    <t>10.92.68.4</t>
  </si>
  <si>
    <t>10.92.68.52</t>
  </si>
  <si>
    <t>中四国呼処理収容(SSC/ISC)</t>
  </si>
  <si>
    <t>w34mmgui-0101p2</t>
  </si>
  <si>
    <t>10.92.68.69</t>
  </si>
  <si>
    <t>10.92.68.6</t>
  </si>
  <si>
    <t>10.92.68.53</t>
  </si>
  <si>
    <t>w34mmgui-a200p2</t>
  </si>
  <si>
    <t>10.92.69.68</t>
  </si>
  <si>
    <t>10.92.69.5</t>
  </si>
  <si>
    <t>10.92.69.4</t>
  </si>
  <si>
    <t>10.92.69.52</t>
  </si>
  <si>
    <t>九州呼処理収容(ISC)</t>
  </si>
  <si>
    <t>w34mmgui-a201p2</t>
  </si>
  <si>
    <t>10.92.69.69</t>
  </si>
  <si>
    <t>10.92.69.6</t>
  </si>
  <si>
    <t>10.92.69.53</t>
  </si>
  <si>
    <t>w34mmgui-a300p2</t>
  </si>
  <si>
    <t>10.91.70.68</t>
  </si>
  <si>
    <t>10.91.70.5</t>
  </si>
  <si>
    <t>10.91.70.4</t>
  </si>
  <si>
    <t>10.91.70.38</t>
  </si>
  <si>
    <t>九州激甚(SSC)</t>
  </si>
  <si>
    <t>w34mmgui-a301p2</t>
  </si>
  <si>
    <t>10.91.70.69</t>
  </si>
  <si>
    <t>10.91.70.6</t>
  </si>
  <si>
    <t>10.91.70.39</t>
  </si>
  <si>
    <t>w34nhgui-0400p2</t>
  </si>
  <si>
    <t>10.92.97.36</t>
  </si>
  <si>
    <t>10.92.97.5</t>
  </si>
  <si>
    <t>10.92.97.4</t>
  </si>
  <si>
    <t>10.92.97.74</t>
  </si>
  <si>
    <t>中国クロス電話vSSC用</t>
  </si>
  <si>
    <t>10.92.0.4</t>
  </si>
  <si>
    <t>TTS-0026</t>
  </si>
  <si>
    <t>10.197.250.14</t>
  </si>
  <si>
    <t>15</t>
  </si>
  <si>
    <t>24</t>
  </si>
  <si>
    <t>w34nhgui-0401p2</t>
  </si>
  <si>
    <t>10.92.97.37</t>
  </si>
  <si>
    <t>10.92.97.6</t>
  </si>
  <si>
    <t>10.92.97.75</t>
  </si>
  <si>
    <t>w40htgui-0400p2</t>
  </si>
  <si>
    <t>10.91.118.36</t>
  </si>
  <si>
    <t>10.91.118.5</t>
  </si>
  <si>
    <t>10.91.118.4</t>
  </si>
  <si>
    <t>10.91.118.74</t>
  </si>
  <si>
    <t>九州クロス電話vSSC用</t>
  </si>
  <si>
    <t>10.91.0.4</t>
  </si>
  <si>
    <t>10.91.200.9</t>
  </si>
  <si>
    <t>8127</t>
  </si>
  <si>
    <t>16</t>
  </si>
  <si>
    <t>25</t>
  </si>
  <si>
    <t>w40htgui-0401p2</t>
  </si>
  <si>
    <t>10.91.118.37</t>
  </si>
  <si>
    <t>10.91.118.6</t>
  </si>
  <si>
    <t>10.91.118.75</t>
  </si>
  <si>
    <t>8128</t>
  </si>
  <si>
    <t>w40tjgui-0100p2</t>
  </si>
  <si>
    <t>10.91.68.68</t>
  </si>
  <si>
    <t>10.91.68.5</t>
  </si>
  <si>
    <t>10.91.68.4</t>
  </si>
  <si>
    <t>10.91.68.52</t>
  </si>
  <si>
    <t>九州呼処理収容(SSC/ISC)</t>
  </si>
  <si>
    <t>w40tjgui-0101p2</t>
  </si>
  <si>
    <t>10.91.68.69</t>
  </si>
  <si>
    <t>10.91.68.6</t>
  </si>
  <si>
    <t>10.91.68.53</t>
  </si>
  <si>
    <t>w40tjgui-a200p2</t>
  </si>
  <si>
    <t>10.91.69.68</t>
  </si>
  <si>
    <t>10.91.69.5</t>
  </si>
  <si>
    <t>10.91.69.4</t>
  </si>
  <si>
    <t>10.91.69.52</t>
  </si>
  <si>
    <t>中四国呼処理収容(ISC)</t>
  </si>
  <si>
    <t>w40tjgui-a201p2</t>
  </si>
  <si>
    <t>10.91.69.69</t>
  </si>
  <si>
    <t>10.91.69.6</t>
  </si>
  <si>
    <t>10.91.69.53</t>
  </si>
  <si>
    <t>w40tjgui-a300p2</t>
  </si>
  <si>
    <t>10.92.70.68</t>
  </si>
  <si>
    <t>10.92.70.5</t>
  </si>
  <si>
    <t>10.92.70.4</t>
  </si>
  <si>
    <t>10.92.70.38</t>
  </si>
  <si>
    <t>中四国激甚</t>
  </si>
  <si>
    <t>w40tjgui-a301p2</t>
  </si>
  <si>
    <t>10.92.70.69</t>
  </si>
  <si>
    <t>10.92.70.6</t>
  </si>
  <si>
    <t>10.92.70.39</t>
  </si>
  <si>
    <t>装置監視用 IPアドレス</t>
  </si>
  <si>
    <t>コマンド投入用 IPアドレス</t>
  </si>
  <si>
    <t>NTP向け IPアドレス</t>
  </si>
  <si>
    <t>アラーム送信用 IPアドレス</t>
  </si>
  <si>
    <t>ホスト-ゲスト用 IPアドレス</t>
  </si>
  <si>
    <t>iLO用 IPアドレス</t>
  </si>
  <si>
    <t>e01s2hfs-0200ss</t>
  </si>
  <si>
    <t>10.86.144.38</t>
  </si>
  <si>
    <t>10.86.144.85</t>
  </si>
  <si>
    <t>10.86.144.9</t>
  </si>
  <si>
    <t>192.168.122.1</t>
  </si>
  <si>
    <t>10.86.144.40</t>
  </si>
  <si>
    <t>e01s2hfs-0201ss</t>
  </si>
  <si>
    <t>10.86.144.39</t>
  </si>
  <si>
    <t>10.86.144.86</t>
  </si>
  <si>
    <t>10.86.144.10</t>
  </si>
  <si>
    <t>10.86.144.41</t>
  </si>
  <si>
    <t>e01s2hfs-0210ss</t>
  </si>
  <si>
    <t>10.86.144.42</t>
  </si>
  <si>
    <t>10.86.144.88</t>
  </si>
  <si>
    <t>10.86.144.13</t>
  </si>
  <si>
    <t>10.86.144.44</t>
  </si>
  <si>
    <t>e01s2hfs-0211ss</t>
  </si>
  <si>
    <t>10.86.144.43</t>
  </si>
  <si>
    <t>10.86.144.89</t>
  </si>
  <si>
    <t>10.86.144.14</t>
  </si>
  <si>
    <t>10.86.144.45</t>
  </si>
  <si>
    <t>w26kmhfs-0100ss</t>
  </si>
  <si>
    <t>10.250.83.68</t>
  </si>
  <si>
    <t>10.250.83.55</t>
  </si>
  <si>
    <t>10.250.83.13</t>
  </si>
  <si>
    <t>10.250.83.76</t>
  </si>
  <si>
    <t>8119</t>
  </si>
  <si>
    <t>w26kmhfs-0101ss</t>
  </si>
  <si>
    <t>10.250.83.69</t>
  </si>
  <si>
    <t>10.250.83.56</t>
  </si>
  <si>
    <t>10.250.83.14</t>
  </si>
  <si>
    <t>10.250.83.77</t>
  </si>
  <si>
    <t>8120</t>
  </si>
  <si>
    <t>w27onhfs-0100ss</t>
  </si>
  <si>
    <t>10.250.81.68</t>
  </si>
  <si>
    <t>10.250.81.55</t>
  </si>
  <si>
    <t>10.250.81.13</t>
  </si>
  <si>
    <t>10.250.81.76</t>
  </si>
  <si>
    <t>w27onhfs-0101ss</t>
  </si>
  <si>
    <t>10.250.81.69</t>
  </si>
  <si>
    <t>10.250.81.56</t>
  </si>
  <si>
    <t>10.250.81.14</t>
  </si>
  <si>
    <t>10.250.81.77</t>
  </si>
  <si>
    <t>w28kchfs-0100ss</t>
  </si>
  <si>
    <t>10.199.113.68</t>
  </si>
  <si>
    <t>10.199.113.55</t>
  </si>
  <si>
    <t>10.199.113.13</t>
  </si>
  <si>
    <t>10.199.113.76</t>
  </si>
  <si>
    <t>w28kchfs-0101ss</t>
  </si>
  <si>
    <t>10.199.113.69</t>
  </si>
  <si>
    <t>10.199.113.56</t>
  </si>
  <si>
    <t>10.199.113.14</t>
  </si>
  <si>
    <t>10.199.113.77</t>
  </si>
  <si>
    <t>10.199.115.68</t>
  </si>
  <si>
    <t>10.199.115.55</t>
  </si>
  <si>
    <t>10.199.115.13</t>
  </si>
  <si>
    <t>10.199.115.76</t>
  </si>
  <si>
    <t>10.199.115.69</t>
  </si>
  <si>
    <t>10.199.115.56</t>
  </si>
  <si>
    <t>10.199.115.14</t>
  </si>
  <si>
    <t>10.199.115.77</t>
  </si>
  <si>
    <t>w34nhhfs-0400ss</t>
  </si>
  <si>
    <t>10.92.97.68</t>
  </si>
  <si>
    <t>10.92.97.55</t>
  </si>
  <si>
    <t>10.92.97.13</t>
  </si>
  <si>
    <t>10.92.97.76</t>
  </si>
  <si>
    <t>8123</t>
  </si>
  <si>
    <t>w34nhhfs-0401ss</t>
  </si>
  <si>
    <t>10.92.97.69</t>
  </si>
  <si>
    <t>10.92.97.56</t>
  </si>
  <si>
    <t>10.92.97.14</t>
  </si>
  <si>
    <t>10.92.97.77</t>
  </si>
  <si>
    <t>8124</t>
  </si>
  <si>
    <t>w40hthfs-0400ss</t>
  </si>
  <si>
    <t>10.91.118.68</t>
  </si>
  <si>
    <t>10.91.118.55</t>
  </si>
  <si>
    <t>10.91.118.13</t>
  </si>
  <si>
    <t>10.91.118.76</t>
  </si>
  <si>
    <t>8131</t>
  </si>
  <si>
    <t>w40hthfs-0401ss</t>
  </si>
  <si>
    <t>10.91.118.69</t>
  </si>
  <si>
    <t>10.91.118.56</t>
  </si>
  <si>
    <t>10.91.118.14</t>
  </si>
  <si>
    <t>10.91.118.77</t>
  </si>
  <si>
    <t>8132</t>
  </si>
  <si>
    <t>w40hthfs-0410ss</t>
  </si>
  <si>
    <t>10.91.118.70</t>
  </si>
  <si>
    <t>10.91.118.57</t>
  </si>
  <si>
    <t>10.91.118.15</t>
  </si>
  <si>
    <t>10.91.118.78</t>
  </si>
  <si>
    <t>TTS-0009</t>
  </si>
  <si>
    <t>10.91.200.10</t>
  </si>
  <si>
    <t>w40hthfs-0411ss</t>
  </si>
  <si>
    <t>10.91.118.71</t>
  </si>
  <si>
    <t>10.91.118.58</t>
  </si>
  <si>
    <t>10.91.118.16</t>
  </si>
  <si>
    <t>10.91.118.79</t>
  </si>
  <si>
    <t>8129</t>
  </si>
  <si>
    <t>iLO用DGW</t>
  </si>
  <si>
    <t>e01s2hss-0400ac</t>
  </si>
  <si>
    <t>10.86.145.36</t>
  </si>
  <si>
    <t>10.86.145.85</t>
  </si>
  <si>
    <t>10.86.145.6</t>
  </si>
  <si>
    <t>10.86.145.37</t>
  </si>
  <si>
    <t>10.86.145.33</t>
  </si>
  <si>
    <t>e01s2hss-0401ac</t>
  </si>
  <si>
    <t>10.86.145.38</t>
  </si>
  <si>
    <t>10.86.145.86</t>
  </si>
  <si>
    <t>10.86.145.7</t>
  </si>
  <si>
    <t>10.86.145.39</t>
  </si>
  <si>
    <t>e01s2hss-0410ac</t>
  </si>
  <si>
    <t>10.86.145.40</t>
  </si>
  <si>
    <t>10.86.145.88</t>
  </si>
  <si>
    <t>10.86.145.10</t>
  </si>
  <si>
    <t>10.86.145.41</t>
  </si>
  <si>
    <t>e01s2hss-0411ac</t>
  </si>
  <si>
    <t>10.86.145.42</t>
  </si>
  <si>
    <t>10.86.145.89</t>
  </si>
  <si>
    <t>10.86.145.11</t>
  </si>
  <si>
    <t>10.86.145.43</t>
  </si>
  <si>
    <t>e01s2hss-0420ac</t>
  </si>
  <si>
    <t>10.86.145.44</t>
  </si>
  <si>
    <t>10.86.145.91</t>
  </si>
  <si>
    <t>10.86.145.14</t>
  </si>
  <si>
    <t>10.86.145.45</t>
  </si>
  <si>
    <t>e01s2hss-0421ac</t>
  </si>
  <si>
    <t>10.86.145.46</t>
  </si>
  <si>
    <t>10.86.145.92</t>
  </si>
  <si>
    <t>10.86.145.15</t>
  </si>
  <si>
    <t>10.86.145.47</t>
  </si>
  <si>
    <t>e01s2hss-0500ac</t>
  </si>
  <si>
    <t>10.86.147.36</t>
  </si>
  <si>
    <t>10.86.147.85</t>
  </si>
  <si>
    <t>10.86.147.6</t>
  </si>
  <si>
    <t>10.86.147.37</t>
  </si>
  <si>
    <t>10.86.147.33</t>
  </si>
  <si>
    <t>e01s2hss-0501ac</t>
  </si>
  <si>
    <t>10.86.147.38</t>
  </si>
  <si>
    <t>10.86.147.86</t>
  </si>
  <si>
    <t>10.86.147.7</t>
  </si>
  <si>
    <t>10.86.147.39</t>
  </si>
  <si>
    <t>w0dfihss-0140ss</t>
  </si>
  <si>
    <t>10.207.175.202</t>
  </si>
  <si>
    <t>10.207.178.122</t>
  </si>
  <si>
    <t>10.207.178.54</t>
  </si>
  <si>
    <t>10.207.175.200</t>
  </si>
  <si>
    <t>10.207.175.193</t>
  </si>
  <si>
    <t>w0dfihss-0141ss</t>
  </si>
  <si>
    <t>10.207.175.203</t>
  </si>
  <si>
    <t>10.207.178.123</t>
  </si>
  <si>
    <t>10.207.178.60</t>
  </si>
  <si>
    <t>10.207.175.201</t>
  </si>
  <si>
    <t>w0dfihss-0150ss</t>
  </si>
  <si>
    <t>10.207.175.198</t>
  </si>
  <si>
    <t>10.207.178.120</t>
  </si>
  <si>
    <t>10.207.178.52</t>
  </si>
  <si>
    <t>10.207.175.196</t>
  </si>
  <si>
    <t>w0dfihss-0151ss</t>
  </si>
  <si>
    <t>10.207.175.199</t>
  </si>
  <si>
    <t>10.207.178.121</t>
  </si>
  <si>
    <t>10.207.178.53</t>
  </si>
  <si>
    <t>10.207.175.197</t>
  </si>
  <si>
    <t>w23shgdho025000</t>
  </si>
  <si>
    <t>10.93.71.84</t>
  </si>
  <si>
    <t>10.93.75.54</t>
  </si>
  <si>
    <t>10.93.71.50</t>
  </si>
  <si>
    <t>10.93.71.85</t>
  </si>
  <si>
    <t>10.93.71.81</t>
  </si>
  <si>
    <t>w23shgdho025100</t>
  </si>
  <si>
    <t>10.93.71.86</t>
  </si>
  <si>
    <t>10.93.75.55</t>
  </si>
  <si>
    <t>10.93.71.51</t>
  </si>
  <si>
    <t>10.93.71.87</t>
  </si>
  <si>
    <t>w23shhss-0310ss</t>
  </si>
  <si>
    <t>10.93.68.196</t>
  </si>
  <si>
    <t>10.93.89.54</t>
  </si>
  <si>
    <t>10.93.68.178</t>
  </si>
  <si>
    <t>10.93.68.197</t>
  </si>
  <si>
    <t>10.93.68.193</t>
  </si>
  <si>
    <t>w23shhss-0311ss</t>
  </si>
  <si>
    <t>10.93.68.198</t>
  </si>
  <si>
    <t>10.93.89.55</t>
  </si>
  <si>
    <t>10.93.68.179</t>
  </si>
  <si>
    <t>10.93.68.199</t>
  </si>
  <si>
    <t>w23shhss-0320ss</t>
  </si>
  <si>
    <t>10.93.68.200</t>
  </si>
  <si>
    <t>10.93.89.56</t>
  </si>
  <si>
    <t>10.93.68.180</t>
  </si>
  <si>
    <t>10.93.68.201</t>
  </si>
  <si>
    <t>w23shhss-0321ss</t>
  </si>
  <si>
    <t>10.93.68.202</t>
  </si>
  <si>
    <t>10.93.89.57</t>
  </si>
  <si>
    <t>10.93.68.181</t>
  </si>
  <si>
    <t>10.93.68.203</t>
  </si>
  <si>
    <t>w23shhss-0330ss</t>
  </si>
  <si>
    <t>10.93.68.204</t>
  </si>
  <si>
    <t>10.93.89.58</t>
  </si>
  <si>
    <t>10.93.68.182</t>
  </si>
  <si>
    <t>10.93.68.205</t>
  </si>
  <si>
    <t>w23shhss-0331ss</t>
  </si>
  <si>
    <t>10.93.68.206</t>
  </si>
  <si>
    <t>10.93.89.59</t>
  </si>
  <si>
    <t>10.93.68.183</t>
  </si>
  <si>
    <t>10.93.68.207</t>
  </si>
  <si>
    <t>w23shhss-0340ss</t>
  </si>
  <si>
    <t>10.93.68.208</t>
  </si>
  <si>
    <t>10.93.89.60</t>
  </si>
  <si>
    <t>10.93.68.184</t>
  </si>
  <si>
    <t>10.93.68.209</t>
  </si>
  <si>
    <t>w23shhss-0341ss</t>
  </si>
  <si>
    <t>10.93.68.210</t>
  </si>
  <si>
    <t>10.93.89.61</t>
  </si>
  <si>
    <t>10.93.68.185</t>
  </si>
  <si>
    <t>10.93.68.211</t>
  </si>
  <si>
    <t>w26kmhss-0100ss</t>
  </si>
  <si>
    <t>10.250.82.100</t>
  </si>
  <si>
    <t>10.250.82.7</t>
  </si>
  <si>
    <t>10.250.82.74</t>
  </si>
  <si>
    <t>10.250.82.106</t>
  </si>
  <si>
    <t>10.250.82.97</t>
  </si>
  <si>
    <t>8101</t>
  </si>
  <si>
    <t>w26kmhss-0101ss</t>
  </si>
  <si>
    <t>10.250.82.101</t>
  </si>
  <si>
    <t>10.250.82.8</t>
  </si>
  <si>
    <t>10.250.82.75</t>
  </si>
  <si>
    <t>10.250.82.107</t>
  </si>
  <si>
    <t>8102</t>
  </si>
  <si>
    <t>w26kmhss-0110ss</t>
  </si>
  <si>
    <t>10.250.82.102</t>
  </si>
  <si>
    <t>10.250.82.9</t>
  </si>
  <si>
    <t>10.250.82.76</t>
  </si>
  <si>
    <t>10.250.82.108</t>
  </si>
  <si>
    <t>8103</t>
  </si>
  <si>
    <t>w26kmhss-0111ss</t>
  </si>
  <si>
    <t>10.250.82.103</t>
  </si>
  <si>
    <t>10.250.82.10</t>
  </si>
  <si>
    <t>10.250.82.77</t>
  </si>
  <si>
    <t>10.250.82.109</t>
  </si>
  <si>
    <t>8104</t>
  </si>
  <si>
    <t>w26kmhss-0120ss</t>
  </si>
  <si>
    <t>10.250.82.104</t>
  </si>
  <si>
    <t>10.250.82.11</t>
  </si>
  <si>
    <t>10.250.82.78</t>
  </si>
  <si>
    <t>10.250.82.110</t>
  </si>
  <si>
    <t>8105</t>
  </si>
  <si>
    <t>w26kmhss-0121ss</t>
  </si>
  <si>
    <t>10.250.82.105</t>
  </si>
  <si>
    <t>10.250.82.12</t>
  </si>
  <si>
    <t>10.250.82.79</t>
  </si>
  <si>
    <t>10.250.82.111</t>
  </si>
  <si>
    <t>8106</t>
  </si>
  <si>
    <t>w26kmhss-0130ss</t>
  </si>
  <si>
    <t>10.250.82.228</t>
  </si>
  <si>
    <t>10.250.82.135</t>
  </si>
  <si>
    <t>10.250.82.202</t>
  </si>
  <si>
    <t>10.250.82.234</t>
  </si>
  <si>
    <t>10.250.82.225</t>
  </si>
  <si>
    <t>8109</t>
  </si>
  <si>
    <t>w26kmhss-0131ss</t>
  </si>
  <si>
    <t>10.250.82.229</t>
  </si>
  <si>
    <t>10.250.82.136</t>
  </si>
  <si>
    <t>10.250.82.203</t>
  </si>
  <si>
    <t>10.250.82.235</t>
  </si>
  <si>
    <t>8110</t>
  </si>
  <si>
    <t>w26kmhss-0140ss</t>
  </si>
  <si>
    <t>10.250.82.230</t>
  </si>
  <si>
    <t>10.250.82.137</t>
  </si>
  <si>
    <t>10.250.82.204</t>
  </si>
  <si>
    <t>10.250.82.236</t>
  </si>
  <si>
    <t>8111</t>
  </si>
  <si>
    <t>w26kmhss-0141ss</t>
  </si>
  <si>
    <t>10.250.82.231</t>
  </si>
  <si>
    <t>10.250.82.138</t>
  </si>
  <si>
    <t>10.250.82.205</t>
  </si>
  <si>
    <t>10.250.82.237</t>
  </si>
  <si>
    <t>8112</t>
  </si>
  <si>
    <t>w26kmhss-0150ss</t>
  </si>
  <si>
    <t>10.250.82.232</t>
  </si>
  <si>
    <t>10.250.82.139</t>
  </si>
  <si>
    <t>10.250.82.206</t>
  </si>
  <si>
    <t>10.250.82.238</t>
  </si>
  <si>
    <t>8113</t>
  </si>
  <si>
    <t>w26kmhss-0151ss</t>
  </si>
  <si>
    <t>10.250.82.233</t>
  </si>
  <si>
    <t>10.250.82.140</t>
  </si>
  <si>
    <t>10.250.82.207</t>
  </si>
  <si>
    <t>10.250.82.239</t>
  </si>
  <si>
    <t>8114</t>
  </si>
  <si>
    <t>w27ongdho035000</t>
  </si>
  <si>
    <t>10.95.67.244</t>
  </si>
  <si>
    <t>10.95.75.54</t>
  </si>
  <si>
    <t>10.95.74.50</t>
  </si>
  <si>
    <t>10.95.67.245</t>
  </si>
  <si>
    <t>10.95.67.241</t>
  </si>
  <si>
    <t>w27ongdho035100</t>
  </si>
  <si>
    <t>10.95.67.246</t>
  </si>
  <si>
    <t>10.95.75.55</t>
  </si>
  <si>
    <t>10.95.74.51</t>
  </si>
  <si>
    <t>10.95.67.247</t>
  </si>
  <si>
    <t>w27onhss-0100ss</t>
  </si>
  <si>
    <t>10.250.80.100</t>
  </si>
  <si>
    <t>10.250.80.7</t>
  </si>
  <si>
    <t>10.250.80.74</t>
  </si>
  <si>
    <t>10.250.80.106</t>
  </si>
  <si>
    <t>10.250.80.97</t>
  </si>
  <si>
    <t>w27onhss-0101ss</t>
  </si>
  <si>
    <t>10.250.80.101</t>
  </si>
  <si>
    <t>10.250.80.8</t>
  </si>
  <si>
    <t>10.250.80.75</t>
  </si>
  <si>
    <t>10.250.80.107</t>
  </si>
  <si>
    <t>w27onhss-0110ss</t>
  </si>
  <si>
    <t>10.250.80.102</t>
  </si>
  <si>
    <t>10.250.80.9</t>
  </si>
  <si>
    <t>10.250.80.76</t>
  </si>
  <si>
    <t>10.250.80.108</t>
  </si>
  <si>
    <t>w27onhss-0111ss</t>
  </si>
  <si>
    <t>10.250.80.103</t>
  </si>
  <si>
    <t>10.250.80.10</t>
  </si>
  <si>
    <t>10.250.80.77</t>
  </si>
  <si>
    <t>10.250.80.109</t>
  </si>
  <si>
    <t>w27onhss-0120ss</t>
  </si>
  <si>
    <t>10.250.80.104</t>
  </si>
  <si>
    <t>10.250.80.11</t>
  </si>
  <si>
    <t>10.250.80.78</t>
  </si>
  <si>
    <t>10.250.80.110</t>
  </si>
  <si>
    <t>w27onhss-0121ss</t>
  </si>
  <si>
    <t>10.250.80.105</t>
  </si>
  <si>
    <t>10.250.80.12</t>
  </si>
  <si>
    <t>10.250.80.79</t>
  </si>
  <si>
    <t>10.250.80.111</t>
  </si>
  <si>
    <t>w27onhss-0130ss</t>
  </si>
  <si>
    <t>10.250.80.228</t>
  </si>
  <si>
    <t>10.250.80.135</t>
  </si>
  <si>
    <t>10.250.80.202</t>
  </si>
  <si>
    <t>10.250.80.234</t>
  </si>
  <si>
    <t>10.250.80.225</t>
  </si>
  <si>
    <t>w27onhss-0131ss</t>
  </si>
  <si>
    <t>10.250.80.229</t>
  </si>
  <si>
    <t>10.250.80.136</t>
  </si>
  <si>
    <t>10.250.80.203</t>
  </si>
  <si>
    <t>10.250.80.235</t>
  </si>
  <si>
    <t>w27onhss-0140ss</t>
  </si>
  <si>
    <t>10.250.80.230</t>
  </si>
  <si>
    <t>10.250.80.137</t>
  </si>
  <si>
    <t>10.250.80.204</t>
  </si>
  <si>
    <t>10.250.80.236</t>
  </si>
  <si>
    <t>w27onhss-0141ss</t>
  </si>
  <si>
    <t>10.250.80.231</t>
  </si>
  <si>
    <t>10.250.80.138</t>
  </si>
  <si>
    <t>10.250.80.205</t>
  </si>
  <si>
    <t>10.250.80.237</t>
  </si>
  <si>
    <t>w27onhss-0150ss</t>
  </si>
  <si>
    <t>10.250.80.232</t>
  </si>
  <si>
    <t>10.250.80.139</t>
  </si>
  <si>
    <t>10.250.80.206</t>
  </si>
  <si>
    <t>10.250.80.238</t>
  </si>
  <si>
    <t>w27onhss-0151ss</t>
  </si>
  <si>
    <t>10.250.80.233</t>
  </si>
  <si>
    <t>10.250.80.140</t>
  </si>
  <si>
    <t>10.250.80.207</t>
  </si>
  <si>
    <t>10.250.80.239</t>
  </si>
  <si>
    <t>w27onhss-0510ss</t>
  </si>
  <si>
    <t>10.95.67.164</t>
  </si>
  <si>
    <t>10.95.81.54</t>
  </si>
  <si>
    <t>10.95.67.165</t>
  </si>
  <si>
    <t>10.95.67.161</t>
  </si>
  <si>
    <t>w27onhss-0511ss</t>
  </si>
  <si>
    <t>10.95.67.166</t>
  </si>
  <si>
    <t>10.95.81.55</t>
  </si>
  <si>
    <t>10.95.67.167</t>
  </si>
  <si>
    <t>w27onhss-0520ss</t>
  </si>
  <si>
    <t>10.95.67.168</t>
  </si>
  <si>
    <t>10.95.81.56</t>
  </si>
  <si>
    <t>10.95.74.180</t>
  </si>
  <si>
    <t>10.95.67.169</t>
  </si>
  <si>
    <t>w27onhss-0521ss</t>
  </si>
  <si>
    <t>10.95.67.170</t>
  </si>
  <si>
    <t>10.95.81.57</t>
  </si>
  <si>
    <t>10.95.74.181</t>
  </si>
  <si>
    <t>10.95.67.171</t>
  </si>
  <si>
    <t>w28dkhss-0210ss</t>
  </si>
  <si>
    <t>10.94.68.100</t>
  </si>
  <si>
    <t>10.94.72.53</t>
  </si>
  <si>
    <t>10.94.68.48</t>
  </si>
  <si>
    <t>10.94.68.101</t>
  </si>
  <si>
    <t>10.94.68.97</t>
  </si>
  <si>
    <t>w28dkhss-0211ss</t>
  </si>
  <si>
    <t>10.94.68.102</t>
  </si>
  <si>
    <t>10.94.72.62</t>
  </si>
  <si>
    <t>10.94.68.49</t>
  </si>
  <si>
    <t>10.94.68.103</t>
  </si>
  <si>
    <t>w28dkhss-0220ss</t>
  </si>
  <si>
    <t>10.94.68.104</t>
  </si>
  <si>
    <t>10.94.72.56</t>
  </si>
  <si>
    <t>10.94.68.52</t>
  </si>
  <si>
    <t>10.94.68.105</t>
  </si>
  <si>
    <t>w28dkhss-0221ss</t>
  </si>
  <si>
    <t>10.94.68.106</t>
  </si>
  <si>
    <t>10.94.72.57</t>
  </si>
  <si>
    <t>10.94.68.53</t>
  </si>
  <si>
    <t>10.94.68.107</t>
  </si>
  <si>
    <t>w28dkhss-0230ss</t>
  </si>
  <si>
    <t>10.94.68.108</t>
  </si>
  <si>
    <t>10.94.72.58</t>
  </si>
  <si>
    <t>10.94.68.54</t>
  </si>
  <si>
    <t>10.94.68.109</t>
  </si>
  <si>
    <t>w28dkhss-0231ss</t>
  </si>
  <si>
    <t>10.94.68.110</t>
  </si>
  <si>
    <t>10.94.72.59</t>
  </si>
  <si>
    <t>10.94.68.55</t>
  </si>
  <si>
    <t>10.94.68.111</t>
  </si>
  <si>
    <t>w28dkhss-0240ss</t>
  </si>
  <si>
    <t>10.94.68.112</t>
  </si>
  <si>
    <t>10.94.72.60</t>
  </si>
  <si>
    <t>10.94.68.56</t>
  </si>
  <si>
    <t>10.94.68.113</t>
  </si>
  <si>
    <t>w28dkhss-0241ss</t>
  </si>
  <si>
    <t>10.94.68.114</t>
  </si>
  <si>
    <t>10.94.72.61</t>
  </si>
  <si>
    <t>10.94.68.57</t>
  </si>
  <si>
    <t>10.94.68.115</t>
  </si>
  <si>
    <t>w28kchss-0100ss</t>
  </si>
  <si>
    <t>10.199.112.100</t>
  </si>
  <si>
    <t>10.199.112.7</t>
  </si>
  <si>
    <t>10.199.112.74</t>
  </si>
  <si>
    <t>10.199.112.106</t>
  </si>
  <si>
    <t>10.199.112.97</t>
  </si>
  <si>
    <t>w28kchss-0101ss</t>
  </si>
  <si>
    <t>10.199.112.101</t>
  </si>
  <si>
    <t>10.199.112.8</t>
  </si>
  <si>
    <t>10.199.112.75</t>
  </si>
  <si>
    <t>10.199.112.107</t>
  </si>
  <si>
    <t>w28kchss-0110ss</t>
  </si>
  <si>
    <t>10.199.112.102</t>
  </si>
  <si>
    <t>10.199.112.9</t>
  </si>
  <si>
    <t>10.199.112.76</t>
  </si>
  <si>
    <t>10.199.112.108</t>
  </si>
  <si>
    <t>w28kchss-0111ss</t>
  </si>
  <si>
    <t>10.199.112.103</t>
  </si>
  <si>
    <t>10.199.112.10</t>
  </si>
  <si>
    <t>10.199.112.77</t>
  </si>
  <si>
    <t>10.199.112.109</t>
  </si>
  <si>
    <t>w28kchss-0120ss</t>
  </si>
  <si>
    <t>10.199.112.104</t>
  </si>
  <si>
    <t>10.199.112.11</t>
  </si>
  <si>
    <t>10.199.112.78</t>
  </si>
  <si>
    <t>10.199.112.110</t>
  </si>
  <si>
    <t>w28kchss-0121ss</t>
  </si>
  <si>
    <t>10.199.112.105</t>
  </si>
  <si>
    <t>10.199.112.12</t>
  </si>
  <si>
    <t>10.199.112.79</t>
  </si>
  <si>
    <t>10.199.112.111</t>
  </si>
  <si>
    <t>w28kchss-0130ss</t>
  </si>
  <si>
    <t>10.199.112.228</t>
  </si>
  <si>
    <t>10.199.112.135</t>
  </si>
  <si>
    <t>10.199.112.202</t>
  </si>
  <si>
    <t>10.199.112.234</t>
  </si>
  <si>
    <t>10.199.112.225</t>
  </si>
  <si>
    <t>w28kchss-0131ss</t>
  </si>
  <si>
    <t>10.199.112.229</t>
  </si>
  <si>
    <t>10.199.112.136</t>
  </si>
  <si>
    <t>10.199.112.203</t>
  </si>
  <si>
    <t>10.199.112.235</t>
  </si>
  <si>
    <t>w28kchss-0140ss</t>
  </si>
  <si>
    <t>10.199.112.230</t>
  </si>
  <si>
    <t>10.199.112.137</t>
  </si>
  <si>
    <t>10.199.112.204</t>
  </si>
  <si>
    <t>10.199.112.236</t>
  </si>
  <si>
    <t>w28kchss-0141ss</t>
  </si>
  <si>
    <t>10.199.112.231</t>
  </si>
  <si>
    <t>10.199.112.138</t>
  </si>
  <si>
    <t>10.199.112.205</t>
  </si>
  <si>
    <t>10.199.112.237</t>
  </si>
  <si>
    <t>10.199.114.100</t>
  </si>
  <si>
    <t>10.199.114.7</t>
  </si>
  <si>
    <t>10.199.114.74</t>
  </si>
  <si>
    <t>10.199.114.106</t>
  </si>
  <si>
    <t>10.199.114.97</t>
  </si>
  <si>
    <t>10.199.114.101</t>
  </si>
  <si>
    <t>10.199.114.8</t>
  </si>
  <si>
    <t>10.199.114.75</t>
  </si>
  <si>
    <t>10.199.114.107</t>
  </si>
  <si>
    <t>10.199.114.102</t>
  </si>
  <si>
    <t>10.199.114.9</t>
  </si>
  <si>
    <t>10.199.114.76</t>
  </si>
  <si>
    <t>10.199.114.108</t>
  </si>
  <si>
    <t>10.199.114.103</t>
  </si>
  <si>
    <t>10.199.114.10</t>
  </si>
  <si>
    <t>10.199.114.77</t>
  </si>
  <si>
    <t>10.199.114.109</t>
  </si>
  <si>
    <t>10.199.114.104</t>
  </si>
  <si>
    <t>10.199.114.11</t>
  </si>
  <si>
    <t>10.199.114.78</t>
  </si>
  <si>
    <t>10.199.114.110</t>
  </si>
  <si>
    <t>10.199.114.105</t>
  </si>
  <si>
    <t>10.199.114.12</t>
  </si>
  <si>
    <t>10.199.114.79</t>
  </si>
  <si>
    <t>10.199.114.111</t>
  </si>
  <si>
    <t>10.199.114.228</t>
  </si>
  <si>
    <t>10.199.114.135</t>
  </si>
  <si>
    <t>10.199.114.202</t>
  </si>
  <si>
    <t>10.199.114.234</t>
  </si>
  <si>
    <t>10.199.114.225</t>
  </si>
  <si>
    <t>10.199.114.229</t>
  </si>
  <si>
    <t>10.199.114.136</t>
  </si>
  <si>
    <t>10.199.114.203</t>
  </si>
  <si>
    <t>10.199.114.235</t>
  </si>
  <si>
    <t>10.199.114.230</t>
  </si>
  <si>
    <t>10.199.114.137</t>
  </si>
  <si>
    <t>10.199.114.204</t>
  </si>
  <si>
    <t>10.199.114.236</t>
  </si>
  <si>
    <t>10.199.114.231</t>
  </si>
  <si>
    <t>10.199.114.138</t>
  </si>
  <si>
    <t>10.199.114.205</t>
  </si>
  <si>
    <t>10.199.114.237</t>
  </si>
  <si>
    <t>w34nhhss-0300ss</t>
  </si>
  <si>
    <t>10.92.76.100</t>
  </si>
  <si>
    <t>10.92.76.7</t>
  </si>
  <si>
    <t>10.92.76.74</t>
  </si>
  <si>
    <t>10.92.76.106</t>
  </si>
  <si>
    <t>10.92.76.97</t>
  </si>
  <si>
    <t>w34nhhss-0301ss</t>
  </si>
  <si>
    <t>10.92.76.101</t>
  </si>
  <si>
    <t>10.92.76.8</t>
  </si>
  <si>
    <t>10.92.76.75</t>
  </si>
  <si>
    <t>10.92.76.107</t>
  </si>
  <si>
    <t>w34nhhss-0310ss</t>
  </si>
  <si>
    <t>10.92.76.102</t>
  </si>
  <si>
    <t>10.92.76.9</t>
  </si>
  <si>
    <t>10.92.76.76</t>
  </si>
  <si>
    <t>10.92.76.108</t>
  </si>
  <si>
    <t>w34nhhss-0311ss</t>
  </si>
  <si>
    <t>10.92.76.103</t>
  </si>
  <si>
    <t>10.92.76.10</t>
  </si>
  <si>
    <t>10.92.76.77</t>
  </si>
  <si>
    <t>10.92.76.109</t>
  </si>
  <si>
    <t>8130</t>
  </si>
  <si>
    <t>w34nhhss-0320ss</t>
  </si>
  <si>
    <t>10.92.76.104</t>
  </si>
  <si>
    <t>10.92.76.11</t>
  </si>
  <si>
    <t>10.92.76.78</t>
  </si>
  <si>
    <t>10.92.76.110</t>
  </si>
  <si>
    <t>TTS-0027</t>
  </si>
  <si>
    <t>10.197.250.18</t>
  </si>
  <si>
    <t>w34nhhss-0321ss</t>
  </si>
  <si>
    <t>10.92.76.105</t>
  </si>
  <si>
    <t>10.92.76.12</t>
  </si>
  <si>
    <t>10.92.76.79</t>
  </si>
  <si>
    <t>10.92.76.111</t>
  </si>
  <si>
    <t>w34nhhss-0330ss</t>
  </si>
  <si>
    <t>10.92.76.228</t>
  </si>
  <si>
    <t>10.92.76.135</t>
  </si>
  <si>
    <t>10.92.76.202</t>
  </si>
  <si>
    <t>10.92.76.234</t>
  </si>
  <si>
    <t>10.92.76.225</t>
  </si>
  <si>
    <t>w34nhhss-0331ss</t>
  </si>
  <si>
    <t>10.92.76.229</t>
  </si>
  <si>
    <t>10.92.76.136</t>
  </si>
  <si>
    <t>10.92.76.203</t>
  </si>
  <si>
    <t>10.92.76.235</t>
  </si>
  <si>
    <t>w34nhhss-0340ss</t>
  </si>
  <si>
    <t>10.92.76.230</t>
  </si>
  <si>
    <t>10.92.76.137</t>
  </si>
  <si>
    <t>10.92.76.204</t>
  </si>
  <si>
    <t>10.92.76.236</t>
  </si>
  <si>
    <t>8121</t>
  </si>
  <si>
    <t>w34nhhss-0341ss</t>
  </si>
  <si>
    <t>10.92.76.231</t>
  </si>
  <si>
    <t>10.92.76.138</t>
  </si>
  <si>
    <t>10.92.76.205</t>
  </si>
  <si>
    <t>10.92.76.237</t>
  </si>
  <si>
    <t>8122</t>
  </si>
  <si>
    <t>w34nhhss-0350ss</t>
  </si>
  <si>
    <t>10.92.76.232</t>
  </si>
  <si>
    <t>10.92.76.139</t>
  </si>
  <si>
    <t>10.92.76.206</t>
  </si>
  <si>
    <t>10.92.76.238</t>
  </si>
  <si>
    <t>w34nhhss-0351ss</t>
  </si>
  <si>
    <t>10.92.76.233</t>
  </si>
  <si>
    <t>10.92.76.140</t>
  </si>
  <si>
    <t>10.92.76.207</t>
  </si>
  <si>
    <t>10.92.76.239</t>
  </si>
  <si>
    <t>w40hthss-0300ss</t>
  </si>
  <si>
    <t>10.91.76.100</t>
  </si>
  <si>
    <t>10.91.76.7</t>
  </si>
  <si>
    <t>10.91.76.74</t>
  </si>
  <si>
    <t>10.91.76.106</t>
  </si>
  <si>
    <t>10.91.76.97</t>
  </si>
  <si>
    <t>w40hthss-0301ss</t>
  </si>
  <si>
    <t>10.91.76.101</t>
  </si>
  <si>
    <t>10.91.76.8</t>
  </si>
  <si>
    <t>10.91.76.75</t>
  </si>
  <si>
    <t>10.91.76.107</t>
  </si>
  <si>
    <t>w40hthss-0310ss</t>
  </si>
  <si>
    <t>10.91.76.102</t>
  </si>
  <si>
    <t>10.91.76.9</t>
  </si>
  <si>
    <t>10.91.76.76</t>
  </si>
  <si>
    <t>10.91.76.108</t>
  </si>
  <si>
    <t>w40hthss-0311ss</t>
  </si>
  <si>
    <t>10.91.76.103</t>
  </si>
  <si>
    <t>10.91.76.10</t>
  </si>
  <si>
    <t>10.91.76.77</t>
  </si>
  <si>
    <t>10.91.76.109</t>
  </si>
  <si>
    <t>w40hthss-0320ss</t>
  </si>
  <si>
    <t>10.91.76.104</t>
  </si>
  <si>
    <t>10.91.76.11</t>
  </si>
  <si>
    <t>10.91.76.78</t>
  </si>
  <si>
    <t>10.91.76.110</t>
  </si>
  <si>
    <t>8107</t>
  </si>
  <si>
    <t>w40hthss-0321ss</t>
  </si>
  <si>
    <t>10.91.76.105</t>
  </si>
  <si>
    <t>10.91.76.12</t>
  </si>
  <si>
    <t>10.91.76.79</t>
  </si>
  <si>
    <t>10.91.76.111</t>
  </si>
  <si>
    <t>8108</t>
  </si>
  <si>
    <t>w40hthss-0330ss</t>
  </si>
  <si>
    <t>10.91.76.228</t>
  </si>
  <si>
    <t>10.91.76.135</t>
  </si>
  <si>
    <t>10.91.76.202</t>
  </si>
  <si>
    <t>10.91.76.234</t>
  </si>
  <si>
    <t>10.91.76.225</t>
  </si>
  <si>
    <t>w40hthss-0331ss</t>
  </si>
  <si>
    <t>10.91.76.229</t>
  </si>
  <si>
    <t>10.91.76.136</t>
  </si>
  <si>
    <t>10.91.76.203</t>
  </si>
  <si>
    <t>10.91.76.235</t>
  </si>
  <si>
    <t>w40hthss-0340ss</t>
  </si>
  <si>
    <t>10.91.76.230</t>
  </si>
  <si>
    <t>10.91.76.137</t>
  </si>
  <si>
    <t>10.91.76.204</t>
  </si>
  <si>
    <t>10.91.76.236</t>
  </si>
  <si>
    <t>w40hthss-0341ss</t>
  </si>
  <si>
    <t>10.91.76.231</t>
  </si>
  <si>
    <t>10.91.76.138</t>
  </si>
  <si>
    <t>10.91.76.205</t>
  </si>
  <si>
    <t>10.91.76.237</t>
  </si>
  <si>
    <t>w40hthss-0350ss</t>
  </si>
  <si>
    <t>10.91.76.232</t>
  </si>
  <si>
    <t>10.91.76.139</t>
  </si>
  <si>
    <t>10.91.76.206</t>
  </si>
  <si>
    <t>10.91.76.238</t>
  </si>
  <si>
    <t>w40hthss-0351ss</t>
  </si>
  <si>
    <t>10.91.76.233</t>
  </si>
  <si>
    <t>10.91.76.140</t>
  </si>
  <si>
    <t>10.91.76.207</t>
  </si>
  <si>
    <t>10.91.76.239</t>
  </si>
  <si>
    <t>w40hthss-0400ss</t>
  </si>
  <si>
    <t>10.91.119.100</t>
  </si>
  <si>
    <t>10.91.119.7</t>
  </si>
  <si>
    <t>10.91.119.74</t>
  </si>
  <si>
    <t>10.91.119.106</t>
  </si>
  <si>
    <t>10.91.119.97</t>
  </si>
  <si>
    <t>TTS-0007</t>
  </si>
  <si>
    <t>10.91.200.8</t>
  </si>
  <si>
    <t>w40hthss-0401ss</t>
  </si>
  <si>
    <t>10.91.119.101</t>
  </si>
  <si>
    <t>10.91.119.8</t>
  </si>
  <si>
    <t>10.91.119.75</t>
  </si>
  <si>
    <t>10.91.119.107</t>
  </si>
  <si>
    <t>保守・装置監視用</t>
  </si>
  <si>
    <t>MSW収容ポート番号</t>
  </si>
  <si>
    <t>e01s2-fr-0200ss</t>
  </si>
  <si>
    <t>10.86.144.133</t>
  </si>
  <si>
    <t>13</t>
  </si>
  <si>
    <t>e01s2-fr-0201ss</t>
  </si>
  <si>
    <t>10.86.144.149</t>
  </si>
  <si>
    <t>e01s2-fr-0210ss</t>
  </si>
  <si>
    <t>10.86.144.135</t>
  </si>
  <si>
    <t>14</t>
  </si>
  <si>
    <t>e01s2-fr-0211ss</t>
  </si>
  <si>
    <t>10.86.144.151</t>
  </si>
  <si>
    <t>w0cfi-fr-0200ss</t>
  </si>
  <si>
    <t>10.207.142.8</t>
  </si>
  <si>
    <t>w0cfi-fr-0201ss</t>
  </si>
  <si>
    <t>10.207.142.41</t>
  </si>
  <si>
    <t>w0dfi-fr-0110ss</t>
  </si>
  <si>
    <t>10.207.179.12</t>
  </si>
  <si>
    <t>w0dfi-fr-0111ss</t>
  </si>
  <si>
    <t>10.207.179.46</t>
  </si>
  <si>
    <t>w23sh-fr-0110is</t>
  </si>
  <si>
    <t>10.93.72.204</t>
  </si>
  <si>
    <t>w23sh-fr-0111is</t>
  </si>
  <si>
    <t>10.93.72.238</t>
  </si>
  <si>
    <t>w23sh-fr-0120ss</t>
  </si>
  <si>
    <t>10.93.72.208</t>
  </si>
  <si>
    <t>w23sh-fr-0121ss</t>
  </si>
  <si>
    <t>10.93.72.243</t>
  </si>
  <si>
    <t>w23sh-fr-0410ss</t>
  </si>
  <si>
    <t>10.93.75.204</t>
  </si>
  <si>
    <t>w23sh-fr-0411ss</t>
  </si>
  <si>
    <t>10.93.75.238</t>
  </si>
  <si>
    <t>w23sh-fr-0700ss</t>
  </si>
  <si>
    <t>10.93.89.200</t>
  </si>
  <si>
    <t>w23sh-fr-0701ss</t>
  </si>
  <si>
    <t>10.93.89.233</t>
  </si>
  <si>
    <t>w23sh-fr-a200is</t>
  </si>
  <si>
    <t>10.93.73.200</t>
  </si>
  <si>
    <t>w23sh-fr-a201is</t>
  </si>
  <si>
    <t>10.93.73.233</t>
  </si>
  <si>
    <t>w23sh-fr-a300is</t>
  </si>
  <si>
    <t>10.93.74.200</t>
  </si>
  <si>
    <t>w23sh-fr-a301is</t>
  </si>
  <si>
    <t>10.93.74.233</t>
  </si>
  <si>
    <t>w23sh-fr-a400is</t>
  </si>
  <si>
    <t>10.93.75.200</t>
  </si>
  <si>
    <t>w23sh-fr-a401is</t>
  </si>
  <si>
    <t>10.93.75.233</t>
  </si>
  <si>
    <t>w23sh-fr-a500ss</t>
  </si>
  <si>
    <t>10.95.6.200</t>
  </si>
  <si>
    <t>w23sh-fr-a501ss</t>
  </si>
  <si>
    <t>10.95.6.233</t>
  </si>
  <si>
    <t>w23sh-fr-a510ss</t>
  </si>
  <si>
    <t>10.95.6.204</t>
  </si>
  <si>
    <t>w23sh-fr-a511ss</t>
  </si>
  <si>
    <t>10.95.6.238</t>
  </si>
  <si>
    <t>w23sh-fr-a600ss</t>
  </si>
  <si>
    <t>10.94.74.200</t>
  </si>
  <si>
    <t>w23sh-fr-a601ss</t>
  </si>
  <si>
    <t>10.94.74.233</t>
  </si>
  <si>
    <t>w26km-fr-0100ss</t>
  </si>
  <si>
    <t>10.250.83.135</t>
  </si>
  <si>
    <t>w26km-fr-0101ss</t>
  </si>
  <si>
    <t>10.250.83.151</t>
  </si>
  <si>
    <t>w27on-fr-0100ss</t>
  </si>
  <si>
    <t>10.250.81.135</t>
  </si>
  <si>
    <t>w27on-fr-0101ss</t>
  </si>
  <si>
    <t>10.250.81.151</t>
  </si>
  <si>
    <t>w27os-fr-0310is</t>
  </si>
  <si>
    <t>10.95.69.12</t>
  </si>
  <si>
    <t>w27os-fr-0311is</t>
  </si>
  <si>
    <t>10.95.69.46</t>
  </si>
  <si>
    <t>w27os-fr-0320ss</t>
  </si>
  <si>
    <t>10.95.69.16</t>
  </si>
  <si>
    <t>w27os-fr-0321ss</t>
  </si>
  <si>
    <t>10.95.69.51</t>
  </si>
  <si>
    <t>w27os-fr-0400is</t>
  </si>
  <si>
    <t>10.95.75.200</t>
  </si>
  <si>
    <t>w27os-fr-0401is</t>
  </si>
  <si>
    <t>10.95.75.233</t>
  </si>
  <si>
    <t>w27os-fr-0410ss</t>
  </si>
  <si>
    <t>10.95.75.204</t>
  </si>
  <si>
    <t>w27os-fr-0411ss</t>
  </si>
  <si>
    <t>10.95.75.238</t>
  </si>
  <si>
    <t>w27os-fr-0500ss</t>
  </si>
  <si>
    <t>10.95.81.200</t>
  </si>
  <si>
    <t>w27os-fr-0501ss</t>
  </si>
  <si>
    <t>10.95.81.233</t>
  </si>
  <si>
    <t>w27os-fr-0510ss</t>
  </si>
  <si>
    <t>10.95.81.204</t>
  </si>
  <si>
    <t>w27os-fr-0511ss</t>
  </si>
  <si>
    <t>10.95.81.238</t>
  </si>
  <si>
    <t>w27os-fr-a600ss</t>
  </si>
  <si>
    <t>10.93.78.200</t>
  </si>
  <si>
    <t>w27os-fr-a601ss</t>
  </si>
  <si>
    <t>10.93.78.233</t>
  </si>
  <si>
    <t>w27os-fr-a610ss</t>
  </si>
  <si>
    <t>10.93.78.204</t>
  </si>
  <si>
    <t>w27os-fr-a611ss</t>
  </si>
  <si>
    <t>10.93.78.238</t>
  </si>
  <si>
    <t>w28dk-fr-0100is</t>
  </si>
  <si>
    <t>10.94.72.200</t>
  </si>
  <si>
    <t>w28dk-fr-0101is</t>
  </si>
  <si>
    <t>10.94.72.233</t>
  </si>
  <si>
    <t>w28dk-fr-0110ss</t>
  </si>
  <si>
    <t>10.94.72.204</t>
  </si>
  <si>
    <t>w28dk-fr-0111ss</t>
  </si>
  <si>
    <t>10.94.72.238</t>
  </si>
  <si>
    <t>w28dk-fr-0120ss</t>
  </si>
  <si>
    <t>10.94.72.208</t>
  </si>
  <si>
    <t>w28dk-fr-0121ss</t>
  </si>
  <si>
    <t>10.94.72.243</t>
  </si>
  <si>
    <t>w28dk-fr-a200is</t>
  </si>
  <si>
    <t>10.94.73.200</t>
  </si>
  <si>
    <t>w28dk-fr-a201is</t>
  </si>
  <si>
    <t>10.94.73.233</t>
  </si>
  <si>
    <t>w28kc-fr-0100ss</t>
  </si>
  <si>
    <t>10.199.113.135</t>
  </si>
  <si>
    <t>w28kc-fr-0101ss</t>
  </si>
  <si>
    <t>10.199.113.151</t>
  </si>
  <si>
    <t>10.199.115.135</t>
  </si>
  <si>
    <t>10.199.115.151</t>
  </si>
  <si>
    <t>w34mm-fr-0100is</t>
  </si>
  <si>
    <t>10.92.72.200</t>
  </si>
  <si>
    <t>w34mm-fr-0101is</t>
  </si>
  <si>
    <t>10.92.72.233</t>
  </si>
  <si>
    <t>w34mm-fr-0110ss</t>
  </si>
  <si>
    <t>10.92.72.204</t>
  </si>
  <si>
    <t>w34mm-fr-0111ss</t>
  </si>
  <si>
    <t>10.92.72.238</t>
  </si>
  <si>
    <t>w34mm-fr-0120ss</t>
  </si>
  <si>
    <t>10.92.72.208</t>
  </si>
  <si>
    <t>w34mm-fr-0121ss</t>
  </si>
  <si>
    <t>10.92.72.243</t>
  </si>
  <si>
    <t>w34mm-fr-a200is</t>
  </si>
  <si>
    <t>10.92.73.200</t>
  </si>
  <si>
    <t>w34mm-fr-a201is</t>
  </si>
  <si>
    <t>10.92.73.233</t>
  </si>
  <si>
    <t>w34mm-fr-a300ss</t>
  </si>
  <si>
    <t>10.91.74.200</t>
  </si>
  <si>
    <t>w34mm-fr-a301ss</t>
  </si>
  <si>
    <t>10.91.74.233</t>
  </si>
  <si>
    <t>w34mm-fr-a310ss</t>
  </si>
  <si>
    <t>10.91.74.204</t>
  </si>
  <si>
    <t>w34mm-fr-a311ss</t>
  </si>
  <si>
    <t>10.91.74.238</t>
  </si>
  <si>
    <t>w34nh-fr-0400ss</t>
  </si>
  <si>
    <t>10.92.97.135</t>
  </si>
  <si>
    <t>w34nh-fr-0401ss</t>
  </si>
  <si>
    <t>10.92.97.151</t>
  </si>
  <si>
    <t>w40ht-fr-0400ss</t>
  </si>
  <si>
    <t>10.91.118.135</t>
  </si>
  <si>
    <t>w40ht-fr-0401ss</t>
  </si>
  <si>
    <t>10.91.118.151</t>
  </si>
  <si>
    <t>w40ht-fr-0410ss</t>
  </si>
  <si>
    <t>10.91.118.136</t>
  </si>
  <si>
    <t>w40ht-fr-0411ss</t>
  </si>
  <si>
    <t>10.91.118.152</t>
  </si>
  <si>
    <t>w40tj-fr-0100is</t>
  </si>
  <si>
    <t>10.91.72.200</t>
  </si>
  <si>
    <t>w40tj-fr-0101is</t>
  </si>
  <si>
    <t>10.91.72.233</t>
  </si>
  <si>
    <t>w40tj-fr-0110ss</t>
  </si>
  <si>
    <t>10.91.72.204</t>
  </si>
  <si>
    <t>w40tj-fr-0111ss</t>
  </si>
  <si>
    <t>10.91.72.238</t>
  </si>
  <si>
    <t>w40tj-fr-0120ss</t>
  </si>
  <si>
    <t>10.91.72.208</t>
  </si>
  <si>
    <t>w40tj-fr-0121ss</t>
  </si>
  <si>
    <t>10.91.72.243</t>
  </si>
  <si>
    <t>w40tj-fr-a200is</t>
  </si>
  <si>
    <t>10.91.73.200</t>
  </si>
  <si>
    <t>w40tj-fr-a201is</t>
  </si>
  <si>
    <t>10.91.73.233</t>
  </si>
  <si>
    <t>w40tj-fr-a300ss</t>
  </si>
  <si>
    <t>10.92.74.200</t>
  </si>
  <si>
    <t>w40tj-fr-a301ss</t>
  </si>
  <si>
    <t>10.92.74.233</t>
  </si>
  <si>
    <t>w40tj-fr-a310ss</t>
  </si>
  <si>
    <t>10.92.74.204</t>
  </si>
  <si>
    <t>w40tj-fr-a311ss</t>
  </si>
  <si>
    <t>10.92.74.238</t>
  </si>
  <si>
    <t>e01s2emsw010000</t>
  </si>
  <si>
    <t>10.86.144.142</t>
  </si>
  <si>
    <t>e01s2emsw010100</t>
  </si>
  <si>
    <t>10.86.144.158</t>
  </si>
  <si>
    <t>w0cfiemsw020000</t>
  </si>
  <si>
    <t>10.207.142.4</t>
  </si>
  <si>
    <t>w0cfiemsw020100</t>
  </si>
  <si>
    <t>10.207.142.36</t>
  </si>
  <si>
    <t>w0dfiemsw010000</t>
  </si>
  <si>
    <t>w0dfiemsw010100</t>
  </si>
  <si>
    <t>w23shemsw010000</t>
  </si>
  <si>
    <t>10.93.72.196</t>
  </si>
  <si>
    <t>w23shemsw010100</t>
  </si>
  <si>
    <t>10.93.72.228</t>
  </si>
  <si>
    <t>w23shemsw070000</t>
  </si>
  <si>
    <t>10.93.89.196</t>
  </si>
  <si>
    <t>w23shemsw070100</t>
  </si>
  <si>
    <t>10.93.89.228</t>
  </si>
  <si>
    <t>w23shemswa20000</t>
  </si>
  <si>
    <t>10.93.73.196</t>
  </si>
  <si>
    <t>w23shemswa20100</t>
  </si>
  <si>
    <t>10.93.73.228</t>
  </si>
  <si>
    <t>w23shemswa30000</t>
  </si>
  <si>
    <t>10.93.74.196</t>
  </si>
  <si>
    <t>w23shemswa30100</t>
  </si>
  <si>
    <t>10.93.74.228</t>
  </si>
  <si>
    <t>w23shemswa40000</t>
  </si>
  <si>
    <t>10.93.75.196</t>
  </si>
  <si>
    <t>w23shemswa40100</t>
  </si>
  <si>
    <t>10.93.75.228</t>
  </si>
  <si>
    <t>w23shemswa50000</t>
  </si>
  <si>
    <t>10.95.6.196</t>
  </si>
  <si>
    <t>w23shemswa50100</t>
  </si>
  <si>
    <t>10.95.6.228</t>
  </si>
  <si>
    <t>w23shemswa60000</t>
  </si>
  <si>
    <t>10.94.74.196</t>
  </si>
  <si>
    <t>w23shemswa60100</t>
  </si>
  <si>
    <t>10.94.74.228</t>
  </si>
  <si>
    <t>w26kmemsw010000</t>
  </si>
  <si>
    <t>10.250.83.138</t>
  </si>
  <si>
    <t>w26kmemsw010100</t>
  </si>
  <si>
    <t>10.250.83.154</t>
  </si>
  <si>
    <t>w27onemsw010000</t>
  </si>
  <si>
    <t>10.250.81.138</t>
  </si>
  <si>
    <t>w27onemsw010100</t>
  </si>
  <si>
    <t>10.250.81.154</t>
  </si>
  <si>
    <t>w27osemsw040000</t>
  </si>
  <si>
    <t>10.95.75.196</t>
  </si>
  <si>
    <t>w27osemsw040100</t>
  </si>
  <si>
    <t>10.95.75.228</t>
  </si>
  <si>
    <t>w27osemsw050000</t>
  </si>
  <si>
    <t>10.95.81.196</t>
  </si>
  <si>
    <t>w27osemsw050100</t>
  </si>
  <si>
    <t>10.95.81.228</t>
  </si>
  <si>
    <t>w27osemswa30000</t>
  </si>
  <si>
    <t>10.95.69.4</t>
  </si>
  <si>
    <t>w27osemswa30100</t>
  </si>
  <si>
    <t>10.95.69.36</t>
  </si>
  <si>
    <t>w27osemswa60000</t>
  </si>
  <si>
    <t>10.93.78.196</t>
  </si>
  <si>
    <t>w27osemswa60100</t>
  </si>
  <si>
    <t>10.93.78.228</t>
  </si>
  <si>
    <t>w28dkemsw010000</t>
  </si>
  <si>
    <t>10.94.72.196</t>
  </si>
  <si>
    <t>w28dkemsw010100</t>
  </si>
  <si>
    <t>10.94.72.228</t>
  </si>
  <si>
    <t>w28dkemswa20000</t>
  </si>
  <si>
    <t>10.94.73.196</t>
  </si>
  <si>
    <t>w28dkemswa20100</t>
  </si>
  <si>
    <t>10.94.73.228</t>
  </si>
  <si>
    <t>w28kcemsw010000</t>
  </si>
  <si>
    <t>10.199.113.138</t>
  </si>
  <si>
    <t>w28kcemsw010100</t>
  </si>
  <si>
    <t>10.199.113.154</t>
  </si>
  <si>
    <t>10.199.115.138</t>
  </si>
  <si>
    <t>10.199.115.154</t>
  </si>
  <si>
    <t>w34mmemsw010000</t>
  </si>
  <si>
    <t>10.92.72.196</t>
  </si>
  <si>
    <t>w34mmemsw010100</t>
  </si>
  <si>
    <t>10.92.72.228</t>
  </si>
  <si>
    <t>w34mmemswa20000</t>
  </si>
  <si>
    <t>10.92.73.196</t>
  </si>
  <si>
    <t>w34mmemswa20100</t>
  </si>
  <si>
    <t>10.92.73.228</t>
  </si>
  <si>
    <t>w34mmemswa30000</t>
  </si>
  <si>
    <t>10.91.74.196</t>
  </si>
  <si>
    <t>w34mmemswa30100</t>
  </si>
  <si>
    <t>10.91.74.228</t>
  </si>
  <si>
    <t>w34nhemsw040000</t>
  </si>
  <si>
    <t>10.92.97.138</t>
  </si>
  <si>
    <t>w34nhemsw040100</t>
  </si>
  <si>
    <t>10.92.97.154</t>
  </si>
  <si>
    <t>w40htemsw040000</t>
  </si>
  <si>
    <t>10.91.118.138</t>
  </si>
  <si>
    <t>8125</t>
  </si>
  <si>
    <t>w40htemsw040100</t>
  </si>
  <si>
    <t>10.91.118.154</t>
  </si>
  <si>
    <t>8126</t>
  </si>
  <si>
    <t>w40tjemsw010000</t>
  </si>
  <si>
    <t>10.91.72.196</t>
  </si>
  <si>
    <t>w40tjemsw010100</t>
  </si>
  <si>
    <t>10.91.72.228</t>
  </si>
  <si>
    <t>w40tjemswa20000</t>
  </si>
  <si>
    <t>10.91.73.196</t>
  </si>
  <si>
    <t>w40tjemswa20100</t>
  </si>
  <si>
    <t>10.91.73.228</t>
  </si>
  <si>
    <t>w40tjemswa30000</t>
  </si>
  <si>
    <t>10.92.74.196</t>
  </si>
  <si>
    <t>w40tjemswa30100</t>
  </si>
  <si>
    <t>10.92.74.228</t>
  </si>
  <si>
    <t>呼処理用フローティングIPアドレス</t>
  </si>
  <si>
    <t>呼処理用フローティングIPアドレス（ｖ６）</t>
  </si>
  <si>
    <t>SIGTRAN1IPアドレス</t>
  </si>
  <si>
    <t>SIGTRAN2IPアドレス</t>
  </si>
  <si>
    <t>保守アラーム用LANフローティングIPアドレス</t>
  </si>
  <si>
    <t>NTP向けフローティングIPアドレス</t>
  </si>
  <si>
    <t>住所情報装置向けフローティングIPアドレス</t>
  </si>
  <si>
    <t>運用データ転送用フローティングIPアドレス</t>
  </si>
  <si>
    <t>CL_ID</t>
  </si>
  <si>
    <t>CA_ID</t>
  </si>
  <si>
    <t>ソフト種別</t>
  </si>
  <si>
    <t>冗長ルート切替試験用ポート(ens1f0用)</t>
  </si>
  <si>
    <t>冗長ルート切替試験用ポート(ens4f0用)</t>
  </si>
  <si>
    <t>冗長ルート切替試験用ポート(ens1f1用)</t>
  </si>
  <si>
    <t>冗長ルート切替試験用ポート(ens4f1用)</t>
  </si>
  <si>
    <t>冗長ルート切替試験用ポート(eno5用)</t>
  </si>
  <si>
    <t>冗長ルート切替試験用ポート(ens2f0用)</t>
  </si>
  <si>
    <t>ノードID</t>
  </si>
  <si>
    <t>SIP-ID</t>
  </si>
  <si>
    <t>AR-ID</t>
  </si>
  <si>
    <t>住所情報サーバID</t>
  </si>
  <si>
    <t>ISCエリアID</t>
  </si>
  <si>
    <t>収容府県</t>
  </si>
  <si>
    <t>直収端末番号</t>
  </si>
  <si>
    <t>w0cfissc-0200ac</t>
  </si>
  <si>
    <t>10.207.144.7</t>
  </si>
  <si>
    <t>10.207.144.71</t>
  </si>
  <si>
    <t>10.207.145.1</t>
  </si>
  <si>
    <t>10.207.145.65</t>
  </si>
  <si>
    <t>222.231.249.52</t>
  </si>
  <si>
    <t>2001:a7ff:8100:0004::4</t>
  </si>
  <si>
    <t>10.207.141.100</t>
  </si>
  <si>
    <t>10.207.141.132</t>
  </si>
  <si>
    <t>10.207.141.199</t>
  </si>
  <si>
    <t>10.207.141.14</t>
  </si>
  <si>
    <t>10.207.141.69</t>
  </si>
  <si>
    <t>10.207.145.129</t>
  </si>
  <si>
    <t>1</t>
  </si>
  <si>
    <t>0</t>
  </si>
  <si>
    <t>SS</t>
  </si>
  <si>
    <t>w0cfissc-0201ac</t>
  </si>
  <si>
    <t>10.207.144.8</t>
  </si>
  <si>
    <t>10.207.144.72</t>
  </si>
  <si>
    <t>10.207.145.2</t>
  </si>
  <si>
    <t>10.207.145.66</t>
  </si>
  <si>
    <t>10.207.141.133</t>
  </si>
  <si>
    <t>10.207.141.200</t>
  </si>
  <si>
    <t>10.207.141.15</t>
  </si>
  <si>
    <t>10.207.145.130</t>
  </si>
  <si>
    <t>w0dfissc-0100ac</t>
  </si>
  <si>
    <t>10.207.176.19</t>
  </si>
  <si>
    <t>10.207.176.83</t>
  </si>
  <si>
    <t>10.207.177.13</t>
  </si>
  <si>
    <t>10.207.177.77</t>
  </si>
  <si>
    <t>222.231.249.164</t>
  </si>
  <si>
    <t>2001:a7ff:9100:0003::4</t>
  </si>
  <si>
    <t>10.207.178.106</t>
  </si>
  <si>
    <t>10.207.178.144</t>
  </si>
  <si>
    <t>10.207.178.211</t>
  </si>
  <si>
    <t>10.207.178.26</t>
  </si>
  <si>
    <t>10.207.178.75</t>
  </si>
  <si>
    <t>10.207.177.141</t>
  </si>
  <si>
    <t>w0dfissc-0101ac</t>
  </si>
  <si>
    <t>10.207.176.20</t>
  </si>
  <si>
    <t>10.207.176.84</t>
  </si>
  <si>
    <t>10.207.177.14</t>
  </si>
  <si>
    <t>10.207.177.78</t>
  </si>
  <si>
    <t>10.207.178.145</t>
  </si>
  <si>
    <t>10.207.178.212</t>
  </si>
  <si>
    <t>10.207.178.27</t>
  </si>
  <si>
    <t>10.207.177.142</t>
  </si>
  <si>
    <t>w0dfissc-0110ac</t>
  </si>
  <si>
    <t>10.207.176.21</t>
  </si>
  <si>
    <t>10.207.176.85</t>
  </si>
  <si>
    <t>10.207.177.15</t>
  </si>
  <si>
    <t>10.207.177.79</t>
  </si>
  <si>
    <t>222.231.249.165</t>
  </si>
  <si>
    <t>2001:a7ff:9100:0003::5</t>
  </si>
  <si>
    <t>10.207.178.107</t>
  </si>
  <si>
    <t>10.207.178.146</t>
  </si>
  <si>
    <t>10.207.178.213</t>
  </si>
  <si>
    <t>10.207.178.28</t>
  </si>
  <si>
    <t>10.207.178.76</t>
  </si>
  <si>
    <t>10.207.177.143</t>
  </si>
  <si>
    <t>2</t>
  </si>
  <si>
    <t>w0dfissc-0111ac</t>
  </si>
  <si>
    <t>10.207.176.22</t>
  </si>
  <si>
    <t>10.207.176.86</t>
  </si>
  <si>
    <t>10.207.177.16</t>
  </si>
  <si>
    <t>10.207.177.80</t>
  </si>
  <si>
    <t>10.207.178.147</t>
  </si>
  <si>
    <t>10.207.178.214</t>
  </si>
  <si>
    <t>10.207.178.29</t>
  </si>
  <si>
    <t>10.207.177.144</t>
  </si>
  <si>
    <t>3</t>
  </si>
  <si>
    <t>w0dfissc-0120ac</t>
  </si>
  <si>
    <t>10.207.176.23</t>
  </si>
  <si>
    <t>10.207.176.87</t>
  </si>
  <si>
    <t>10.207.177.17</t>
  </si>
  <si>
    <t>10.207.177.81</t>
  </si>
  <si>
    <t>222.231.249.166</t>
  </si>
  <si>
    <t>2001:a7ff:9100:0003::6</t>
  </si>
  <si>
    <t>10.207.178.108</t>
  </si>
  <si>
    <t>10.207.178.148</t>
  </si>
  <si>
    <t>10.207.178.215</t>
  </si>
  <si>
    <t>10.207.178.30</t>
  </si>
  <si>
    <t>10.207.178.77</t>
  </si>
  <si>
    <t>10.207.177.145</t>
  </si>
  <si>
    <t>4</t>
  </si>
  <si>
    <t>w0dfissc-0121ac</t>
  </si>
  <si>
    <t>10.207.176.24</t>
  </si>
  <si>
    <t>10.207.176.88</t>
  </si>
  <si>
    <t>10.207.177.18</t>
  </si>
  <si>
    <t>10.207.177.82</t>
  </si>
  <si>
    <t>10.207.178.149</t>
  </si>
  <si>
    <t>10.207.178.216</t>
  </si>
  <si>
    <t>10.207.178.31</t>
  </si>
  <si>
    <t>10.207.177.146</t>
  </si>
  <si>
    <t>5</t>
  </si>
  <si>
    <t>w0dfissc-0130ac</t>
  </si>
  <si>
    <t>10.207.176.25</t>
  </si>
  <si>
    <t>10.207.176.89</t>
  </si>
  <si>
    <t>10.207.177.19</t>
  </si>
  <si>
    <t>10.207.177.83</t>
  </si>
  <si>
    <t>222.231.249.167</t>
  </si>
  <si>
    <t>2001:a7ff:9100:0003::7</t>
  </si>
  <si>
    <t>10.207.178.109</t>
  </si>
  <si>
    <t>10.207.178.150</t>
  </si>
  <si>
    <t>10.207.178.217</t>
  </si>
  <si>
    <t>10.207.178.32</t>
  </si>
  <si>
    <t>10.207.178.78</t>
  </si>
  <si>
    <t>10.207.177.147</t>
  </si>
  <si>
    <t>6</t>
  </si>
  <si>
    <t>w0dfissc-0131ac</t>
  </si>
  <si>
    <t>10.207.176.26</t>
  </si>
  <si>
    <t>10.207.176.90</t>
  </si>
  <si>
    <t>10.207.177.20</t>
  </si>
  <si>
    <t>10.207.177.84</t>
  </si>
  <si>
    <t>10.207.178.151</t>
  </si>
  <si>
    <t>10.207.178.218</t>
  </si>
  <si>
    <t>10.207.178.33</t>
  </si>
  <si>
    <t>10.207.177.148</t>
  </si>
  <si>
    <t>7</t>
  </si>
  <si>
    <t>w0dfivss-0140ac</t>
  </si>
  <si>
    <t>10.207.176.27</t>
  </si>
  <si>
    <t>10.207.176.91</t>
  </si>
  <si>
    <t>10.207.177.21</t>
  </si>
  <si>
    <t>10.207.177.85</t>
  </si>
  <si>
    <t>222.231.250.152</t>
  </si>
  <si>
    <t>2001:a7ff:9100:000b::8</t>
  </si>
  <si>
    <t>10.207.178.110</t>
  </si>
  <si>
    <t>10.207.178.152</t>
  </si>
  <si>
    <t>10.207.178.219</t>
  </si>
  <si>
    <t>10.207.178.34</t>
  </si>
  <si>
    <t>10.207.178.79</t>
  </si>
  <si>
    <t>10.207.177.149</t>
  </si>
  <si>
    <t>8</t>
  </si>
  <si>
    <t>XSS</t>
  </si>
  <si>
    <t>w0dfivss-0141ac</t>
  </si>
  <si>
    <t>10.207.176.28</t>
  </si>
  <si>
    <t>10.207.176.92</t>
  </si>
  <si>
    <t>10.207.177.22</t>
  </si>
  <si>
    <t>10.207.177.86</t>
  </si>
  <si>
    <t>10.207.178.153</t>
  </si>
  <si>
    <t>10.207.178.220</t>
  </si>
  <si>
    <t>10.207.178.35</t>
  </si>
  <si>
    <t>10.207.177.150</t>
  </si>
  <si>
    <t>9</t>
  </si>
  <si>
    <t>w0dfivss-0150ac</t>
  </si>
  <si>
    <t>10.207.176.29</t>
  </si>
  <si>
    <t>10.207.176.93</t>
  </si>
  <si>
    <t>10.207.177.23</t>
  </si>
  <si>
    <t>10.207.177.87</t>
  </si>
  <si>
    <t>222.231.250.153</t>
  </si>
  <si>
    <t>2001:a7ff:9100:000b::9</t>
  </si>
  <si>
    <t>10.207.178.111</t>
  </si>
  <si>
    <t>10.207.178.154</t>
  </si>
  <si>
    <t>10.207.178.221</t>
  </si>
  <si>
    <t>10.207.178.36</t>
  </si>
  <si>
    <t>10.207.178.80</t>
  </si>
  <si>
    <t>10.207.177.151</t>
  </si>
  <si>
    <t>10</t>
  </si>
  <si>
    <t>w0dfivss-0151ac</t>
  </si>
  <si>
    <t>10.207.176.30</t>
  </si>
  <si>
    <t>10.207.176.94</t>
  </si>
  <si>
    <t>10.207.177.24</t>
  </si>
  <si>
    <t>10.207.177.88</t>
  </si>
  <si>
    <t>10.207.178.155</t>
  </si>
  <si>
    <t>10.207.178.222</t>
  </si>
  <si>
    <t>10.207.178.37</t>
  </si>
  <si>
    <t>10.207.177.152</t>
  </si>
  <si>
    <t>11</t>
  </si>
  <si>
    <t>w23shgds-025000</t>
  </si>
  <si>
    <t>10.93.64.29</t>
  </si>
  <si>
    <t>10.93.64.93</t>
  </si>
  <si>
    <t>10.93.66.23</t>
  </si>
  <si>
    <t>10.93.66.87</t>
  </si>
  <si>
    <t>222.231.232.185</t>
  </si>
  <si>
    <t>2001:a7ff:2100:9:0:0:0:9</t>
  </si>
  <si>
    <t>10.93.75.47</t>
  </si>
  <si>
    <t>10.93.75.90</t>
  </si>
  <si>
    <t>10.93.75.157</t>
  </si>
  <si>
    <t>10.93.71.36</t>
  </si>
  <si>
    <t>10.93.75.16</t>
  </si>
  <si>
    <t>10.93.66.151</t>
  </si>
  <si>
    <t>AS</t>
  </si>
  <si>
    <t>210206</t>
  </si>
  <si>
    <t>w23shgds-025100</t>
  </si>
  <si>
    <t>10.93.64.30</t>
  </si>
  <si>
    <t>10.93.64.94</t>
  </si>
  <si>
    <t>10.93.66.24</t>
  </si>
  <si>
    <t>10.93.66.88</t>
  </si>
  <si>
    <t>10.93.75.91</t>
  </si>
  <si>
    <t>10.93.75.158</t>
  </si>
  <si>
    <t>10.93.71.37</t>
  </si>
  <si>
    <t>10.93.66.152</t>
  </si>
  <si>
    <t>w23shisc-0200ps</t>
  </si>
  <si>
    <t>10.93.64.19</t>
  </si>
  <si>
    <t>10.93.64.83</t>
  </si>
  <si>
    <t>10.93.66.13</t>
  </si>
  <si>
    <t>10.93.66.77</t>
  </si>
  <si>
    <t>222.231.232.20</t>
  </si>
  <si>
    <t>2001:a7ff:2100:1:0:0:0:4</t>
  </si>
  <si>
    <t>10.93.65.4</t>
  </si>
  <si>
    <t>10.93.65.36</t>
  </si>
  <si>
    <t>10.93.72.42</t>
  </si>
  <si>
    <t>10.93.72.80</t>
  </si>
  <si>
    <t>10.93.72.147</t>
  </si>
  <si>
    <t>10.93.68.26</t>
  </si>
  <si>
    <t>10.93.72.11</t>
  </si>
  <si>
    <t>10.93.66.141</t>
  </si>
  <si>
    <t>CA</t>
  </si>
  <si>
    <t>0527534052</t>
  </si>
  <si>
    <t>w23shisc-0201ps</t>
  </si>
  <si>
    <t>10.93.64.20</t>
  </si>
  <si>
    <t>10.93.64.84</t>
  </si>
  <si>
    <t>10.93.66.14</t>
  </si>
  <si>
    <t>10.93.66.78</t>
  </si>
  <si>
    <t>10.93.65.5</t>
  </si>
  <si>
    <t>10.93.65.37</t>
  </si>
  <si>
    <t>10.93.72.81</t>
  </si>
  <si>
    <t>10.93.72.148</t>
  </si>
  <si>
    <t>10.93.68.27</t>
  </si>
  <si>
    <t>10.93.66.142</t>
  </si>
  <si>
    <t>w23shisc-0210ps</t>
  </si>
  <si>
    <t>10.93.64.21</t>
  </si>
  <si>
    <t>10.93.64.85</t>
  </si>
  <si>
    <t>10.93.66.15</t>
  </si>
  <si>
    <t>10.93.66.79</t>
  </si>
  <si>
    <t>222.231.232.21</t>
  </si>
  <si>
    <t>2001:a7ff:2100:1:0:0:0:5</t>
  </si>
  <si>
    <t>10.93.65.6</t>
  </si>
  <si>
    <t>10.93.65.38</t>
  </si>
  <si>
    <t>10.93.72.43</t>
  </si>
  <si>
    <t>10.93.72.82</t>
  </si>
  <si>
    <t>10.93.72.149</t>
  </si>
  <si>
    <t>10.93.68.28</t>
  </si>
  <si>
    <t>10.93.72.12</t>
  </si>
  <si>
    <t>10.93.66.143</t>
  </si>
  <si>
    <t>w23shisc-0211ps</t>
  </si>
  <si>
    <t>10.93.64.22</t>
  </si>
  <si>
    <t>10.93.64.86</t>
  </si>
  <si>
    <t>10.93.66.16</t>
  </si>
  <si>
    <t>10.93.66.80</t>
  </si>
  <si>
    <t>10.93.65.7</t>
  </si>
  <si>
    <t>10.93.65.39</t>
  </si>
  <si>
    <t>10.93.72.83</t>
  </si>
  <si>
    <t>10.93.72.150</t>
  </si>
  <si>
    <t>10.93.68.29</t>
  </si>
  <si>
    <t>10.93.66.144</t>
  </si>
  <si>
    <t>w23shisc-0220im</t>
  </si>
  <si>
    <t>10.93.64.23</t>
  </si>
  <si>
    <t>10.93.64.87</t>
  </si>
  <si>
    <t>10.93.66.17</t>
  </si>
  <si>
    <t>10.93.66.81</t>
  </si>
  <si>
    <t>222.231.232.22</t>
  </si>
  <si>
    <t>2001:a7ff:2100:1:0:0:0:6</t>
  </si>
  <si>
    <t>10.93.72.44</t>
  </si>
  <si>
    <t>10.93.72.84</t>
  </si>
  <si>
    <t>10.93.72.151</t>
  </si>
  <si>
    <t>10.93.68.30</t>
  </si>
  <si>
    <t>10.93.72.13</t>
  </si>
  <si>
    <t>10.93.66.145</t>
  </si>
  <si>
    <t>0728153053</t>
  </si>
  <si>
    <t>w23shisc-0221im</t>
  </si>
  <si>
    <t>10.93.64.24</t>
  </si>
  <si>
    <t>10.93.64.88</t>
  </si>
  <si>
    <t>10.93.66.18</t>
  </si>
  <si>
    <t>10.93.66.82</t>
  </si>
  <si>
    <t>10.93.72.85</t>
  </si>
  <si>
    <t>10.93.72.152</t>
  </si>
  <si>
    <t>10.93.68.31</t>
  </si>
  <si>
    <t>10.93.66.146</t>
  </si>
  <si>
    <t>w23shisc-0230ps</t>
  </si>
  <si>
    <t>10.93.64.25</t>
  </si>
  <si>
    <t>10.93.64.89</t>
  </si>
  <si>
    <t>10.93.66.19</t>
  </si>
  <si>
    <t>10.93.66.83</t>
  </si>
  <si>
    <t>222.231.232.23</t>
  </si>
  <si>
    <t>2001:a7ff:2100:1:0:0:0:7</t>
  </si>
  <si>
    <t>10.93.65.8</t>
  </si>
  <si>
    <t>10.93.65.40</t>
  </si>
  <si>
    <t>10.93.72.45</t>
  </si>
  <si>
    <t>10.93.72.88</t>
  </si>
  <si>
    <t>10.93.72.153</t>
  </si>
  <si>
    <t>10.93.68.32</t>
  </si>
  <si>
    <t>10.93.72.14</t>
  </si>
  <si>
    <t>10.93.66.147</t>
  </si>
  <si>
    <t>w23shisc-0231ps</t>
  </si>
  <si>
    <t>10.93.64.26</t>
  </si>
  <si>
    <t>10.93.64.90</t>
  </si>
  <si>
    <t>10.93.66.20</t>
  </si>
  <si>
    <t>10.93.66.84</t>
  </si>
  <si>
    <t>10.93.65.9</t>
  </si>
  <si>
    <t>10.93.65.41</t>
  </si>
  <si>
    <t>10.93.72.89</t>
  </si>
  <si>
    <t>10.93.72.154</t>
  </si>
  <si>
    <t>10.93.68.33</t>
  </si>
  <si>
    <t>10.93.66.148</t>
  </si>
  <si>
    <t>w23shisc-0a00ps</t>
  </si>
  <si>
    <t>10.93.64.7</t>
  </si>
  <si>
    <t>10.93.64.71</t>
  </si>
  <si>
    <t>10.93.66.1</t>
  </si>
  <si>
    <t>10.93.66.65</t>
  </si>
  <si>
    <t>222.231.232.36</t>
  </si>
  <si>
    <t>2001:a7ff:2100:2:0:0:0:4</t>
  </si>
  <si>
    <t>10.93.65.68</t>
  </si>
  <si>
    <t>10.93.65.100</t>
  </si>
  <si>
    <t>10.93.73.36</t>
  </si>
  <si>
    <t>10.93.73.68</t>
  </si>
  <si>
    <t>10.93.73.135</t>
  </si>
  <si>
    <t>10.93.69.14</t>
  </si>
  <si>
    <t>10.93.73.5</t>
  </si>
  <si>
    <t>10.93.66.129</t>
  </si>
  <si>
    <t>0728153052</t>
  </si>
  <si>
    <t>w23shisc-0a01ps</t>
  </si>
  <si>
    <t>10.93.64.8</t>
  </si>
  <si>
    <t>10.93.64.72</t>
  </si>
  <si>
    <t>10.93.66.2</t>
  </si>
  <si>
    <t>10.93.66.66</t>
  </si>
  <si>
    <t>10.93.65.69</t>
  </si>
  <si>
    <t>10.93.65.101</t>
  </si>
  <si>
    <t>10.93.73.69</t>
  </si>
  <si>
    <t>10.93.73.136</t>
  </si>
  <si>
    <t>10.93.69.15</t>
  </si>
  <si>
    <t>10.93.66.130</t>
  </si>
  <si>
    <t>w23shisc-0a10ps</t>
  </si>
  <si>
    <t>10.93.64.9</t>
  </si>
  <si>
    <t>10.93.64.73</t>
  </si>
  <si>
    <t>10.93.66.3</t>
  </si>
  <si>
    <t>10.93.66.67</t>
  </si>
  <si>
    <t>222.231.232.37</t>
  </si>
  <si>
    <t>2001:a7ff:2100:2:0:0:0:5</t>
  </si>
  <si>
    <t>10.93.65.70</t>
  </si>
  <si>
    <t>10.93.65.102</t>
  </si>
  <si>
    <t>10.93.73.37</t>
  </si>
  <si>
    <t>10.93.73.70</t>
  </si>
  <si>
    <t>10.93.73.137</t>
  </si>
  <si>
    <t>10.93.69.16</t>
  </si>
  <si>
    <t>10.93.73.6</t>
  </si>
  <si>
    <t>10.93.66.131</t>
  </si>
  <si>
    <t>w23shisc-0a11ps</t>
  </si>
  <si>
    <t>10.93.64.10</t>
  </si>
  <si>
    <t>10.93.64.74</t>
  </si>
  <si>
    <t>10.93.66.4</t>
  </si>
  <si>
    <t>10.93.66.68</t>
  </si>
  <si>
    <t>10.93.65.71</t>
  </si>
  <si>
    <t>10.93.65.103</t>
  </si>
  <si>
    <t>10.93.73.71</t>
  </si>
  <si>
    <t>10.93.73.138</t>
  </si>
  <si>
    <t>10.93.69.17</t>
  </si>
  <si>
    <t>10.93.66.132</t>
  </si>
  <si>
    <t>w23shisc-0a20ps</t>
  </si>
  <si>
    <t>10.93.64.11</t>
  </si>
  <si>
    <t>10.93.64.75</t>
  </si>
  <si>
    <t>10.93.66.5</t>
  </si>
  <si>
    <t>10.93.66.69</t>
  </si>
  <si>
    <t>222.231.232.38</t>
  </si>
  <si>
    <t>2001:a7ff:2100:2:0:0:0:6</t>
  </si>
  <si>
    <t>10.93.65.72</t>
  </si>
  <si>
    <t>10.93.65.104</t>
  </si>
  <si>
    <t>10.93.73.38</t>
  </si>
  <si>
    <t>10.93.73.72</t>
  </si>
  <si>
    <t>10.93.73.139</t>
  </si>
  <si>
    <t>10.93.69.18</t>
  </si>
  <si>
    <t>10.93.73.7</t>
  </si>
  <si>
    <t>10.93.66.133</t>
  </si>
  <si>
    <t>w23shisc-0a21ps</t>
  </si>
  <si>
    <t>10.93.64.12</t>
  </si>
  <si>
    <t>10.93.64.76</t>
  </si>
  <si>
    <t>10.93.66.6</t>
  </si>
  <si>
    <t>10.93.66.70</t>
  </si>
  <si>
    <t>10.93.65.73</t>
  </si>
  <si>
    <t>10.93.65.105</t>
  </si>
  <si>
    <t>10.93.73.73</t>
  </si>
  <si>
    <t>10.93.73.140</t>
  </si>
  <si>
    <t>10.93.69.19</t>
  </si>
  <si>
    <t>10.93.66.134</t>
  </si>
  <si>
    <t>w23shisc-0a30im</t>
  </si>
  <si>
    <t>10.93.64.13</t>
  </si>
  <si>
    <t>10.93.64.77</t>
  </si>
  <si>
    <t>10.93.66.7</t>
  </si>
  <si>
    <t>10.93.66.71</t>
  </si>
  <si>
    <t>222.231.232.39</t>
  </si>
  <si>
    <t>2001:a7ff:2100:2:0:0:0:7</t>
  </si>
  <si>
    <t>10.93.73.39</t>
  </si>
  <si>
    <t>10.93.73.74</t>
  </si>
  <si>
    <t>10.93.73.141</t>
  </si>
  <si>
    <t>10.93.69.20</t>
  </si>
  <si>
    <t>10.93.73.8</t>
  </si>
  <si>
    <t>10.93.66.135</t>
  </si>
  <si>
    <t>0956595053</t>
  </si>
  <si>
    <t>w23shisc-0a31im</t>
  </si>
  <si>
    <t>10.93.64.14</t>
  </si>
  <si>
    <t>10.93.64.78</t>
  </si>
  <si>
    <t>10.93.66.8</t>
  </si>
  <si>
    <t>10.93.66.72</t>
  </si>
  <si>
    <t>10.93.73.75</t>
  </si>
  <si>
    <t>10.93.73.142</t>
  </si>
  <si>
    <t>10.93.69.21</t>
  </si>
  <si>
    <t>10.93.66.136</t>
  </si>
  <si>
    <t>w23shisc-0b00ip</t>
  </si>
  <si>
    <t>222.231.232.132</t>
  </si>
  <si>
    <t>2001:a7ff:2100:6:0:0:0:4</t>
  </si>
  <si>
    <t>10.93.75.36</t>
  </si>
  <si>
    <t>10.93.75.68</t>
  </si>
  <si>
    <t>10.93.75.135</t>
  </si>
  <si>
    <t>10.93.71.14</t>
  </si>
  <si>
    <t>10.93.75.5</t>
  </si>
  <si>
    <t>0661512052</t>
  </si>
  <si>
    <t>w23shisc-0b01ip</t>
  </si>
  <si>
    <t>10.93.75.69</t>
  </si>
  <si>
    <t>10.93.75.136</t>
  </si>
  <si>
    <t>10.93.71.15</t>
  </si>
  <si>
    <t>w23shisc-1a00ps</t>
  </si>
  <si>
    <t>222.231.232.52</t>
  </si>
  <si>
    <t>2001:a7ff:2100:3:0:0:0:4</t>
  </si>
  <si>
    <t>10.93.65.132</t>
  </si>
  <si>
    <t>10.93.65.164</t>
  </si>
  <si>
    <t>10.93.74.36</t>
  </si>
  <si>
    <t>10.93.74.68</t>
  </si>
  <si>
    <t>10.93.74.135</t>
  </si>
  <si>
    <t>10.93.70.14</t>
  </si>
  <si>
    <t>10.93.74.5</t>
  </si>
  <si>
    <t>0775725052</t>
  </si>
  <si>
    <t>w23shisc-1a01ps</t>
  </si>
  <si>
    <t>10.93.65.133</t>
  </si>
  <si>
    <t>10.93.65.165</t>
  </si>
  <si>
    <t>10.93.74.69</t>
  </si>
  <si>
    <t>10.93.74.136</t>
  </si>
  <si>
    <t>10.93.70.15</t>
  </si>
  <si>
    <t>w23shisc-1a10ps</t>
  </si>
  <si>
    <t>222.231.232.53</t>
  </si>
  <si>
    <t>2001:a7ff:2100:3:0:0:0:5</t>
  </si>
  <si>
    <t>10.93.65.134</t>
  </si>
  <si>
    <t>10.93.65.166</t>
  </si>
  <si>
    <t>10.93.74.37</t>
  </si>
  <si>
    <t>10.93.74.70</t>
  </si>
  <si>
    <t>10.93.74.137</t>
  </si>
  <si>
    <t>10.93.70.16</t>
  </si>
  <si>
    <t>10.93.74.6</t>
  </si>
  <si>
    <t>w23shisc-1a11ps</t>
  </si>
  <si>
    <t>10.93.65.135</t>
  </si>
  <si>
    <t>10.93.65.167</t>
  </si>
  <si>
    <t>10.93.74.71</t>
  </si>
  <si>
    <t>10.93.74.138</t>
  </si>
  <si>
    <t>10.93.70.17</t>
  </si>
  <si>
    <t>w23shisc-1a20im</t>
  </si>
  <si>
    <t>222.231.232.54</t>
  </si>
  <si>
    <t>2001:a7ff:2100:3:0:0:0:6</t>
  </si>
  <si>
    <t>10.93.74.38</t>
  </si>
  <si>
    <t>10.93.74.72</t>
  </si>
  <si>
    <t>10.93.74.139</t>
  </si>
  <si>
    <t>10.93.70.18</t>
  </si>
  <si>
    <t>10.93.74.7</t>
  </si>
  <si>
    <t>0664157053</t>
  </si>
  <si>
    <t>w23shisc-1a21im</t>
  </si>
  <si>
    <t>10.93.74.73</t>
  </si>
  <si>
    <t>10.93.74.140</t>
  </si>
  <si>
    <t>10.93.70.19</t>
  </si>
  <si>
    <t>w23shisc-1a30ps</t>
  </si>
  <si>
    <t>222.231.232.55</t>
  </si>
  <si>
    <t>2001:a7ff:2100:3:0:0:0:7</t>
  </si>
  <si>
    <t>10.93.65.136</t>
  </si>
  <si>
    <t>10.93.65.168</t>
  </si>
  <si>
    <t>10.93.74.39</t>
  </si>
  <si>
    <t>10.93.74.74</t>
  </si>
  <si>
    <t>10.93.74.141</t>
  </si>
  <si>
    <t>10.93.70.20</t>
  </si>
  <si>
    <t>10.93.74.8</t>
  </si>
  <si>
    <t>w23shisc-1a31ps</t>
  </si>
  <si>
    <t>10.93.65.137</t>
  </si>
  <si>
    <t>10.93.65.169</t>
  </si>
  <si>
    <t>10.93.74.75</t>
  </si>
  <si>
    <t>10.93.74.142</t>
  </si>
  <si>
    <t>10.93.70.21</t>
  </si>
  <si>
    <t>w23shssc-0100ac</t>
  </si>
  <si>
    <t>10.93.64.31</t>
  </si>
  <si>
    <t>10.93.64.95</t>
  </si>
  <si>
    <t>10.93.66.25</t>
  </si>
  <si>
    <t>10.93.66.89</t>
  </si>
  <si>
    <t>222.231.232.68</t>
  </si>
  <si>
    <t>2001:a7ff:2100:4:0:0:0:4</t>
  </si>
  <si>
    <t>10.93.72.48</t>
  </si>
  <si>
    <t>10.93.72.92</t>
  </si>
  <si>
    <t>10.93.72.159</t>
  </si>
  <si>
    <t>10.93.68.38</t>
  </si>
  <si>
    <t>10.93.72.17</t>
  </si>
  <si>
    <t>10.93.66.153</t>
  </si>
  <si>
    <t>210101</t>
  </si>
  <si>
    <t>0542694054</t>
  </si>
  <si>
    <t>w23shssc-0101ac</t>
  </si>
  <si>
    <t>10.93.64.32</t>
  </si>
  <si>
    <t>10.93.64.96</t>
  </si>
  <si>
    <t>10.93.66.26</t>
  </si>
  <si>
    <t>10.93.66.90</t>
  </si>
  <si>
    <t>10.93.72.93</t>
  </si>
  <si>
    <t>10.93.72.160</t>
  </si>
  <si>
    <t>10.93.68.39</t>
  </si>
  <si>
    <t>10.93.66.154</t>
  </si>
  <si>
    <t>w23shssc-0110ac</t>
  </si>
  <si>
    <t>10.93.64.33</t>
  </si>
  <si>
    <t>10.93.64.97</t>
  </si>
  <si>
    <t>10.93.66.27</t>
  </si>
  <si>
    <t>10.93.66.91</t>
  </si>
  <si>
    <t>222.231.232.69</t>
  </si>
  <si>
    <t>2001:a7ff:2100:4:0:0:0:5</t>
  </si>
  <si>
    <t>10.93.72.49</t>
  </si>
  <si>
    <t>10.93.72.94</t>
  </si>
  <si>
    <t>10.93.72.161</t>
  </si>
  <si>
    <t>10.93.68.40</t>
  </si>
  <si>
    <t>10.93.72.18</t>
  </si>
  <si>
    <t>10.93.66.155</t>
  </si>
  <si>
    <t>210102</t>
  </si>
  <si>
    <t>0535453054</t>
  </si>
  <si>
    <t>w23shssc-0111ac</t>
  </si>
  <si>
    <t>10.93.64.34</t>
  </si>
  <si>
    <t>10.93.64.98</t>
  </si>
  <si>
    <t>10.93.66.28</t>
  </si>
  <si>
    <t>10.93.66.92</t>
  </si>
  <si>
    <t>10.93.72.95</t>
  </si>
  <si>
    <t>10.93.72.162</t>
  </si>
  <si>
    <t>10.93.68.41</t>
  </si>
  <si>
    <t>10.93.66.156</t>
  </si>
  <si>
    <t>w23shssc-0120ac</t>
  </si>
  <si>
    <t>10.93.64.35</t>
  </si>
  <si>
    <t>10.93.64.99</t>
  </si>
  <si>
    <t>10.93.66.29</t>
  </si>
  <si>
    <t>10.93.66.93</t>
  </si>
  <si>
    <t>222.231.232.70</t>
  </si>
  <si>
    <t>2001:a7ff:2100:4:0:0:0:6</t>
  </si>
  <si>
    <t>10.93.72.50</t>
  </si>
  <si>
    <t>10.93.72.96</t>
  </si>
  <si>
    <t>10.93.72.163</t>
  </si>
  <si>
    <t>10.93.68.42</t>
  </si>
  <si>
    <t>10.93.72.19</t>
  </si>
  <si>
    <t>10.93.66.157</t>
  </si>
  <si>
    <t>210103</t>
  </si>
  <si>
    <t>0532394054</t>
  </si>
  <si>
    <t>w23shssc-0121ac</t>
  </si>
  <si>
    <t>10.93.64.36</t>
  </si>
  <si>
    <t>10.93.64.100</t>
  </si>
  <si>
    <t>10.93.66.30</t>
  </si>
  <si>
    <t>10.93.66.94</t>
  </si>
  <si>
    <t>10.93.72.97</t>
  </si>
  <si>
    <t>10.93.72.164</t>
  </si>
  <si>
    <t>10.93.68.43</t>
  </si>
  <si>
    <t>10.93.66.158</t>
  </si>
  <si>
    <t>w23shssc-0130ac</t>
  </si>
  <si>
    <t>10.93.64.37</t>
  </si>
  <si>
    <t>10.93.64.101</t>
  </si>
  <si>
    <t>10.93.66.31</t>
  </si>
  <si>
    <t>10.93.66.95</t>
  </si>
  <si>
    <t>222.231.232.71</t>
  </si>
  <si>
    <t>2001:a7ff:2100:4:0:0:0:7</t>
  </si>
  <si>
    <t>10.93.72.51</t>
  </si>
  <si>
    <t>10.93.72.98</t>
  </si>
  <si>
    <t>10.93.72.165</t>
  </si>
  <si>
    <t>10.93.68.44</t>
  </si>
  <si>
    <t>10.93.72.20</t>
  </si>
  <si>
    <t>10.93.66.159</t>
  </si>
  <si>
    <t>210104</t>
  </si>
  <si>
    <t>0565422054</t>
  </si>
  <si>
    <t>w23shssc-0131ac</t>
  </si>
  <si>
    <t>10.93.64.38</t>
  </si>
  <si>
    <t>10.93.64.102</t>
  </si>
  <si>
    <t>10.93.66.32</t>
  </si>
  <si>
    <t>10.93.66.96</t>
  </si>
  <si>
    <t>10.93.72.99</t>
  </si>
  <si>
    <t>10.93.72.166</t>
  </si>
  <si>
    <t>10.93.68.45</t>
  </si>
  <si>
    <t>10.93.66.160</t>
  </si>
  <si>
    <t>w23shssc-0140ac</t>
  </si>
  <si>
    <t>10.93.64.39</t>
  </si>
  <si>
    <t>10.93.64.103</t>
  </si>
  <si>
    <t>10.93.66.33</t>
  </si>
  <si>
    <t>10.93.66.97</t>
  </si>
  <si>
    <t>222.231.232.72</t>
  </si>
  <si>
    <t>2001:a7ff:2100:4:0:0:0:8</t>
  </si>
  <si>
    <t>10.93.72.52</t>
  </si>
  <si>
    <t>10.93.72.100</t>
  </si>
  <si>
    <t>10.93.72.167</t>
  </si>
  <si>
    <t>10.93.68.46</t>
  </si>
  <si>
    <t>10.93.72.21</t>
  </si>
  <si>
    <t>10.93.66.161</t>
  </si>
  <si>
    <t>210105</t>
  </si>
  <si>
    <t>0523250054</t>
  </si>
  <si>
    <t>w23shssc-0141ac</t>
  </si>
  <si>
    <t>10.93.64.40</t>
  </si>
  <si>
    <t>10.93.64.104</t>
  </si>
  <si>
    <t>10.93.66.34</t>
  </si>
  <si>
    <t>10.93.66.98</t>
  </si>
  <si>
    <t>10.93.72.101</t>
  </si>
  <si>
    <t>10.93.72.168</t>
  </si>
  <si>
    <t>10.93.68.47</t>
  </si>
  <si>
    <t>10.93.66.162</t>
  </si>
  <si>
    <t>w23shssc-0200ac</t>
  </si>
  <si>
    <t>222.231.232.116</t>
  </si>
  <si>
    <t>2001:a7ff:2100:7:0:0:0:4</t>
  </si>
  <si>
    <t>10.93.75.42</t>
  </si>
  <si>
    <t>10.93.75.80</t>
  </si>
  <si>
    <t>10.93.75.147</t>
  </si>
  <si>
    <t>10.93.71.26</t>
  </si>
  <si>
    <t>10.93.75.11</t>
  </si>
  <si>
    <t>210201</t>
  </si>
  <si>
    <t>0593294054</t>
  </si>
  <si>
    <t>w23shssc-0201ac</t>
  </si>
  <si>
    <t>10.93.75.81</t>
  </si>
  <si>
    <t>10.93.75.148</t>
  </si>
  <si>
    <t>10.93.71.27</t>
  </si>
  <si>
    <t>w23shssc-0210ac</t>
  </si>
  <si>
    <t>222.231.232.117</t>
  </si>
  <si>
    <t>2001:a7ff:2100:7:0:0:0:5</t>
  </si>
  <si>
    <t>10.93.75.43</t>
  </si>
  <si>
    <t>10.93.75.82</t>
  </si>
  <si>
    <t>10.93.75.149</t>
  </si>
  <si>
    <t>10.93.71.28</t>
  </si>
  <si>
    <t>10.93.75.12</t>
  </si>
  <si>
    <t>210202</t>
  </si>
  <si>
    <t>0583225054</t>
  </si>
  <si>
    <t>w23shssc-0211ac</t>
  </si>
  <si>
    <t>10.93.75.83</t>
  </si>
  <si>
    <t>10.93.75.150</t>
  </si>
  <si>
    <t>10.93.71.29</t>
  </si>
  <si>
    <t>w23shssc-0300ac</t>
  </si>
  <si>
    <t>222.231.232.148</t>
  </si>
  <si>
    <t>2001:a7ff:2100:0a:0:0:0:4</t>
  </si>
  <si>
    <t>10.93.89.36</t>
  </si>
  <si>
    <t>10.93.89.68</t>
  </si>
  <si>
    <t>10.93.89.135</t>
  </si>
  <si>
    <t>10.93.68.142</t>
  </si>
  <si>
    <t>10.93.89.5</t>
  </si>
  <si>
    <t>210301</t>
  </si>
  <si>
    <t>w23shssc-0301ac</t>
  </si>
  <si>
    <t>10.93.89.69</t>
  </si>
  <si>
    <t>10.93.89.136</t>
  </si>
  <si>
    <t>10.93.68.143</t>
  </si>
  <si>
    <t>w23shssc-0a00ac</t>
  </si>
  <si>
    <t>10.95.64.7</t>
  </si>
  <si>
    <t>10.95.64.71</t>
  </si>
  <si>
    <t>10.95.66.1</t>
  </si>
  <si>
    <t>10.95.66.65</t>
  </si>
  <si>
    <t>222.231.224.84</t>
  </si>
  <si>
    <t>2001:a7ff:100:4:0:0:0:4</t>
  </si>
  <si>
    <t>10.95.6.36</t>
  </si>
  <si>
    <t>10.95.6.68</t>
  </si>
  <si>
    <t>10.95.6.135</t>
  </si>
  <si>
    <t>10.95.5.14</t>
  </si>
  <si>
    <t>10.95.6.5</t>
  </si>
  <si>
    <t>10.95.66.129</t>
  </si>
  <si>
    <t>220101</t>
  </si>
  <si>
    <t>0726465054</t>
  </si>
  <si>
    <t>w23shssc-0a01ac</t>
  </si>
  <si>
    <t>10.95.64.8</t>
  </si>
  <si>
    <t>10.95.64.72</t>
  </si>
  <si>
    <t>10.95.66.2</t>
  </si>
  <si>
    <t>10.95.66.66</t>
  </si>
  <si>
    <t>10.95.6.69</t>
  </si>
  <si>
    <t>10.95.6.136</t>
  </si>
  <si>
    <t>10.95.5.15</t>
  </si>
  <si>
    <t>10.95.66.130</t>
  </si>
  <si>
    <t>w23shssc-0a10ac</t>
  </si>
  <si>
    <t>10.95.64.9</t>
  </si>
  <si>
    <t>10.95.64.73</t>
  </si>
  <si>
    <t>10.95.66.3</t>
  </si>
  <si>
    <t>10.95.66.67</t>
  </si>
  <si>
    <t>222.231.224.85</t>
  </si>
  <si>
    <t>2001:a7ff:100:4:0:0:0:5</t>
  </si>
  <si>
    <t>10.95.6.37</t>
  </si>
  <si>
    <t>10.95.6.70</t>
  </si>
  <si>
    <t>10.95.6.137</t>
  </si>
  <si>
    <t>10.95.5.16</t>
  </si>
  <si>
    <t>10.95.6.6</t>
  </si>
  <si>
    <t>10.95.66.131</t>
  </si>
  <si>
    <t>220102</t>
  </si>
  <si>
    <t>0758741054</t>
  </si>
  <si>
    <t>w23shssc-0a11ac</t>
  </si>
  <si>
    <t>10.95.64.10</t>
  </si>
  <si>
    <t>10.95.64.74</t>
  </si>
  <si>
    <t>10.95.66.4</t>
  </si>
  <si>
    <t>10.95.66.68</t>
  </si>
  <si>
    <t>10.95.6.71</t>
  </si>
  <si>
    <t>10.95.6.138</t>
  </si>
  <si>
    <t>10.95.5.17</t>
  </si>
  <si>
    <t>10.95.66.132</t>
  </si>
  <si>
    <t>w23shssc-0a20ac</t>
  </si>
  <si>
    <t>10.95.64.11</t>
  </si>
  <si>
    <t>10.95.64.75</t>
  </si>
  <si>
    <t>10.95.66.5</t>
  </si>
  <si>
    <t>10.95.66.69</t>
  </si>
  <si>
    <t>222.231.224.86</t>
  </si>
  <si>
    <t>2001:a7ff:100:4:0:0:0:6</t>
  </si>
  <si>
    <t>10.95.6.38</t>
  </si>
  <si>
    <t>10.95.6.72</t>
  </si>
  <si>
    <t>10.95.6.139</t>
  </si>
  <si>
    <t>10.95.5.18</t>
  </si>
  <si>
    <t>10.95.6.7</t>
  </si>
  <si>
    <t>10.95.66.133</t>
  </si>
  <si>
    <t>220103</t>
  </si>
  <si>
    <t>0721552054</t>
  </si>
  <si>
    <t>w23shssc-0a21ac</t>
  </si>
  <si>
    <t>10.95.64.12</t>
  </si>
  <si>
    <t>10.95.64.76</t>
  </si>
  <si>
    <t>10.95.66.6</t>
  </si>
  <si>
    <t>10.95.66.70</t>
  </si>
  <si>
    <t>10.95.6.73</t>
  </si>
  <si>
    <t>10.95.6.140</t>
  </si>
  <si>
    <t>10.95.5.19</t>
  </si>
  <si>
    <t>10.95.66.134</t>
  </si>
  <si>
    <t>w23shssc-0a30ac</t>
  </si>
  <si>
    <t>10.95.64.13</t>
  </si>
  <si>
    <t>10.95.64.77</t>
  </si>
  <si>
    <t>10.95.66.7</t>
  </si>
  <si>
    <t>10.95.66.71</t>
  </si>
  <si>
    <t>222.231.224.87</t>
  </si>
  <si>
    <t>2001:a7ff:100:4:0:0:0:7</t>
  </si>
  <si>
    <t>10.95.6.39</t>
  </si>
  <si>
    <t>10.95.6.74</t>
  </si>
  <si>
    <t>10.95.6.141</t>
  </si>
  <si>
    <t>10.95.5.20</t>
  </si>
  <si>
    <t>10.95.6.8</t>
  </si>
  <si>
    <t>10.95.66.135</t>
  </si>
  <si>
    <t>220104</t>
  </si>
  <si>
    <t>0649632054</t>
  </si>
  <si>
    <t>w23shssc-0a31ac</t>
  </si>
  <si>
    <t>10.95.64.14</t>
  </si>
  <si>
    <t>10.95.64.78</t>
  </si>
  <si>
    <t>10.95.66.8</t>
  </si>
  <si>
    <t>10.95.66.72</t>
  </si>
  <si>
    <t>10.95.6.75</t>
  </si>
  <si>
    <t>10.95.6.142</t>
  </si>
  <si>
    <t>10.95.5.21</t>
  </si>
  <si>
    <t>10.95.66.136</t>
  </si>
  <si>
    <t>w23shssc-0a40ac</t>
  </si>
  <si>
    <t>10.95.64.15</t>
  </si>
  <si>
    <t>10.95.64.79</t>
  </si>
  <si>
    <t>10.95.66.9</t>
  </si>
  <si>
    <t>10.95.66.73</t>
  </si>
  <si>
    <t>222.231.224.88</t>
  </si>
  <si>
    <t>2001:a7ff:100:4:0:0:0:8</t>
  </si>
  <si>
    <t>10.95.6.40</t>
  </si>
  <si>
    <t>10.95.6.76</t>
  </si>
  <si>
    <t>10.95.6.143</t>
  </si>
  <si>
    <t>10.95.5.22</t>
  </si>
  <si>
    <t>10.95.6.9</t>
  </si>
  <si>
    <t>10.95.66.137</t>
  </si>
  <si>
    <t>220105</t>
  </si>
  <si>
    <t>0661951054</t>
  </si>
  <si>
    <t>w23shssc-0a41ac</t>
  </si>
  <si>
    <t>10.95.64.16</t>
  </si>
  <si>
    <t>10.95.64.80</t>
  </si>
  <si>
    <t>10.95.66.10</t>
  </si>
  <si>
    <t>10.95.66.74</t>
  </si>
  <si>
    <t>10.95.6.77</t>
  </si>
  <si>
    <t>10.95.6.144</t>
  </si>
  <si>
    <t>10.95.5.23</t>
  </si>
  <si>
    <t>10.95.66.138</t>
  </si>
  <si>
    <t>w23shssc-0b00ac</t>
  </si>
  <si>
    <t>10.95.64.19</t>
  </si>
  <si>
    <t>10.95.64.83</t>
  </si>
  <si>
    <t>10.95.66.13</t>
  </si>
  <si>
    <t>10.95.66.77</t>
  </si>
  <si>
    <t>222.231.224.116</t>
  </si>
  <si>
    <t>2001:a7ff:100:9:0:0:0:4</t>
  </si>
  <si>
    <t>10.95.6.42</t>
  </si>
  <si>
    <t>10.95.6.80</t>
  </si>
  <si>
    <t>10.95.6.147</t>
  </si>
  <si>
    <t>10.95.5.26</t>
  </si>
  <si>
    <t>10.95.6.11</t>
  </si>
  <si>
    <t>10.95.66.141</t>
  </si>
  <si>
    <t>220201</t>
  </si>
  <si>
    <t>0661314054</t>
  </si>
  <si>
    <t>w23shssc-0b01ac</t>
  </si>
  <si>
    <t>10.95.64.20</t>
  </si>
  <si>
    <t>10.95.64.84</t>
  </si>
  <si>
    <t>10.95.66.14</t>
  </si>
  <si>
    <t>10.95.66.78</t>
  </si>
  <si>
    <t>10.95.6.81</t>
  </si>
  <si>
    <t>10.95.6.148</t>
  </si>
  <si>
    <t>10.95.5.27</t>
  </si>
  <si>
    <t>10.95.66.142</t>
  </si>
  <si>
    <t>w23shssc-0b10ac</t>
  </si>
  <si>
    <t>10.95.64.21</t>
  </si>
  <si>
    <t>10.95.64.85</t>
  </si>
  <si>
    <t>10.95.66.15</t>
  </si>
  <si>
    <t>10.95.66.79</t>
  </si>
  <si>
    <t>222.231.224.117</t>
  </si>
  <si>
    <t>2001:a7ff:100:9:0:0:0:5</t>
  </si>
  <si>
    <t>10.95.6.43</t>
  </si>
  <si>
    <t>10.95.6.82</t>
  </si>
  <si>
    <t>10.95.6.149</t>
  </si>
  <si>
    <t>10.95.5.28</t>
  </si>
  <si>
    <t>10.95.6.12</t>
  </si>
  <si>
    <t>10.95.66.143</t>
  </si>
  <si>
    <t>220202</t>
  </si>
  <si>
    <t>0667110054</t>
  </si>
  <si>
    <t>w23shssc-0b11ac</t>
  </si>
  <si>
    <t>10.95.64.22</t>
  </si>
  <si>
    <t>10.95.64.86</t>
  </si>
  <si>
    <t>10.95.66.16</t>
  </si>
  <si>
    <t>10.95.66.80</t>
  </si>
  <si>
    <t>10.95.6.83</t>
  </si>
  <si>
    <t>10.95.6.150</t>
  </si>
  <si>
    <t>10.95.5.29</t>
  </si>
  <si>
    <t>10.95.66.144</t>
  </si>
  <si>
    <t>w23shssc-0b20ac</t>
  </si>
  <si>
    <t>10.95.64.23</t>
  </si>
  <si>
    <t>10.95.64.87</t>
  </si>
  <si>
    <t>10.95.66.17</t>
  </si>
  <si>
    <t>10.95.66.81</t>
  </si>
  <si>
    <t>222.231.224.118</t>
  </si>
  <si>
    <t>2001:a7ff:100:9:0:0:0:6</t>
  </si>
  <si>
    <t>10.95.6.44</t>
  </si>
  <si>
    <t>10.95.6.84</t>
  </si>
  <si>
    <t>10.95.6.151</t>
  </si>
  <si>
    <t>10.95.5.30</t>
  </si>
  <si>
    <t>10.95.6.13</t>
  </si>
  <si>
    <t>10.95.66.145</t>
  </si>
  <si>
    <t>220203</t>
  </si>
  <si>
    <t>0665566054</t>
  </si>
  <si>
    <t>w23shssc-0b21ac</t>
  </si>
  <si>
    <t>10.95.64.24</t>
  </si>
  <si>
    <t>10.95.64.88</t>
  </si>
  <si>
    <t>10.95.66.18</t>
  </si>
  <si>
    <t>10.95.66.82</t>
  </si>
  <si>
    <t>10.95.6.85</t>
  </si>
  <si>
    <t>10.95.6.152</t>
  </si>
  <si>
    <t>10.95.5.31</t>
  </si>
  <si>
    <t>10.95.66.146</t>
  </si>
  <si>
    <t>w23shssc-0b30ac</t>
  </si>
  <si>
    <t>10.95.64.25</t>
  </si>
  <si>
    <t>10.95.64.89</t>
  </si>
  <si>
    <t>10.95.66.19</t>
  </si>
  <si>
    <t>10.95.66.83</t>
  </si>
  <si>
    <t>222.231.224.119</t>
  </si>
  <si>
    <t>2001:a7ff:100:9:0:0:0:7</t>
  </si>
  <si>
    <t>10.95.6.45</t>
  </si>
  <si>
    <t>10.95.6.86</t>
  </si>
  <si>
    <t>10.95.6.153</t>
  </si>
  <si>
    <t>10.95.5.32</t>
  </si>
  <si>
    <t>10.95.6.14</t>
  </si>
  <si>
    <t>10.95.66.147</t>
  </si>
  <si>
    <t>220204</t>
  </si>
  <si>
    <t>0774397054</t>
  </si>
  <si>
    <t>w23shssc-0b31ac</t>
  </si>
  <si>
    <t>10.95.64.26</t>
  </si>
  <si>
    <t>10.95.64.90</t>
  </si>
  <si>
    <t>10.95.66.20</t>
  </si>
  <si>
    <t>10.95.66.84</t>
  </si>
  <si>
    <t>10.95.6.87</t>
  </si>
  <si>
    <t>10.95.6.154</t>
  </si>
  <si>
    <t>10.95.5.33</t>
  </si>
  <si>
    <t>10.95.66.148</t>
  </si>
  <si>
    <t>w23shssc-0b40ac</t>
  </si>
  <si>
    <t>10.95.64.27</t>
  </si>
  <si>
    <t>10.95.64.91</t>
  </si>
  <si>
    <t>10.95.66.21</t>
  </si>
  <si>
    <t>10.95.66.85</t>
  </si>
  <si>
    <t>222.231.224.120</t>
  </si>
  <si>
    <t>2001:a7ff:100:9:0:0:0:8</t>
  </si>
  <si>
    <t>10.95.6.46</t>
  </si>
  <si>
    <t>10.95.6.88</t>
  </si>
  <si>
    <t>10.95.6.155</t>
  </si>
  <si>
    <t>10.95.5.34</t>
  </si>
  <si>
    <t>10.95.6.15</t>
  </si>
  <si>
    <t>10.95.66.149</t>
  </si>
  <si>
    <t>220205</t>
  </si>
  <si>
    <t>0756061054</t>
  </si>
  <si>
    <t>w23shssc-0b41ac</t>
  </si>
  <si>
    <t>10.95.64.28</t>
  </si>
  <si>
    <t>10.95.64.92</t>
  </si>
  <si>
    <t>10.95.66.22</t>
  </si>
  <si>
    <t>10.95.66.86</t>
  </si>
  <si>
    <t>10.95.6.89</t>
  </si>
  <si>
    <t>10.95.6.156</t>
  </si>
  <si>
    <t>10.95.5.35</t>
  </si>
  <si>
    <t>10.95.66.150</t>
  </si>
  <si>
    <t>w23shssc-1a00ac</t>
  </si>
  <si>
    <t>10.94.64.7</t>
  </si>
  <si>
    <t>10.94.64.71</t>
  </si>
  <si>
    <t>10.94.66.1</t>
  </si>
  <si>
    <t>10.94.66.65</t>
  </si>
  <si>
    <t>222.231.228.20</t>
  </si>
  <si>
    <t>2001:a7ff:1100:1:0:0:0:4</t>
  </si>
  <si>
    <t>10.94.74.36</t>
  </si>
  <si>
    <t>10.94.74.68</t>
  </si>
  <si>
    <t>10.94.74.135</t>
  </si>
  <si>
    <t>10.94.70.14</t>
  </si>
  <si>
    <t>10.94.74.5</t>
  </si>
  <si>
    <t>10.94.66.129</t>
  </si>
  <si>
    <t>230101</t>
  </si>
  <si>
    <t>0764715054</t>
  </si>
  <si>
    <t>w23shssc-1a01ac</t>
  </si>
  <si>
    <t>10.94.64.8</t>
  </si>
  <si>
    <t>10.94.64.72</t>
  </si>
  <si>
    <t>10.94.66.2</t>
  </si>
  <si>
    <t>10.94.66.66</t>
  </si>
  <si>
    <t>10.94.74.69</t>
  </si>
  <si>
    <t>10.94.74.136</t>
  </si>
  <si>
    <t>10.94.70.15</t>
  </si>
  <si>
    <t>10.94.66.130</t>
  </si>
  <si>
    <t>w23shssc-1a10ac</t>
  </si>
  <si>
    <t>10.94.64.9</t>
  </si>
  <si>
    <t>10.94.64.73</t>
  </si>
  <si>
    <t>10.94.66.3</t>
  </si>
  <si>
    <t>10.94.66.67</t>
  </si>
  <si>
    <t>222.231.228.21</t>
  </si>
  <si>
    <t>2001:a7ff:1100:1:0:0:0:5</t>
  </si>
  <si>
    <t>10.94.74.37</t>
  </si>
  <si>
    <t>10.94.74.70</t>
  </si>
  <si>
    <t>10.94.74.137</t>
  </si>
  <si>
    <t>10.94.70.16</t>
  </si>
  <si>
    <t>10.94.74.6</t>
  </si>
  <si>
    <t>10.94.66.131</t>
  </si>
  <si>
    <t>230102</t>
  </si>
  <si>
    <t>0776635054</t>
  </si>
  <si>
    <t>w23shssc-1a11ac</t>
  </si>
  <si>
    <t>10.94.64.10</t>
  </si>
  <si>
    <t>10.94.64.74</t>
  </si>
  <si>
    <t>10.94.66.4</t>
  </si>
  <si>
    <t>10.94.66.68</t>
  </si>
  <si>
    <t>10.94.74.71</t>
  </si>
  <si>
    <t>10.94.74.138</t>
  </si>
  <si>
    <t>10.94.70.17</t>
  </si>
  <si>
    <t>10.94.66.132</t>
  </si>
  <si>
    <t>w23shssc-1a20ac</t>
  </si>
  <si>
    <t>10.94.64.11</t>
  </si>
  <si>
    <t>10.94.64.75</t>
  </si>
  <si>
    <t>10.94.66.5</t>
  </si>
  <si>
    <t>10.94.66.69</t>
  </si>
  <si>
    <t>222.231.228.22</t>
  </si>
  <si>
    <t>2001:a7ff:1100:1:0:0:0:6</t>
  </si>
  <si>
    <t>10.94.74.38</t>
  </si>
  <si>
    <t>10.94.74.72</t>
  </si>
  <si>
    <t>10.94.74.139</t>
  </si>
  <si>
    <t>10.94.70.18</t>
  </si>
  <si>
    <t>10.94.74.7</t>
  </si>
  <si>
    <t>10.94.66.133</t>
  </si>
  <si>
    <t>230103</t>
  </si>
  <si>
    <t>0788621054</t>
  </si>
  <si>
    <t>w23shssc-1a21ac</t>
  </si>
  <si>
    <t>10.94.64.12</t>
  </si>
  <si>
    <t>10.94.64.76</t>
  </si>
  <si>
    <t>10.94.66.6</t>
  </si>
  <si>
    <t>10.94.66.70</t>
  </si>
  <si>
    <t>10.94.74.73</t>
  </si>
  <si>
    <t>10.94.74.140</t>
  </si>
  <si>
    <t>10.94.70.19</t>
  </si>
  <si>
    <t>10.94.66.134</t>
  </si>
  <si>
    <t>w23shssc-1a30ac</t>
  </si>
  <si>
    <t>10.94.64.13</t>
  </si>
  <si>
    <t>10.94.64.77</t>
  </si>
  <si>
    <t>10.94.66.7</t>
  </si>
  <si>
    <t>10.94.66.71</t>
  </si>
  <si>
    <t>222.231.228.23</t>
  </si>
  <si>
    <t>2001:a7ff:1100:1:0:0:0:7</t>
  </si>
  <si>
    <t>10.94.74.39</t>
  </si>
  <si>
    <t>10.94.74.74</t>
  </si>
  <si>
    <t>10.94.74.141</t>
  </si>
  <si>
    <t>10.94.70.20</t>
  </si>
  <si>
    <t>10.94.74.8</t>
  </si>
  <si>
    <t>10.94.66.135</t>
  </si>
  <si>
    <t>230104</t>
  </si>
  <si>
    <t>0734994054</t>
  </si>
  <si>
    <t>w23shssc-1a31ac</t>
  </si>
  <si>
    <t>10.94.64.14</t>
  </si>
  <si>
    <t>10.94.64.78</t>
  </si>
  <si>
    <t>10.94.66.8</t>
  </si>
  <si>
    <t>10.94.66.72</t>
  </si>
  <si>
    <t>10.94.74.75</t>
  </si>
  <si>
    <t>10.94.74.142</t>
  </si>
  <si>
    <t>10.94.70.21</t>
  </si>
  <si>
    <t>10.94.66.136</t>
  </si>
  <si>
    <t>w23shssc-1a40ac</t>
  </si>
  <si>
    <t>10.94.64.15</t>
  </si>
  <si>
    <t>10.94.64.79</t>
  </si>
  <si>
    <t>10.94.66.9</t>
  </si>
  <si>
    <t>10.94.66.73</t>
  </si>
  <si>
    <t>222.231.228.24</t>
  </si>
  <si>
    <t>2001:a7ff:1100:1:0:0:0:8</t>
  </si>
  <si>
    <t>10.94.74.40</t>
  </si>
  <si>
    <t>10.94.74.76</t>
  </si>
  <si>
    <t>10.94.74.143</t>
  </si>
  <si>
    <t>10.94.70.22</t>
  </si>
  <si>
    <t>10.94.74.9</t>
  </si>
  <si>
    <t>10.94.66.137</t>
  </si>
  <si>
    <t>230105</t>
  </si>
  <si>
    <t>0742813054</t>
  </si>
  <si>
    <t>w23shssc-1a41ac</t>
  </si>
  <si>
    <t>10.94.64.16</t>
  </si>
  <si>
    <t>10.94.64.80</t>
  </si>
  <si>
    <t>10.94.66.10</t>
  </si>
  <si>
    <t>10.94.66.74</t>
  </si>
  <si>
    <t>10.94.74.77</t>
  </si>
  <si>
    <t>10.94.74.144</t>
  </si>
  <si>
    <t>10.94.70.23</t>
  </si>
  <si>
    <t>10.94.66.138</t>
  </si>
  <si>
    <t>w23shvss-0310ac</t>
  </si>
  <si>
    <t>124.245.197.4</t>
  </si>
  <si>
    <t>2001:a7ff:2100:b:0:0:0:4</t>
  </si>
  <si>
    <t>10.93.89.37</t>
  </si>
  <si>
    <t>10.93.89.70</t>
  </si>
  <si>
    <t>10.93.89.137</t>
  </si>
  <si>
    <t>10.93.68.144</t>
  </si>
  <si>
    <t>10.93.89.6</t>
  </si>
  <si>
    <t>210302</t>
  </si>
  <si>
    <t>0587965054</t>
  </si>
  <si>
    <t>w23shvss-0311ac</t>
  </si>
  <si>
    <t>10.93.89.71</t>
  </si>
  <si>
    <t>10.93.89.138</t>
  </si>
  <si>
    <t>10.93.68.145</t>
  </si>
  <si>
    <t>w23shvss-0320ac</t>
  </si>
  <si>
    <t>124.245.197.5</t>
  </si>
  <si>
    <t>2001:a7ff:2100:b:0:0:0:5</t>
  </si>
  <si>
    <t>10.93.89.38</t>
  </si>
  <si>
    <t>10.93.89.72</t>
  </si>
  <si>
    <t>10.93.89.139</t>
  </si>
  <si>
    <t>10.93.68.146</t>
  </si>
  <si>
    <t>10.93.89.7</t>
  </si>
  <si>
    <t>210303</t>
  </si>
  <si>
    <t>0550886054</t>
  </si>
  <si>
    <t>w23shvss-0321ac</t>
  </si>
  <si>
    <t>10.93.89.73</t>
  </si>
  <si>
    <t>10.93.89.140</t>
  </si>
  <si>
    <t>10.93.68.147</t>
  </si>
  <si>
    <t>w23shvss-0330ac</t>
  </si>
  <si>
    <t>124.245.197.6</t>
  </si>
  <si>
    <t>2001:a7ff:2100:b:0:0:0:6</t>
  </si>
  <si>
    <t>10.93.89.39</t>
  </si>
  <si>
    <t>10.93.89.74</t>
  </si>
  <si>
    <t>10.93.89.141</t>
  </si>
  <si>
    <t>10.93.68.148</t>
  </si>
  <si>
    <t>10.93.89.8</t>
  </si>
  <si>
    <t>210304</t>
  </si>
  <si>
    <t>0573646054</t>
  </si>
  <si>
    <t>w23shvss-0331ac</t>
  </si>
  <si>
    <t>10.93.89.75</t>
  </si>
  <si>
    <t>10.93.89.142</t>
  </si>
  <si>
    <t>10.93.68.149</t>
  </si>
  <si>
    <t>w23shvss-0340ac</t>
  </si>
  <si>
    <t>10.93.64.15</t>
  </si>
  <si>
    <t>10.93.64.79</t>
  </si>
  <si>
    <t>10.93.66.9</t>
  </si>
  <si>
    <t>10.93.66.73</t>
  </si>
  <si>
    <t>124.245.197.20</t>
  </si>
  <si>
    <t>2001:a7ff:2100:c:0:0:0:4</t>
  </si>
  <si>
    <t>10.93.89.40</t>
  </si>
  <si>
    <t>10.93.89.76</t>
  </si>
  <si>
    <t>10.93.89.143</t>
  </si>
  <si>
    <t>10.93.68.150</t>
  </si>
  <si>
    <t>10.93.89.9</t>
  </si>
  <si>
    <t>10.93.66.137</t>
  </si>
  <si>
    <t>210305</t>
  </si>
  <si>
    <t>0592697054</t>
  </si>
  <si>
    <t>w23shvss-0341ac</t>
  </si>
  <si>
    <t>10.93.64.16</t>
  </si>
  <si>
    <t>10.93.64.80</t>
  </si>
  <si>
    <t>10.93.66.10</t>
  </si>
  <si>
    <t>10.93.66.74</t>
  </si>
  <si>
    <t>10.93.89.77</t>
  </si>
  <si>
    <t>10.93.89.144</t>
  </si>
  <si>
    <t>10.93.68.151</t>
  </si>
  <si>
    <t>10.93.66.138</t>
  </si>
  <si>
    <t>w26kmssc-0100ac</t>
  </si>
  <si>
    <t>10.250.86.65</t>
  </si>
  <si>
    <t>10.250.86.129</t>
  </si>
  <si>
    <t>10.250.87.1</t>
  </si>
  <si>
    <t>10.250.87.65</t>
  </si>
  <si>
    <t>210.233.246.132</t>
  </si>
  <si>
    <t>2001:a7ff:0100:40:0:0:0:4</t>
  </si>
  <si>
    <t>10.250.82.4</t>
  </si>
  <si>
    <t>10.250.82.20</t>
  </si>
  <si>
    <t>10.250.82.36</t>
  </si>
  <si>
    <t>10.250.82.68</t>
  </si>
  <si>
    <t>10.250.82.53</t>
  </si>
  <si>
    <t>10.250.87.129</t>
  </si>
  <si>
    <t>1/0/18</t>
  </si>
  <si>
    <t>2/0/18</t>
  </si>
  <si>
    <t>1/0/19</t>
  </si>
  <si>
    <t>2/0/19</t>
  </si>
  <si>
    <t>1/0/15</t>
  </si>
  <si>
    <t>2/0/15</t>
  </si>
  <si>
    <t>W20501</t>
  </si>
  <si>
    <t>220501</t>
  </si>
  <si>
    <t>W231</t>
  </si>
  <si>
    <t>261</t>
  </si>
  <si>
    <t>kns1</t>
  </si>
  <si>
    <t>w26kmssc-0101ac</t>
  </si>
  <si>
    <t>10.250.86.66</t>
  </si>
  <si>
    <t>10.250.86.130</t>
  </si>
  <si>
    <t>10.250.87.2</t>
  </si>
  <si>
    <t>10.250.87.66</t>
  </si>
  <si>
    <t>10.250.82.21</t>
  </si>
  <si>
    <t>10.250.82.37</t>
  </si>
  <si>
    <t>10.250.82.69</t>
  </si>
  <si>
    <t>10.250.87.130</t>
  </si>
  <si>
    <t>1/0/20</t>
  </si>
  <si>
    <t>2/0/20</t>
  </si>
  <si>
    <t>1/0/21</t>
  </si>
  <si>
    <t>2/0/21</t>
  </si>
  <si>
    <t>1/0/16</t>
  </si>
  <si>
    <t>2/0/16</t>
  </si>
  <si>
    <t>w26kmssc-0110ac</t>
  </si>
  <si>
    <t>10.250.86.67</t>
  </si>
  <si>
    <t>10.250.86.131</t>
  </si>
  <si>
    <t>10.250.87.3</t>
  </si>
  <si>
    <t>10.250.87.67</t>
  </si>
  <si>
    <t>210.233.246.133</t>
  </si>
  <si>
    <t>2001:a7ff:0100:40:0:0:0:5</t>
  </si>
  <si>
    <t>10.250.82.5</t>
  </si>
  <si>
    <t>10.250.82.22</t>
  </si>
  <si>
    <t>10.250.82.38</t>
  </si>
  <si>
    <t>10.250.82.70</t>
  </si>
  <si>
    <t>10.250.82.54</t>
  </si>
  <si>
    <t>10.250.87.131</t>
  </si>
  <si>
    <t>1/0/11</t>
  </si>
  <si>
    <t>2/0/11</t>
  </si>
  <si>
    <t>1/0/12</t>
  </si>
  <si>
    <t>2/0/12</t>
  </si>
  <si>
    <t>1/0/8</t>
  </si>
  <si>
    <t>2/0/8</t>
  </si>
  <si>
    <t>W20502</t>
  </si>
  <si>
    <t>220502</t>
  </si>
  <si>
    <t>W232</t>
  </si>
  <si>
    <t>262</t>
  </si>
  <si>
    <t>w26kmssc-0111ac</t>
  </si>
  <si>
    <t>10.250.86.68</t>
  </si>
  <si>
    <t>10.250.86.132</t>
  </si>
  <si>
    <t>10.250.87.4</t>
  </si>
  <si>
    <t>10.250.87.68</t>
  </si>
  <si>
    <t>10.250.82.23</t>
  </si>
  <si>
    <t>10.250.82.39</t>
  </si>
  <si>
    <t>10.250.82.71</t>
  </si>
  <si>
    <t>10.250.87.132</t>
  </si>
  <si>
    <t>1/0/13</t>
  </si>
  <si>
    <t>2/0/13</t>
  </si>
  <si>
    <t>1/0/14</t>
  </si>
  <si>
    <t>2/0/14</t>
  </si>
  <si>
    <t>1/0/9</t>
  </si>
  <si>
    <t>2/0/9</t>
  </si>
  <si>
    <t>w26kmssc-0120ac</t>
  </si>
  <si>
    <t>10.250.86.69</t>
  </si>
  <si>
    <t>10.250.86.133</t>
  </si>
  <si>
    <t>10.250.87.5</t>
  </si>
  <si>
    <t>10.250.87.69</t>
  </si>
  <si>
    <t>210.233.246.134</t>
  </si>
  <si>
    <t>2001:a7ff:0100:40:0:0:0:6</t>
  </si>
  <si>
    <t>10.250.82.6</t>
  </si>
  <si>
    <t>10.250.82.24</t>
  </si>
  <si>
    <t>10.250.82.40</t>
  </si>
  <si>
    <t>10.250.82.72</t>
  </si>
  <si>
    <t>10.250.82.55</t>
  </si>
  <si>
    <t>10.250.87.133</t>
  </si>
  <si>
    <t>1/0/4</t>
  </si>
  <si>
    <t>2/0/4</t>
  </si>
  <si>
    <t>1/0/5</t>
  </si>
  <si>
    <t>2/0/5</t>
  </si>
  <si>
    <t>1/0/1</t>
  </si>
  <si>
    <t>2/0/1</t>
  </si>
  <si>
    <t>W20503</t>
  </si>
  <si>
    <t>220503</t>
  </si>
  <si>
    <t>W233</t>
  </si>
  <si>
    <t>263</t>
  </si>
  <si>
    <t>w26kmssc-0121ac</t>
  </si>
  <si>
    <t>10.250.86.70</t>
  </si>
  <si>
    <t>10.250.86.134</t>
  </si>
  <si>
    <t>10.250.87.6</t>
  </si>
  <si>
    <t>10.250.87.70</t>
  </si>
  <si>
    <t>10.250.82.25</t>
  </si>
  <si>
    <t>10.250.82.41</t>
  </si>
  <si>
    <t>10.250.82.73</t>
  </si>
  <si>
    <t>10.250.87.134</t>
  </si>
  <si>
    <t>1/0/6</t>
  </si>
  <si>
    <t>2/0/6</t>
  </si>
  <si>
    <t>1/0/7</t>
  </si>
  <si>
    <t>2/0/7</t>
  </si>
  <si>
    <t>1/0/2</t>
  </si>
  <si>
    <t>2/0/2</t>
  </si>
  <si>
    <t>w26kmssc-0130ac</t>
  </si>
  <si>
    <t>10.250.86.73</t>
  </si>
  <si>
    <t>10.250.86.137</t>
  </si>
  <si>
    <t>10.250.87.9</t>
  </si>
  <si>
    <t>10.250.87.73</t>
  </si>
  <si>
    <t>210.233.246.148</t>
  </si>
  <si>
    <t>2001:a7ff:0100:41:0:0:0:4</t>
  </si>
  <si>
    <t>10.250.82.132</t>
  </si>
  <si>
    <t>10.250.82.148</t>
  </si>
  <si>
    <t>10.250.82.164</t>
  </si>
  <si>
    <t>10.250.82.196</t>
  </si>
  <si>
    <t>10.250.82.181</t>
  </si>
  <si>
    <t>10.250.87.137</t>
  </si>
  <si>
    <t>W20504</t>
  </si>
  <si>
    <t>220504</t>
  </si>
  <si>
    <t>W234</t>
  </si>
  <si>
    <t>264</t>
  </si>
  <si>
    <t>w26kmssc-0131ac</t>
  </si>
  <si>
    <t>10.250.86.74</t>
  </si>
  <si>
    <t>10.250.86.138</t>
  </si>
  <si>
    <t>10.250.87.10</t>
  </si>
  <si>
    <t>10.250.87.74</t>
  </si>
  <si>
    <t>10.250.82.149</t>
  </si>
  <si>
    <t>10.250.82.165</t>
  </si>
  <si>
    <t>10.250.82.197</t>
  </si>
  <si>
    <t>10.250.87.138</t>
  </si>
  <si>
    <t>w26kmssc-0140ac</t>
  </si>
  <si>
    <t>10.250.86.75</t>
  </si>
  <si>
    <t>10.250.86.139</t>
  </si>
  <si>
    <t>10.250.87.11</t>
  </si>
  <si>
    <t>10.250.87.75</t>
  </si>
  <si>
    <t>210.233.246.149</t>
  </si>
  <si>
    <t>2001:a7ff:0100:41:0:0:0:5</t>
  </si>
  <si>
    <t>10.250.82.133</t>
  </si>
  <si>
    <t>10.250.82.150</t>
  </si>
  <si>
    <t>10.250.82.166</t>
  </si>
  <si>
    <t>10.250.82.198</t>
  </si>
  <si>
    <t>10.250.82.182</t>
  </si>
  <si>
    <t>10.250.87.139</t>
  </si>
  <si>
    <t>W20505</t>
  </si>
  <si>
    <t>220505</t>
  </si>
  <si>
    <t>W235</t>
  </si>
  <si>
    <t>265</t>
  </si>
  <si>
    <t>w26kmssc-0141ac</t>
  </si>
  <si>
    <t>10.250.86.76</t>
  </si>
  <si>
    <t>10.250.86.140</t>
  </si>
  <si>
    <t>10.250.87.12</t>
  </si>
  <si>
    <t>10.250.87.76</t>
  </si>
  <si>
    <t>10.250.82.151</t>
  </si>
  <si>
    <t>10.250.82.167</t>
  </si>
  <si>
    <t>10.250.82.199</t>
  </si>
  <si>
    <t>10.250.87.140</t>
  </si>
  <si>
    <t>w26kmssc-0150ac</t>
  </si>
  <si>
    <t>10.250.86.77</t>
  </si>
  <si>
    <t>10.250.86.141</t>
  </si>
  <si>
    <t>10.250.87.13</t>
  </si>
  <si>
    <t>10.250.87.77</t>
  </si>
  <si>
    <t>210.233.246.150</t>
  </si>
  <si>
    <t>2001:a7ff:0100:41:0:0:0:6</t>
  </si>
  <si>
    <t>10.250.82.134</t>
  </si>
  <si>
    <t>10.250.82.152</t>
  </si>
  <si>
    <t>10.250.82.168</t>
  </si>
  <si>
    <t>10.250.82.200</t>
  </si>
  <si>
    <t>10.250.82.183</t>
  </si>
  <si>
    <t>10.250.87.141</t>
  </si>
  <si>
    <t>W20506</t>
  </si>
  <si>
    <t>220506</t>
  </si>
  <si>
    <t>W236</t>
  </si>
  <si>
    <t>266</t>
  </si>
  <si>
    <t>w26kmssc-0151ac</t>
  </si>
  <si>
    <t>10.250.86.78</t>
  </si>
  <si>
    <t>10.250.86.142</t>
  </si>
  <si>
    <t>10.250.87.14</t>
  </si>
  <si>
    <t>10.250.87.78</t>
  </si>
  <si>
    <t>10.250.82.153</t>
  </si>
  <si>
    <t>10.250.82.169</t>
  </si>
  <si>
    <t>10.250.82.201</t>
  </si>
  <si>
    <t>10.250.87.142</t>
  </si>
  <si>
    <t>w27ongds-035000</t>
  </si>
  <si>
    <t>10.95.64.29</t>
  </si>
  <si>
    <t>10.95.64.93</t>
  </si>
  <si>
    <t>10.95.83.23</t>
  </si>
  <si>
    <t>10.95.83.87</t>
  </si>
  <si>
    <t>222.231.224.185</t>
  </si>
  <si>
    <t>2001:a7ff:100:c:0:0:0:9</t>
  </si>
  <si>
    <t>10.95.75.47</t>
  </si>
  <si>
    <t>10.95.75.90</t>
  </si>
  <si>
    <t>10.95.75.157</t>
  </si>
  <si>
    <t>10.95.74.36</t>
  </si>
  <si>
    <t>10.95.75.16</t>
  </si>
  <si>
    <t>10.95.83.151</t>
  </si>
  <si>
    <t>220206</t>
  </si>
  <si>
    <t>w27ongds-035100</t>
  </si>
  <si>
    <t>10.95.64.30</t>
  </si>
  <si>
    <t>10.95.64.94</t>
  </si>
  <si>
    <t>10.95.83.24</t>
  </si>
  <si>
    <t>10.95.83.88</t>
  </si>
  <si>
    <t>10.95.75.91</t>
  </si>
  <si>
    <t>10.95.75.158</t>
  </si>
  <si>
    <t>10.95.74.37</t>
  </si>
  <si>
    <t>10.95.83.152</t>
  </si>
  <si>
    <t>w27onssc-0100ac</t>
  </si>
  <si>
    <t>10.250.84.65</t>
  </si>
  <si>
    <t>10.250.84.129</t>
  </si>
  <si>
    <t>10.250.85.1</t>
  </si>
  <si>
    <t>10.250.85.65</t>
  </si>
  <si>
    <t>210.233.246.4</t>
  </si>
  <si>
    <t>2001:a7ff:0100:10:0:0:0:4</t>
  </si>
  <si>
    <t>10.250.80.4</t>
  </si>
  <si>
    <t>10.250.80.20</t>
  </si>
  <si>
    <t>10.250.80.36</t>
  </si>
  <si>
    <t>10.250.80.68</t>
  </si>
  <si>
    <t>10.250.80.53</t>
  </si>
  <si>
    <t>10.250.85.129</t>
  </si>
  <si>
    <t>W20401</t>
  </si>
  <si>
    <t>220401</t>
  </si>
  <si>
    <t>W225</t>
  </si>
  <si>
    <t>251</t>
  </si>
  <si>
    <t>w27onssc-0101ac</t>
  </si>
  <si>
    <t>10.250.84.66</t>
  </si>
  <si>
    <t>10.250.84.130</t>
  </si>
  <si>
    <t>10.250.85.2</t>
  </si>
  <si>
    <t>10.250.85.66</t>
  </si>
  <si>
    <t>10.250.80.21</t>
  </si>
  <si>
    <t>10.250.80.37</t>
  </si>
  <si>
    <t>10.250.80.69</t>
  </si>
  <si>
    <t>10.250.85.130</t>
  </si>
  <si>
    <t>w27onssc-0110ac</t>
  </si>
  <si>
    <t>10.250.84.67</t>
  </si>
  <si>
    <t>10.250.84.131</t>
  </si>
  <si>
    <t>10.250.85.3</t>
  </si>
  <si>
    <t>10.250.85.67</t>
  </si>
  <si>
    <t>210.233.246.5</t>
  </si>
  <si>
    <t>2001:a7ff:0100:10:0:0:0:5</t>
  </si>
  <si>
    <t>10.250.80.5</t>
  </si>
  <si>
    <t>10.250.80.22</t>
  </si>
  <si>
    <t>10.250.80.38</t>
  </si>
  <si>
    <t>10.250.80.70</t>
  </si>
  <si>
    <t>10.250.80.54</t>
  </si>
  <si>
    <t>10.250.85.131</t>
  </si>
  <si>
    <t>W20402</t>
  </si>
  <si>
    <t>220402</t>
  </si>
  <si>
    <t>W226</t>
  </si>
  <si>
    <t>252</t>
  </si>
  <si>
    <t>w27onssc-0111ac</t>
  </si>
  <si>
    <t>10.250.84.68</t>
  </si>
  <si>
    <t>10.250.84.132</t>
  </si>
  <si>
    <t>10.250.85.4</t>
  </si>
  <si>
    <t>10.250.85.68</t>
  </si>
  <si>
    <t>10.250.80.23</t>
  </si>
  <si>
    <t>10.250.80.39</t>
  </si>
  <si>
    <t>10.250.80.71</t>
  </si>
  <si>
    <t>10.250.85.132</t>
  </si>
  <si>
    <t>w27onssc-0120ac</t>
  </si>
  <si>
    <t>10.250.84.69</t>
  </si>
  <si>
    <t>10.250.84.133</t>
  </si>
  <si>
    <t>10.250.85.5</t>
  </si>
  <si>
    <t>10.250.85.69</t>
  </si>
  <si>
    <t>210.233.246.6</t>
  </si>
  <si>
    <t>2001:a7ff:0100:10:0:0:0:6</t>
  </si>
  <si>
    <t>10.250.80.6</t>
  </si>
  <si>
    <t>10.250.80.24</t>
  </si>
  <si>
    <t>10.250.80.40</t>
  </si>
  <si>
    <t>10.250.80.72</t>
  </si>
  <si>
    <t>10.250.80.55</t>
  </si>
  <si>
    <t>10.250.85.133</t>
  </si>
  <si>
    <t>W20403</t>
  </si>
  <si>
    <t>220403</t>
  </si>
  <si>
    <t>W227</t>
  </si>
  <si>
    <t>253</t>
  </si>
  <si>
    <t>w27onssc-0121ac</t>
  </si>
  <si>
    <t>10.250.84.70</t>
  </si>
  <si>
    <t>10.250.84.134</t>
  </si>
  <si>
    <t>10.250.85.6</t>
  </si>
  <si>
    <t>10.250.85.70</t>
  </si>
  <si>
    <t>10.250.80.25</t>
  </si>
  <si>
    <t>10.250.80.41</t>
  </si>
  <si>
    <t>10.250.80.73</t>
  </si>
  <si>
    <t>10.250.85.134</t>
  </si>
  <si>
    <t>w27onssc-0130ac</t>
  </si>
  <si>
    <t>10.250.84.73</t>
  </si>
  <si>
    <t>10.250.84.137</t>
  </si>
  <si>
    <t>10.250.85.9</t>
  </si>
  <si>
    <t>10.250.85.73</t>
  </si>
  <si>
    <t>210.233.246.20</t>
  </si>
  <si>
    <t>2001:a7ff:0100:11:0:0:0:4</t>
  </si>
  <si>
    <t>10.250.80.132</t>
  </si>
  <si>
    <t>10.250.80.148</t>
  </si>
  <si>
    <t>10.250.80.164</t>
  </si>
  <si>
    <t>10.250.80.196</t>
  </si>
  <si>
    <t>10.250.80.181</t>
  </si>
  <si>
    <t>10.250.85.137</t>
  </si>
  <si>
    <t>W20404</t>
  </si>
  <si>
    <t>220404</t>
  </si>
  <si>
    <t>W228</t>
  </si>
  <si>
    <t>254</t>
  </si>
  <si>
    <t>w27onssc-0131ac</t>
  </si>
  <si>
    <t>10.250.84.74</t>
  </si>
  <si>
    <t>10.250.84.138</t>
  </si>
  <si>
    <t>10.250.85.10</t>
  </si>
  <si>
    <t>10.250.85.74</t>
  </si>
  <si>
    <t>10.250.80.149</t>
  </si>
  <si>
    <t>10.250.80.165</t>
  </si>
  <si>
    <t>10.250.80.197</t>
  </si>
  <si>
    <t>10.250.85.138</t>
  </si>
  <si>
    <t>w27onssc-0140ac</t>
  </si>
  <si>
    <t>10.250.84.75</t>
  </si>
  <si>
    <t>10.250.84.139</t>
  </si>
  <si>
    <t>10.250.85.11</t>
  </si>
  <si>
    <t>10.250.85.75</t>
  </si>
  <si>
    <t>210.233.246.21</t>
  </si>
  <si>
    <t>2001:a7ff:0100:11:0:0:0:5</t>
  </si>
  <si>
    <t>10.250.80.133</t>
  </si>
  <si>
    <t>10.250.80.150</t>
  </si>
  <si>
    <t>10.250.80.166</t>
  </si>
  <si>
    <t>10.250.80.198</t>
  </si>
  <si>
    <t>10.250.80.182</t>
  </si>
  <si>
    <t>10.250.85.139</t>
  </si>
  <si>
    <t>W20405</t>
  </si>
  <si>
    <t>220405</t>
  </si>
  <si>
    <t>W229</t>
  </si>
  <si>
    <t>255</t>
  </si>
  <si>
    <t>w27onssc-0141ac</t>
  </si>
  <si>
    <t>10.250.84.76</t>
  </si>
  <si>
    <t>10.250.84.140</t>
  </si>
  <si>
    <t>10.250.85.12</t>
  </si>
  <si>
    <t>10.250.85.76</t>
  </si>
  <si>
    <t>10.250.80.151</t>
  </si>
  <si>
    <t>10.250.80.167</t>
  </si>
  <si>
    <t>10.250.80.199</t>
  </si>
  <si>
    <t>10.250.85.140</t>
  </si>
  <si>
    <t>w27onssc-0150ac</t>
  </si>
  <si>
    <t>10.250.84.77</t>
  </si>
  <si>
    <t>10.250.84.141</t>
  </si>
  <si>
    <t>10.250.85.13</t>
  </si>
  <si>
    <t>10.250.85.77</t>
  </si>
  <si>
    <t>210.233.246.22</t>
  </si>
  <si>
    <t>2001:a7ff:0100:11:0:0:0:6</t>
  </si>
  <si>
    <t>10.250.80.134</t>
  </si>
  <si>
    <t>10.250.80.152</t>
  </si>
  <si>
    <t>10.250.80.168</t>
  </si>
  <si>
    <t>10.250.80.200</t>
  </si>
  <si>
    <t>10.250.80.183</t>
  </si>
  <si>
    <t>10.250.85.141</t>
  </si>
  <si>
    <t>W20406</t>
  </si>
  <si>
    <t>220406</t>
  </si>
  <si>
    <t>W230</t>
  </si>
  <si>
    <t>256</t>
  </si>
  <si>
    <t>w27onssc-0151ac</t>
  </si>
  <si>
    <t>10.250.84.78</t>
  </si>
  <si>
    <t>10.250.84.142</t>
  </si>
  <si>
    <t>10.250.85.14</t>
  </si>
  <si>
    <t>10.250.85.78</t>
  </si>
  <si>
    <t>10.250.80.153</t>
  </si>
  <si>
    <t>10.250.80.169</t>
  </si>
  <si>
    <t>10.250.80.201</t>
  </si>
  <si>
    <t>10.250.85.142</t>
  </si>
  <si>
    <t>w27onvss-0510ac</t>
  </si>
  <si>
    <t>10.95.83.15</t>
  </si>
  <si>
    <t>10.95.83.79</t>
  </si>
  <si>
    <t>124.245.199.4</t>
  </si>
  <si>
    <t>2001:a7ff:100:0e:0:0:0:4</t>
  </si>
  <si>
    <t>10.95.81.43</t>
  </si>
  <si>
    <t>10.95.81.82</t>
  </si>
  <si>
    <t>10.95.81.149</t>
  </si>
  <si>
    <t>10.95.74.156</t>
  </si>
  <si>
    <t>10.95.81.12</t>
  </si>
  <si>
    <t>10.95.83.143</t>
  </si>
  <si>
    <t>220308</t>
  </si>
  <si>
    <t>0728949054</t>
  </si>
  <si>
    <t>w27onvss-0511ac</t>
  </si>
  <si>
    <t>10.95.83.16</t>
  </si>
  <si>
    <t>10.95.83.80</t>
  </si>
  <si>
    <t>10.95.81.83</t>
  </si>
  <si>
    <t>10.95.81.150</t>
  </si>
  <si>
    <t>10.95.74.157</t>
  </si>
  <si>
    <t>10.95.83.144</t>
  </si>
  <si>
    <t>w27onvss-0520ac</t>
  </si>
  <si>
    <t>10.95.83.17</t>
  </si>
  <si>
    <t>10.95.83.81</t>
  </si>
  <si>
    <t>124.245.199.5</t>
  </si>
  <si>
    <t>2001:a7ff:100:0e:0:0:0:5</t>
  </si>
  <si>
    <t>10.95.81.44</t>
  </si>
  <si>
    <t>10.95.81.84</t>
  </si>
  <si>
    <t>10.95.81.151</t>
  </si>
  <si>
    <t>10.95.74.158</t>
  </si>
  <si>
    <t>10.95.81.13</t>
  </si>
  <si>
    <t>10.95.83.145</t>
  </si>
  <si>
    <t>220309</t>
  </si>
  <si>
    <t>0759718054</t>
  </si>
  <si>
    <t>w27onvss-0521ac</t>
  </si>
  <si>
    <t>10.95.83.18</t>
  </si>
  <si>
    <t>10.95.83.82</t>
  </si>
  <si>
    <t>10.95.81.85</t>
  </si>
  <si>
    <t>10.95.81.152</t>
  </si>
  <si>
    <t>10.95.74.159</t>
  </si>
  <si>
    <t>10.95.83.146</t>
  </si>
  <si>
    <t>w27osisc-0200ps</t>
  </si>
  <si>
    <t>10.95.83.13</t>
  </si>
  <si>
    <t>10.95.83.77</t>
  </si>
  <si>
    <t>222.231.224.20</t>
  </si>
  <si>
    <t>2001:a7ff:100:3:0:0:0:4</t>
  </si>
  <si>
    <t>10.95.80.4</t>
  </si>
  <si>
    <t>10.95.80.36</t>
  </si>
  <si>
    <t>10.95.68.106</t>
  </si>
  <si>
    <t>10.95.68.144</t>
  </si>
  <si>
    <t>10.95.68.211</t>
  </si>
  <si>
    <t>10.95.68.26</t>
  </si>
  <si>
    <t>10.95.68.75</t>
  </si>
  <si>
    <t>10.95.83.141</t>
  </si>
  <si>
    <t>w27osisc-0201ps</t>
  </si>
  <si>
    <t>10.95.83.14</t>
  </si>
  <si>
    <t>10.95.83.78</t>
  </si>
  <si>
    <t>10.95.80.5</t>
  </si>
  <si>
    <t>10.95.80.37</t>
  </si>
  <si>
    <t>10.95.68.145</t>
  </si>
  <si>
    <t>10.95.68.212</t>
  </si>
  <si>
    <t>10.95.68.27</t>
  </si>
  <si>
    <t>10.95.83.142</t>
  </si>
  <si>
    <t>w27osisc-0210ps</t>
  </si>
  <si>
    <t>222.231.224.21</t>
  </si>
  <si>
    <t>2001:a7ff:100:3:0:0:0:5</t>
  </si>
  <si>
    <t>10.95.80.6</t>
  </si>
  <si>
    <t>10.95.80.38</t>
  </si>
  <si>
    <t>10.95.68.107</t>
  </si>
  <si>
    <t>10.95.68.146</t>
  </si>
  <si>
    <t>10.95.68.213</t>
  </si>
  <si>
    <t>10.95.68.28</t>
  </si>
  <si>
    <t>10.95.68.76</t>
  </si>
  <si>
    <t>w27osisc-0211ps</t>
  </si>
  <si>
    <t>10.95.80.7</t>
  </si>
  <si>
    <t>10.95.80.39</t>
  </si>
  <si>
    <t>10.95.68.147</t>
  </si>
  <si>
    <t>10.95.68.214</t>
  </si>
  <si>
    <t>10.95.68.29</t>
  </si>
  <si>
    <t>w27osisc-0220ps</t>
  </si>
  <si>
    <t>222.231.224.22</t>
  </si>
  <si>
    <t>2001:a7ff:100:3:0:0:0:6</t>
  </si>
  <si>
    <t>10.95.80.8</t>
  </si>
  <si>
    <t>10.95.80.40</t>
  </si>
  <si>
    <t>10.95.68.108</t>
  </si>
  <si>
    <t>10.95.68.148</t>
  </si>
  <si>
    <t>10.95.68.215</t>
  </si>
  <si>
    <t>10.95.68.30</t>
  </si>
  <si>
    <t>10.95.68.77</t>
  </si>
  <si>
    <t>w27osisc-0221ps</t>
  </si>
  <si>
    <t>10.95.80.9</t>
  </si>
  <si>
    <t>10.95.80.41</t>
  </si>
  <si>
    <t>10.95.68.149</t>
  </si>
  <si>
    <t>10.95.68.216</t>
  </si>
  <si>
    <t>10.95.68.31</t>
  </si>
  <si>
    <t>w27osisc-0230im</t>
  </si>
  <si>
    <t>10.95.83.19</t>
  </si>
  <si>
    <t>10.95.83.83</t>
  </si>
  <si>
    <t>222.231.224.23</t>
  </si>
  <si>
    <t>2001:a7ff:100:3:0:0:0:7</t>
  </si>
  <si>
    <t>10.95.68.109</t>
  </si>
  <si>
    <t>10.95.68.150</t>
  </si>
  <si>
    <t>10.95.68.217</t>
  </si>
  <si>
    <t>10.95.68.32</t>
  </si>
  <si>
    <t>10.95.68.78</t>
  </si>
  <si>
    <t>10.95.83.147</t>
  </si>
  <si>
    <t>w27osisc-0231im</t>
  </si>
  <si>
    <t>10.95.83.20</t>
  </si>
  <si>
    <t>10.95.83.84</t>
  </si>
  <si>
    <t>10.95.68.151</t>
  </si>
  <si>
    <t>10.95.68.218</t>
  </si>
  <si>
    <t>10.95.68.33</t>
  </si>
  <si>
    <t>10.95.83.148</t>
  </si>
  <si>
    <t>w27osisc-0300ip</t>
  </si>
  <si>
    <t>10.95.83.1</t>
  </si>
  <si>
    <t>10.95.83.65</t>
  </si>
  <si>
    <t>222.231.224.52</t>
  </si>
  <si>
    <t>2001:a7ff:100:8:0:0:0:4</t>
  </si>
  <si>
    <t>10.95.75.36</t>
  </si>
  <si>
    <t>10.95.75.68</t>
  </si>
  <si>
    <t>10.95.75.135</t>
  </si>
  <si>
    <t>10.95.74.14</t>
  </si>
  <si>
    <t>10.95.75.5</t>
  </si>
  <si>
    <t>10.95.83.129</t>
  </si>
  <si>
    <t>w27osisc-0301ip</t>
  </si>
  <si>
    <t>10.95.83.2</t>
  </si>
  <si>
    <t>10.95.83.66</t>
  </si>
  <si>
    <t>10.95.75.69</t>
  </si>
  <si>
    <t>10.95.75.136</t>
  </si>
  <si>
    <t>10.95.74.15</t>
  </si>
  <si>
    <t>10.95.83.130</t>
  </si>
  <si>
    <t>w27osssc-0200ac</t>
  </si>
  <si>
    <t>10.95.64.31</t>
  </si>
  <si>
    <t>10.95.64.95</t>
  </si>
  <si>
    <t>10.95.83.25</t>
  </si>
  <si>
    <t>10.95.83.89</t>
  </si>
  <si>
    <t>10.95.68.112</t>
  </si>
  <si>
    <t>10.95.68.156</t>
  </si>
  <si>
    <t>10.95.68.223</t>
  </si>
  <si>
    <t>10.95.68.38</t>
  </si>
  <si>
    <t>10.95.68.81</t>
  </si>
  <si>
    <t>10.95.83.153</t>
  </si>
  <si>
    <t>w27osssc-0201ac</t>
  </si>
  <si>
    <t>10.95.64.32</t>
  </si>
  <si>
    <t>10.95.64.96</t>
  </si>
  <si>
    <t>10.95.83.26</t>
  </si>
  <si>
    <t>10.95.83.90</t>
  </si>
  <si>
    <t>10.95.68.157</t>
  </si>
  <si>
    <t>10.95.68.224</t>
  </si>
  <si>
    <t>10.95.68.39</t>
  </si>
  <si>
    <t>10.95.83.154</t>
  </si>
  <si>
    <t>w27osssc-0210ac</t>
  </si>
  <si>
    <t>10.95.64.33</t>
  </si>
  <si>
    <t>10.95.64.97</t>
  </si>
  <si>
    <t>10.95.83.27</t>
  </si>
  <si>
    <t>10.95.83.91</t>
  </si>
  <si>
    <t>10.95.68.113</t>
  </si>
  <si>
    <t>10.95.68.158</t>
  </si>
  <si>
    <t>10.95.68.225</t>
  </si>
  <si>
    <t>10.95.68.40</t>
  </si>
  <si>
    <t>10.95.68.82</t>
  </si>
  <si>
    <t>10.95.83.155</t>
  </si>
  <si>
    <t>w27osssc-0211ac</t>
  </si>
  <si>
    <t>10.95.64.34</t>
  </si>
  <si>
    <t>10.95.64.98</t>
  </si>
  <si>
    <t>10.95.83.28</t>
  </si>
  <si>
    <t>10.95.83.92</t>
  </si>
  <si>
    <t>10.95.68.159</t>
  </si>
  <si>
    <t>10.95.68.226</t>
  </si>
  <si>
    <t>10.95.68.41</t>
  </si>
  <si>
    <t>10.95.83.156</t>
  </si>
  <si>
    <t>w27osssc-0220ac</t>
  </si>
  <si>
    <t>10.95.64.35</t>
  </si>
  <si>
    <t>10.95.64.99</t>
  </si>
  <si>
    <t>10.95.83.29</t>
  </si>
  <si>
    <t>10.95.83.93</t>
  </si>
  <si>
    <t>10.95.68.114</t>
  </si>
  <si>
    <t>10.95.68.160</t>
  </si>
  <si>
    <t>10.95.68.227</t>
  </si>
  <si>
    <t>10.95.68.42</t>
  </si>
  <si>
    <t>10.95.68.83</t>
  </si>
  <si>
    <t>10.95.83.157</t>
  </si>
  <si>
    <t>w27osssc-0221ac</t>
  </si>
  <si>
    <t>10.95.64.36</t>
  </si>
  <si>
    <t>10.95.64.100</t>
  </si>
  <si>
    <t>10.95.83.30</t>
  </si>
  <si>
    <t>10.95.83.94</t>
  </si>
  <si>
    <t>10.95.68.161</t>
  </si>
  <si>
    <t>10.95.68.228</t>
  </si>
  <si>
    <t>10.95.68.43</t>
  </si>
  <si>
    <t>10.95.83.158</t>
  </si>
  <si>
    <t>w27osssc-0230ac</t>
  </si>
  <si>
    <t>10.95.64.37</t>
  </si>
  <si>
    <t>10.95.64.101</t>
  </si>
  <si>
    <t>10.95.83.31</t>
  </si>
  <si>
    <t>10.95.83.95</t>
  </si>
  <si>
    <t>10.95.68.115</t>
  </si>
  <si>
    <t>10.95.68.162</t>
  </si>
  <si>
    <t>10.95.68.229</t>
  </si>
  <si>
    <t>10.95.68.44</t>
  </si>
  <si>
    <t>10.95.68.84</t>
  </si>
  <si>
    <t>10.95.83.159</t>
  </si>
  <si>
    <t>w27osssc-0231ac</t>
  </si>
  <si>
    <t>10.95.64.38</t>
  </si>
  <si>
    <t>10.95.64.102</t>
  </si>
  <si>
    <t>10.95.83.32</t>
  </si>
  <si>
    <t>10.95.83.96</t>
  </si>
  <si>
    <t>10.95.68.163</t>
  </si>
  <si>
    <t>10.95.68.230</t>
  </si>
  <si>
    <t>10.95.68.45</t>
  </si>
  <si>
    <t>10.95.83.160</t>
  </si>
  <si>
    <t>w27osssc-0240ac</t>
  </si>
  <si>
    <t>10.95.64.39</t>
  </si>
  <si>
    <t>10.95.64.103</t>
  </si>
  <si>
    <t>10.95.83.33</t>
  </si>
  <si>
    <t>10.95.83.97</t>
  </si>
  <si>
    <t>10.95.68.116</t>
  </si>
  <si>
    <t>10.95.68.164</t>
  </si>
  <si>
    <t>10.95.68.231</t>
  </si>
  <si>
    <t>10.95.68.46</t>
  </si>
  <si>
    <t>10.95.68.85</t>
  </si>
  <si>
    <t>10.95.83.161</t>
  </si>
  <si>
    <t>w27osssc-0241ac</t>
  </si>
  <si>
    <t>10.95.64.40</t>
  </si>
  <si>
    <t>10.95.64.104</t>
  </si>
  <si>
    <t>10.95.83.34</t>
  </si>
  <si>
    <t>10.95.83.98</t>
  </si>
  <si>
    <t>10.95.68.165</t>
  </si>
  <si>
    <t>10.95.68.232</t>
  </si>
  <si>
    <t>10.95.68.47</t>
  </si>
  <si>
    <t>10.95.83.162</t>
  </si>
  <si>
    <t>w27osssc-0300ac</t>
  </si>
  <si>
    <t>10.95.75.42</t>
  </si>
  <si>
    <t>10.95.75.80</t>
  </si>
  <si>
    <t>10.95.75.147</t>
  </si>
  <si>
    <t>10.95.74.26</t>
  </si>
  <si>
    <t>10.95.75.11</t>
  </si>
  <si>
    <t>w27osssc-0301ac</t>
  </si>
  <si>
    <t>10.95.75.81</t>
  </si>
  <si>
    <t>10.95.75.148</t>
  </si>
  <si>
    <t>10.95.74.27</t>
  </si>
  <si>
    <t>w27osssc-0310ac</t>
  </si>
  <si>
    <t>10.95.75.43</t>
  </si>
  <si>
    <t>10.95.75.82</t>
  </si>
  <si>
    <t>10.95.75.149</t>
  </si>
  <si>
    <t>10.95.74.28</t>
  </si>
  <si>
    <t>10.95.75.12</t>
  </si>
  <si>
    <t>w27osssc-0311ac</t>
  </si>
  <si>
    <t>10.95.75.83</t>
  </si>
  <si>
    <t>10.95.75.150</t>
  </si>
  <si>
    <t>10.95.74.29</t>
  </si>
  <si>
    <t>w27osssc-0320ac</t>
  </si>
  <si>
    <t>10.95.75.44</t>
  </si>
  <si>
    <t>10.95.75.84</t>
  </si>
  <si>
    <t>10.95.75.151</t>
  </si>
  <si>
    <t>10.95.74.30</t>
  </si>
  <si>
    <t>10.95.75.13</t>
  </si>
  <si>
    <t>w27osssc-0321ac</t>
  </si>
  <si>
    <t>10.95.75.85</t>
  </si>
  <si>
    <t>10.95.75.152</t>
  </si>
  <si>
    <t>10.95.74.31</t>
  </si>
  <si>
    <t>w27osssc-0330ac</t>
  </si>
  <si>
    <t>10.95.75.45</t>
  </si>
  <si>
    <t>10.95.75.86</t>
  </si>
  <si>
    <t>10.95.75.153</t>
  </si>
  <si>
    <t>10.95.74.32</t>
  </si>
  <si>
    <t>10.95.75.14</t>
  </si>
  <si>
    <t>w27osssc-0331ac</t>
  </si>
  <si>
    <t>10.95.75.87</t>
  </si>
  <si>
    <t>10.95.75.154</t>
  </si>
  <si>
    <t>10.95.74.33</t>
  </si>
  <si>
    <t>w27osssc-0340ac</t>
  </si>
  <si>
    <t>10.95.83.21</t>
  </si>
  <si>
    <t>10.95.83.85</t>
  </si>
  <si>
    <t>10.95.75.46</t>
  </si>
  <si>
    <t>10.95.75.88</t>
  </si>
  <si>
    <t>10.95.75.155</t>
  </si>
  <si>
    <t>10.95.74.34</t>
  </si>
  <si>
    <t>10.95.75.15</t>
  </si>
  <si>
    <t>10.95.83.149</t>
  </si>
  <si>
    <t>w27osssc-0341ac</t>
  </si>
  <si>
    <t>10.95.83.22</t>
  </si>
  <si>
    <t>10.95.83.86</t>
  </si>
  <si>
    <t>10.95.75.89</t>
  </si>
  <si>
    <t>10.95.75.156</t>
  </si>
  <si>
    <t>10.95.74.35</t>
  </si>
  <si>
    <t>10.95.83.150</t>
  </si>
  <si>
    <t>w27osssc-0400sa</t>
  </si>
  <si>
    <t>222.231.224.164</t>
  </si>
  <si>
    <t>2001:a7ff:100:0a:0:0:0:4</t>
  </si>
  <si>
    <t>10.95.81.36</t>
  </si>
  <si>
    <t>10.95.81.68</t>
  </si>
  <si>
    <t>10.95.81.135</t>
  </si>
  <si>
    <t>10.95.74.142</t>
  </si>
  <si>
    <t>10.95.81.5</t>
  </si>
  <si>
    <t>220301</t>
  </si>
  <si>
    <t>w27osssc-0401sa</t>
  </si>
  <si>
    <t>10.95.81.69</t>
  </si>
  <si>
    <t>10.95.81.136</t>
  </si>
  <si>
    <t>10.95.74.143</t>
  </si>
  <si>
    <t>w27osssc-0410sa</t>
  </si>
  <si>
    <t>10.95.83.3</t>
  </si>
  <si>
    <t>10.95.83.67</t>
  </si>
  <si>
    <t>222.231.224.165</t>
  </si>
  <si>
    <t>2001:a7ff:100:0a:0:0:0:5</t>
  </si>
  <si>
    <t>10.95.81.37</t>
  </si>
  <si>
    <t>10.95.81.70</t>
  </si>
  <si>
    <t>10.95.81.137</t>
  </si>
  <si>
    <t>10.95.74.144</t>
  </si>
  <si>
    <t>10.95.81.6</t>
  </si>
  <si>
    <t>10.95.83.131</t>
  </si>
  <si>
    <t>420302</t>
  </si>
  <si>
    <t>0643094053</t>
  </si>
  <si>
    <t>w27osssc-0411sa</t>
  </si>
  <si>
    <t>10.95.83.4</t>
  </si>
  <si>
    <t>10.95.83.68</t>
  </si>
  <si>
    <t>10.95.81.71</t>
  </si>
  <si>
    <t>10.95.81.138</t>
  </si>
  <si>
    <t>10.95.74.145</t>
  </si>
  <si>
    <t>10.95.83.132</t>
  </si>
  <si>
    <t>w27osssc-0500ac</t>
  </si>
  <si>
    <t>222.231.224.68</t>
  </si>
  <si>
    <t>2001:a7ff:100:0d:0:0:0:4</t>
  </si>
  <si>
    <t>10.95.81.42</t>
  </si>
  <si>
    <t>10.95.81.80</t>
  </si>
  <si>
    <t>10.95.81.147</t>
  </si>
  <si>
    <t>10.95.74.154</t>
  </si>
  <si>
    <t>10.95.81.11</t>
  </si>
  <si>
    <t>220307</t>
  </si>
  <si>
    <t>w27osssc-0501ac</t>
  </si>
  <si>
    <t>10.95.81.81</t>
  </si>
  <si>
    <t>10.95.81.148</t>
  </si>
  <si>
    <t>10.95.74.155</t>
  </si>
  <si>
    <t>w27osssc-0a00ac</t>
  </si>
  <si>
    <t>10.93.78.36</t>
  </si>
  <si>
    <t>10.93.78.68</t>
  </si>
  <si>
    <t>10.93.78.135</t>
  </si>
  <si>
    <t>10.93.76.14</t>
  </si>
  <si>
    <t>10.93.78.5</t>
  </si>
  <si>
    <t>w27osssc-0a01ac</t>
  </si>
  <si>
    <t>10.93.78.69</t>
  </si>
  <si>
    <t>10.93.78.136</t>
  </si>
  <si>
    <t>10.93.76.15</t>
  </si>
  <si>
    <t>w27osssc-0a10ac</t>
  </si>
  <si>
    <t>10.93.78.37</t>
  </si>
  <si>
    <t>10.93.78.70</t>
  </si>
  <si>
    <t>10.93.78.137</t>
  </si>
  <si>
    <t>10.93.76.16</t>
  </si>
  <si>
    <t>10.93.78.6</t>
  </si>
  <si>
    <t>w27osssc-0a11ac</t>
  </si>
  <si>
    <t>10.93.78.71</t>
  </si>
  <si>
    <t>10.93.78.138</t>
  </si>
  <si>
    <t>10.93.76.17</t>
  </si>
  <si>
    <t>w27osssc-0a20ac</t>
  </si>
  <si>
    <t>10.93.78.38</t>
  </si>
  <si>
    <t>10.93.78.72</t>
  </si>
  <si>
    <t>10.93.78.139</t>
  </si>
  <si>
    <t>10.93.76.18</t>
  </si>
  <si>
    <t>10.93.78.7</t>
  </si>
  <si>
    <t>w27osssc-0a21ac</t>
  </si>
  <si>
    <t>10.93.78.73</t>
  </si>
  <si>
    <t>10.93.78.140</t>
  </si>
  <si>
    <t>10.93.76.19</t>
  </si>
  <si>
    <t>w27osssc-0a30ac</t>
  </si>
  <si>
    <t>10.93.78.39</t>
  </si>
  <si>
    <t>10.93.78.74</t>
  </si>
  <si>
    <t>10.93.78.141</t>
  </si>
  <si>
    <t>10.93.76.20</t>
  </si>
  <si>
    <t>10.93.78.8</t>
  </si>
  <si>
    <t>w27osssc-0a31ac</t>
  </si>
  <si>
    <t>10.93.78.75</t>
  </si>
  <si>
    <t>10.93.78.142</t>
  </si>
  <si>
    <t>10.93.76.21</t>
  </si>
  <si>
    <t>w27osssc-0a40ac</t>
  </si>
  <si>
    <t>10.93.78.40</t>
  </si>
  <si>
    <t>10.93.78.76</t>
  </si>
  <si>
    <t>10.93.78.143</t>
  </si>
  <si>
    <t>10.93.76.22</t>
  </si>
  <si>
    <t>10.93.78.9</t>
  </si>
  <si>
    <t>w27osssc-0a41ac</t>
  </si>
  <si>
    <t>10.93.78.77</t>
  </si>
  <si>
    <t>10.93.78.144</t>
  </si>
  <si>
    <t>10.93.76.23</t>
  </si>
  <si>
    <t>w27osssc-0b00ac</t>
  </si>
  <si>
    <t>10.93.78.42</t>
  </si>
  <si>
    <t>10.93.78.80</t>
  </si>
  <si>
    <t>10.93.78.147</t>
  </si>
  <si>
    <t>10.93.76.26</t>
  </si>
  <si>
    <t>10.93.78.11</t>
  </si>
  <si>
    <t>w27osssc-0b01ac</t>
  </si>
  <si>
    <t>10.93.78.81</t>
  </si>
  <si>
    <t>10.93.78.148</t>
  </si>
  <si>
    <t>10.93.76.27</t>
  </si>
  <si>
    <t>w27osssc-0b10ac</t>
  </si>
  <si>
    <t>10.93.78.43</t>
  </si>
  <si>
    <t>10.93.78.82</t>
  </si>
  <si>
    <t>10.93.78.149</t>
  </si>
  <si>
    <t>10.93.76.28</t>
  </si>
  <si>
    <t>10.93.78.12</t>
  </si>
  <si>
    <t>w27osssc-0b11ac</t>
  </si>
  <si>
    <t>10.93.78.83</t>
  </si>
  <si>
    <t>10.93.78.150</t>
  </si>
  <si>
    <t>10.93.76.29</t>
  </si>
  <si>
    <t>w28dkisc-0100ps</t>
  </si>
  <si>
    <t>222.231.228.4</t>
  </si>
  <si>
    <t>2001:a7ff:1100:0:0:0:0:4</t>
  </si>
  <si>
    <t>10.94.65.4</t>
  </si>
  <si>
    <t>10.94.65.36</t>
  </si>
  <si>
    <t>10.94.72.36</t>
  </si>
  <si>
    <t>10.94.72.68</t>
  </si>
  <si>
    <t>10.94.72.135</t>
  </si>
  <si>
    <t>10.94.68.14</t>
  </si>
  <si>
    <t>10.94.72.5</t>
  </si>
  <si>
    <t>w28dkisc-0101ps</t>
  </si>
  <si>
    <t>10.94.65.5</t>
  </si>
  <si>
    <t>10.94.65.37</t>
  </si>
  <si>
    <t>10.94.72.69</t>
  </si>
  <si>
    <t>10.94.72.136</t>
  </si>
  <si>
    <t>10.94.68.15</t>
  </si>
  <si>
    <t>w28dkisc-0110ps</t>
  </si>
  <si>
    <t>222.231.228.5</t>
  </si>
  <si>
    <t>2001:a7ff:1100:0:0:0:0:5</t>
  </si>
  <si>
    <t>10.94.65.6</t>
  </si>
  <si>
    <t>10.94.65.38</t>
  </si>
  <si>
    <t>10.94.72.37</t>
  </si>
  <si>
    <t>10.94.72.70</t>
  </si>
  <si>
    <t>10.94.72.137</t>
  </si>
  <si>
    <t>10.94.68.16</t>
  </si>
  <si>
    <t>10.94.72.6</t>
  </si>
  <si>
    <t>w28dkisc-0111ps</t>
  </si>
  <si>
    <t>10.94.65.7</t>
  </si>
  <si>
    <t>10.94.65.39</t>
  </si>
  <si>
    <t>10.94.72.71</t>
  </si>
  <si>
    <t>10.94.72.138</t>
  </si>
  <si>
    <t>10.94.68.17</t>
  </si>
  <si>
    <t>w28dkisc-0120im</t>
  </si>
  <si>
    <t>222.231.228.6</t>
  </si>
  <si>
    <t>2001:a7ff:1100:0:0:0:0:6</t>
  </si>
  <si>
    <t>10.94.72.38</t>
  </si>
  <si>
    <t>10.94.72.72</t>
  </si>
  <si>
    <t>10.94.72.139</t>
  </si>
  <si>
    <t>10.94.68.18</t>
  </si>
  <si>
    <t>10.94.72.7</t>
  </si>
  <si>
    <t>w28dkisc-0121im</t>
  </si>
  <si>
    <t>10.94.72.73</t>
  </si>
  <si>
    <t>10.94.72.140</t>
  </si>
  <si>
    <t>10.94.68.19</t>
  </si>
  <si>
    <t>w28dkisc-0130ps</t>
  </si>
  <si>
    <t>222.231.228.7</t>
  </si>
  <si>
    <t>2001:a7ff:1100:0:0:0:0:7</t>
  </si>
  <si>
    <t>10.94.65.8</t>
  </si>
  <si>
    <t>10.94.65.40</t>
  </si>
  <si>
    <t>10.94.72.39</t>
  </si>
  <si>
    <t>10.94.72.74</t>
  </si>
  <si>
    <t>10.94.72.141</t>
  </si>
  <si>
    <t>10.94.68.20</t>
  </si>
  <si>
    <t>10.94.72.8</t>
  </si>
  <si>
    <t>w28dkisc-0131ps</t>
  </si>
  <si>
    <t>10.94.65.9</t>
  </si>
  <si>
    <t>10.94.65.41</t>
  </si>
  <si>
    <t>10.94.72.75</t>
  </si>
  <si>
    <t>10.94.72.142</t>
  </si>
  <si>
    <t>10.94.68.21</t>
  </si>
  <si>
    <t>w28dkisc-0a00ps</t>
  </si>
  <si>
    <t>222.231.228.36</t>
  </si>
  <si>
    <t>2001:a7ff:1100:2:0:0:0:4</t>
  </si>
  <si>
    <t>10.94.65.68</t>
  </si>
  <si>
    <t>10.94.65.100</t>
  </si>
  <si>
    <t>10.94.73.36</t>
  </si>
  <si>
    <t>10.94.73.68</t>
  </si>
  <si>
    <t>10.94.73.135</t>
  </si>
  <si>
    <t>10.94.69.14</t>
  </si>
  <si>
    <t>10.94.73.5</t>
  </si>
  <si>
    <t>w28dkisc-0a01ps</t>
  </si>
  <si>
    <t>10.94.65.69</t>
  </si>
  <si>
    <t>10.94.65.101</t>
  </si>
  <si>
    <t>10.94.73.69</t>
  </si>
  <si>
    <t>10.94.73.136</t>
  </si>
  <si>
    <t>10.94.69.15</t>
  </si>
  <si>
    <t>w28dkisc-0a10ps</t>
  </si>
  <si>
    <t>222.231.228.37</t>
  </si>
  <si>
    <t>2001:a7ff:1100:2:0:0:0:5</t>
  </si>
  <si>
    <t>10.94.65.70</t>
  </si>
  <si>
    <t>10.94.65.102</t>
  </si>
  <si>
    <t>10.94.73.37</t>
  </si>
  <si>
    <t>10.94.73.70</t>
  </si>
  <si>
    <t>10.94.73.137</t>
  </si>
  <si>
    <t>10.94.69.16</t>
  </si>
  <si>
    <t>10.94.73.6</t>
  </si>
  <si>
    <t>w28dkisc-0a11ps</t>
  </si>
  <si>
    <t>10.94.65.71</t>
  </si>
  <si>
    <t>10.94.65.103</t>
  </si>
  <si>
    <t>10.94.73.71</t>
  </si>
  <si>
    <t>10.94.73.138</t>
  </si>
  <si>
    <t>10.94.69.17</t>
  </si>
  <si>
    <t>w28dkisc-0a20im</t>
  </si>
  <si>
    <t>222.231.228.38</t>
  </si>
  <si>
    <t>2001:a7ff:1100:2:0:0:0:6</t>
  </si>
  <si>
    <t>10.94.73.38</t>
  </si>
  <si>
    <t>10.94.73.72</t>
  </si>
  <si>
    <t>10.94.73.139</t>
  </si>
  <si>
    <t>10.94.69.18</t>
  </si>
  <si>
    <t>10.94.73.7</t>
  </si>
  <si>
    <t>w28dkisc-0a21im</t>
  </si>
  <si>
    <t>10.94.73.73</t>
  </si>
  <si>
    <t>10.94.73.140</t>
  </si>
  <si>
    <t>10.94.69.19</t>
  </si>
  <si>
    <t>w28dkisc-0a30ps</t>
  </si>
  <si>
    <t>222.231.228.39</t>
  </si>
  <si>
    <t>2001:a7ff:1100:2:0:0:0:7</t>
  </si>
  <si>
    <t>10.94.65.72</t>
  </si>
  <si>
    <t>10.94.65.104</t>
  </si>
  <si>
    <t>10.94.73.39</t>
  </si>
  <si>
    <t>10.94.73.74</t>
  </si>
  <si>
    <t>10.94.73.141</t>
  </si>
  <si>
    <t>10.94.69.20</t>
  </si>
  <si>
    <t>10.94.73.8</t>
  </si>
  <si>
    <t>w28dkisc-0a31ps</t>
  </si>
  <si>
    <t>10.94.65.73</t>
  </si>
  <si>
    <t>10.94.65.105</t>
  </si>
  <si>
    <t>10.94.73.75</t>
  </si>
  <si>
    <t>10.94.73.142</t>
  </si>
  <si>
    <t>10.94.69.21</t>
  </si>
  <si>
    <t>w28dkssc-0100ac</t>
  </si>
  <si>
    <t>10.94.64.19</t>
  </si>
  <si>
    <t>10.94.64.83</t>
  </si>
  <si>
    <t>10.94.66.13</t>
  </si>
  <si>
    <t>10.94.66.77</t>
  </si>
  <si>
    <t>10.94.72.42</t>
  </si>
  <si>
    <t>10.94.72.80</t>
  </si>
  <si>
    <t>10.94.72.147</t>
  </si>
  <si>
    <t>10.94.68.26</t>
  </si>
  <si>
    <t>10.94.72.11</t>
  </si>
  <si>
    <t>10.94.66.141</t>
  </si>
  <si>
    <t>w28dkssc-0101ac</t>
  </si>
  <si>
    <t>10.94.64.20</t>
  </si>
  <si>
    <t>10.94.64.84</t>
  </si>
  <si>
    <t>10.94.66.14</t>
  </si>
  <si>
    <t>10.94.66.78</t>
  </si>
  <si>
    <t>10.94.72.81</t>
  </si>
  <si>
    <t>10.94.72.148</t>
  </si>
  <si>
    <t>10.94.68.27</t>
  </si>
  <si>
    <t>10.94.66.142</t>
  </si>
  <si>
    <t>w28dkssc-0110ac</t>
  </si>
  <si>
    <t>10.94.64.21</t>
  </si>
  <si>
    <t>10.94.64.85</t>
  </si>
  <si>
    <t>10.94.66.15</t>
  </si>
  <si>
    <t>10.94.66.79</t>
  </si>
  <si>
    <t>10.94.72.43</t>
  </si>
  <si>
    <t>10.94.72.82</t>
  </si>
  <si>
    <t>10.94.72.149</t>
  </si>
  <si>
    <t>10.94.68.28</t>
  </si>
  <si>
    <t>10.94.72.12</t>
  </si>
  <si>
    <t>10.94.66.143</t>
  </si>
  <si>
    <t>w28dkssc-0111ac</t>
  </si>
  <si>
    <t>10.94.64.22</t>
  </si>
  <si>
    <t>10.94.64.86</t>
  </si>
  <si>
    <t>10.94.66.16</t>
  </si>
  <si>
    <t>10.94.66.80</t>
  </si>
  <si>
    <t>10.94.72.83</t>
  </si>
  <si>
    <t>10.94.72.150</t>
  </si>
  <si>
    <t>10.94.68.29</t>
  </si>
  <si>
    <t>10.94.66.144</t>
  </si>
  <si>
    <t>w28dkssc-0120ac</t>
  </si>
  <si>
    <t>10.94.64.23</t>
  </si>
  <si>
    <t>10.94.64.87</t>
  </si>
  <si>
    <t>10.94.66.17</t>
  </si>
  <si>
    <t>10.94.66.81</t>
  </si>
  <si>
    <t>10.94.72.44</t>
  </si>
  <si>
    <t>10.94.72.84</t>
  </si>
  <si>
    <t>10.94.72.151</t>
  </si>
  <si>
    <t>10.94.68.30</t>
  </si>
  <si>
    <t>10.94.72.13</t>
  </si>
  <si>
    <t>10.94.66.145</t>
  </si>
  <si>
    <t>w28dkssc-0121ac</t>
  </si>
  <si>
    <t>10.94.64.24</t>
  </si>
  <si>
    <t>10.94.64.88</t>
  </si>
  <si>
    <t>10.94.66.18</t>
  </si>
  <si>
    <t>10.94.66.82</t>
  </si>
  <si>
    <t>10.94.72.85</t>
  </si>
  <si>
    <t>10.94.72.152</t>
  </si>
  <si>
    <t>10.94.68.31</t>
  </si>
  <si>
    <t>10.94.66.146</t>
  </si>
  <si>
    <t>w28dkssc-0130ac</t>
  </si>
  <si>
    <t>10.94.64.25</t>
  </si>
  <si>
    <t>10.94.64.89</t>
  </si>
  <si>
    <t>10.94.66.19</t>
  </si>
  <si>
    <t>10.94.66.83</t>
  </si>
  <si>
    <t>10.94.72.45</t>
  </si>
  <si>
    <t>10.94.72.86</t>
  </si>
  <si>
    <t>10.94.72.153</t>
  </si>
  <si>
    <t>10.94.68.32</t>
  </si>
  <si>
    <t>10.94.72.14</t>
  </si>
  <si>
    <t>10.94.66.147</t>
  </si>
  <si>
    <t>w28dkssc-0131ac</t>
  </si>
  <si>
    <t>10.94.64.26</t>
  </si>
  <si>
    <t>10.94.64.90</t>
  </si>
  <si>
    <t>10.94.66.20</t>
  </si>
  <si>
    <t>10.94.66.84</t>
  </si>
  <si>
    <t>10.94.72.87</t>
  </si>
  <si>
    <t>10.94.72.154</t>
  </si>
  <si>
    <t>10.94.68.33</t>
  </si>
  <si>
    <t>10.94.66.148</t>
  </si>
  <si>
    <t>w28dkssc-0140ac</t>
  </si>
  <si>
    <t>10.94.64.27</t>
  </si>
  <si>
    <t>10.94.64.91</t>
  </si>
  <si>
    <t>10.94.66.21</t>
  </si>
  <si>
    <t>10.94.66.85</t>
  </si>
  <si>
    <t>10.94.72.46</t>
  </si>
  <si>
    <t>10.94.72.88</t>
  </si>
  <si>
    <t>10.94.72.155</t>
  </si>
  <si>
    <t>10.94.68.34</t>
  </si>
  <si>
    <t>10.94.72.15</t>
  </si>
  <si>
    <t>10.94.66.149</t>
  </si>
  <si>
    <t>w28dkssc-0141ac</t>
  </si>
  <si>
    <t>10.94.64.28</t>
  </si>
  <si>
    <t>10.94.64.92</t>
  </si>
  <si>
    <t>10.94.66.22</t>
  </si>
  <si>
    <t>10.94.66.86</t>
  </si>
  <si>
    <t>10.94.72.89</t>
  </si>
  <si>
    <t>10.94.72.156</t>
  </si>
  <si>
    <t>10.94.68.35</t>
  </si>
  <si>
    <t>10.94.66.150</t>
  </si>
  <si>
    <t>w28dkssc-0200ac</t>
  </si>
  <si>
    <t>10.94.64.31</t>
  </si>
  <si>
    <t>10.94.64.95</t>
  </si>
  <si>
    <t>10.94.66.25</t>
  </si>
  <si>
    <t>10.94.66.89</t>
  </si>
  <si>
    <t>222.231.228.52</t>
  </si>
  <si>
    <t>2001:a7ff:1100:3:0:0:0:4</t>
  </si>
  <si>
    <t>10.94.72.48</t>
  </si>
  <si>
    <t>10.94.72.92</t>
  </si>
  <si>
    <t>10.94.72.159</t>
  </si>
  <si>
    <t>10.94.68.38</t>
  </si>
  <si>
    <t>10.94.72.17</t>
  </si>
  <si>
    <t>10.94.66.153</t>
  </si>
  <si>
    <t>230107</t>
  </si>
  <si>
    <t>w28dkssc-0201ac</t>
  </si>
  <si>
    <t>10.94.64.32</t>
  </si>
  <si>
    <t>10.94.64.96</t>
  </si>
  <si>
    <t>10.94.66.26</t>
  </si>
  <si>
    <t>10.94.66.90</t>
  </si>
  <si>
    <t>10.94.72.93</t>
  </si>
  <si>
    <t>10.94.72.160</t>
  </si>
  <si>
    <t>10.94.68.39</t>
  </si>
  <si>
    <t>10.94.66.154</t>
  </si>
  <si>
    <t>w28dkvss-0210ac</t>
  </si>
  <si>
    <t>10.94.64.33</t>
  </si>
  <si>
    <t>10.94.64.97</t>
  </si>
  <si>
    <t>10.94.66.27</t>
  </si>
  <si>
    <t>10.94.66.91</t>
  </si>
  <si>
    <t>124.245.198.4</t>
  </si>
  <si>
    <t>2001:a7ff:1100:4:0:0:0:4</t>
  </si>
  <si>
    <t>10.94.72.49</t>
  </si>
  <si>
    <t>10.94.72.94</t>
  </si>
  <si>
    <t>10.94.72.161</t>
  </si>
  <si>
    <t>10.94.68.40</t>
  </si>
  <si>
    <t>10.94.72.18</t>
  </si>
  <si>
    <t>10.94.66.155</t>
  </si>
  <si>
    <t>230108</t>
  </si>
  <si>
    <t>0797626054</t>
  </si>
  <si>
    <t>w28dkvss-0211ac</t>
  </si>
  <si>
    <t>10.94.64.34</t>
  </si>
  <si>
    <t>10.94.64.98</t>
  </si>
  <si>
    <t>10.94.66.28</t>
  </si>
  <si>
    <t>10.94.66.92</t>
  </si>
  <si>
    <t>10.94.72.95</t>
  </si>
  <si>
    <t>10.94.72.162</t>
  </si>
  <si>
    <t>10.94.68.41</t>
  </si>
  <si>
    <t>10.94.66.156</t>
  </si>
  <si>
    <t>w28dkvss-0220ac</t>
  </si>
  <si>
    <t>10.94.64.35</t>
  </si>
  <si>
    <t>10.94.64.99</t>
  </si>
  <si>
    <t>10.94.66.29</t>
  </si>
  <si>
    <t>10.94.66.93</t>
  </si>
  <si>
    <t>124.245.198.5</t>
  </si>
  <si>
    <t>2001:a7ff:1100:4:0:0:0:5</t>
  </si>
  <si>
    <t>10.94.72.50</t>
  </si>
  <si>
    <t>10.94.72.96</t>
  </si>
  <si>
    <t>10.94.72.163</t>
  </si>
  <si>
    <t>10.94.68.42</t>
  </si>
  <si>
    <t>10.94.72.19</t>
  </si>
  <si>
    <t>10.94.66.157</t>
  </si>
  <si>
    <t>230109</t>
  </si>
  <si>
    <t>0748696054</t>
  </si>
  <si>
    <t>w28dkvss-0221ac</t>
  </si>
  <si>
    <t>10.94.64.36</t>
  </si>
  <si>
    <t>10.94.64.100</t>
  </si>
  <si>
    <t>10.94.66.30</t>
  </si>
  <si>
    <t>10.94.66.94</t>
  </si>
  <si>
    <t>10.94.72.97</t>
  </si>
  <si>
    <t>10.94.72.164</t>
  </si>
  <si>
    <t>10.94.68.43</t>
  </si>
  <si>
    <t>10.94.66.158</t>
  </si>
  <si>
    <t>w28dkvss-0230ac</t>
  </si>
  <si>
    <t>10.94.64.37</t>
  </si>
  <si>
    <t>10.94.64.101</t>
  </si>
  <si>
    <t>10.94.66.31</t>
  </si>
  <si>
    <t>10.94.66.95</t>
  </si>
  <si>
    <t>124.245.198.6</t>
  </si>
  <si>
    <t>2001:a7ff:1100:4:0:0:0:6</t>
  </si>
  <si>
    <t>10.94.72.51</t>
  </si>
  <si>
    <t>10.94.72.98</t>
  </si>
  <si>
    <t>10.94.72.165</t>
  </si>
  <si>
    <t>10.94.68.44</t>
  </si>
  <si>
    <t>10.94.72.20</t>
  </si>
  <si>
    <t>10.94.66.159</t>
  </si>
  <si>
    <t>230110</t>
  </si>
  <si>
    <t>0735676054</t>
  </si>
  <si>
    <t>w28dkvss-0231ac</t>
  </si>
  <si>
    <t>10.94.64.38</t>
  </si>
  <si>
    <t>10.94.64.102</t>
  </si>
  <si>
    <t>10.94.66.32</t>
  </si>
  <si>
    <t>10.94.66.96</t>
  </si>
  <si>
    <t>10.94.72.99</t>
  </si>
  <si>
    <t>10.94.72.166</t>
  </si>
  <si>
    <t>10.94.68.45</t>
  </si>
  <si>
    <t>10.94.66.160</t>
  </si>
  <si>
    <t>w28dkvss-0240ac</t>
  </si>
  <si>
    <t>10.94.64.39</t>
  </si>
  <si>
    <t>10.94.64.103</t>
  </si>
  <si>
    <t>10.94.66.33</t>
  </si>
  <si>
    <t>10.94.66.97</t>
  </si>
  <si>
    <t>124.245.198.20</t>
  </si>
  <si>
    <t>2001:a7ff:1100:5:0:0:0:4</t>
  </si>
  <si>
    <t>10.94.72.52</t>
  </si>
  <si>
    <t>10.94.72.100</t>
  </si>
  <si>
    <t>10.94.72.167</t>
  </si>
  <si>
    <t>10.94.68.46</t>
  </si>
  <si>
    <t>10.94.72.21</t>
  </si>
  <si>
    <t>10.94.66.161</t>
  </si>
  <si>
    <t>230111</t>
  </si>
  <si>
    <t>0742931054</t>
  </si>
  <si>
    <t>w28dkvss-0241ac</t>
  </si>
  <si>
    <t>10.94.64.40</t>
  </si>
  <si>
    <t>10.94.64.104</t>
  </si>
  <si>
    <t>10.94.66.34</t>
  </si>
  <si>
    <t>10.94.66.98</t>
  </si>
  <si>
    <t>10.94.72.101</t>
  </si>
  <si>
    <t>10.94.72.168</t>
  </si>
  <si>
    <t>10.94.68.47</t>
  </si>
  <si>
    <t>10.94.66.162</t>
  </si>
  <si>
    <t>w28kcssc-0100ac</t>
  </si>
  <si>
    <t>10.199.116.65</t>
  </si>
  <si>
    <t>10.199.116.129</t>
  </si>
  <si>
    <t>10.199.117.1</t>
  </si>
  <si>
    <t>10.199.117.65</t>
  </si>
  <si>
    <t>210.233.247.4</t>
  </si>
  <si>
    <t>2001:a7ff:1100:6:0:0:0:4</t>
  </si>
  <si>
    <t>10.199.112.4</t>
  </si>
  <si>
    <t>10.199.112.20</t>
  </si>
  <si>
    <t>10.199.112.36</t>
  </si>
  <si>
    <t>10.199.112.68</t>
  </si>
  <si>
    <t>10.199.112.53</t>
  </si>
  <si>
    <t>10.199.117.129</t>
  </si>
  <si>
    <t>kns2hk</t>
  </si>
  <si>
    <t>w28kcssc-0101ac</t>
  </si>
  <si>
    <t>10.199.116.66</t>
  </si>
  <si>
    <t>10.199.116.130</t>
  </si>
  <si>
    <t>10.199.117.2</t>
  </si>
  <si>
    <t>10.199.117.66</t>
  </si>
  <si>
    <t>10.199.112.21</t>
  </si>
  <si>
    <t>10.199.112.37</t>
  </si>
  <si>
    <t>10.199.112.69</t>
  </si>
  <si>
    <t>10.199.117.130</t>
  </si>
  <si>
    <t>w28kcssc-0110ac</t>
  </si>
  <si>
    <t>10.199.116.67</t>
  </si>
  <si>
    <t>10.199.116.131</t>
  </si>
  <si>
    <t>10.199.117.3</t>
  </si>
  <si>
    <t>10.199.117.67</t>
  </si>
  <si>
    <t>210.233.247.5</t>
  </si>
  <si>
    <t>2001:a7ff:1100:6:0:0:0:5</t>
  </si>
  <si>
    <t>10.199.112.5</t>
  </si>
  <si>
    <t>10.199.112.22</t>
  </si>
  <si>
    <t>10.199.112.38</t>
  </si>
  <si>
    <t>10.199.112.70</t>
  </si>
  <si>
    <t>10.199.112.54</t>
  </si>
  <si>
    <t>10.199.117.131</t>
  </si>
  <si>
    <t>w28kcssc-0111ac</t>
  </si>
  <si>
    <t>10.199.116.68</t>
  </si>
  <si>
    <t>10.199.116.132</t>
  </si>
  <si>
    <t>10.199.117.4</t>
  </si>
  <si>
    <t>10.199.117.68</t>
  </si>
  <si>
    <t>10.199.112.23</t>
  </si>
  <si>
    <t>10.199.112.39</t>
  </si>
  <si>
    <t>10.199.112.71</t>
  </si>
  <si>
    <t>10.199.117.132</t>
  </si>
  <si>
    <t>w28kcssc-0120ac</t>
  </si>
  <si>
    <t>10.199.116.69</t>
  </si>
  <si>
    <t>10.199.116.133</t>
  </si>
  <si>
    <t>10.199.117.5</t>
  </si>
  <si>
    <t>10.199.117.69</t>
  </si>
  <si>
    <t>210.233.247.6</t>
  </si>
  <si>
    <t>2001:a7ff:1100:6:0:0:0:6</t>
  </si>
  <si>
    <t>10.199.112.6</t>
  </si>
  <si>
    <t>10.199.112.24</t>
  </si>
  <si>
    <t>10.199.112.40</t>
  </si>
  <si>
    <t>10.199.112.72</t>
  </si>
  <si>
    <t>10.199.112.55</t>
  </si>
  <si>
    <t>10.199.117.133</t>
  </si>
  <si>
    <t>w28kcssc-0121ac</t>
  </si>
  <si>
    <t>10.199.116.70</t>
  </si>
  <si>
    <t>10.199.116.134</t>
  </si>
  <si>
    <t>10.199.117.6</t>
  </si>
  <si>
    <t>10.199.117.70</t>
  </si>
  <si>
    <t>10.199.112.25</t>
  </si>
  <si>
    <t>10.199.112.41</t>
  </si>
  <si>
    <t>10.199.112.73</t>
  </si>
  <si>
    <t>10.199.117.134</t>
  </si>
  <si>
    <t>w28kcssc-0130ac</t>
  </si>
  <si>
    <t>10.199.116.73</t>
  </si>
  <si>
    <t>10.199.116.137</t>
  </si>
  <si>
    <t>10.199.117.9</t>
  </si>
  <si>
    <t>10.199.117.73</t>
  </si>
  <si>
    <t>210.233.247.20</t>
  </si>
  <si>
    <t>2001:a7ff:1100:7:0:0:0:4</t>
  </si>
  <si>
    <t>10.199.112.132</t>
  </si>
  <si>
    <t>10.199.112.148</t>
  </si>
  <si>
    <t>10.199.112.164</t>
  </si>
  <si>
    <t>10.199.112.196</t>
  </si>
  <si>
    <t>10.199.112.181</t>
  </si>
  <si>
    <t>10.199.117.137</t>
  </si>
  <si>
    <t>w28kcssc-0131ac</t>
  </si>
  <si>
    <t>10.199.116.74</t>
  </si>
  <si>
    <t>10.199.116.138</t>
  </si>
  <si>
    <t>10.199.117.10</t>
  </si>
  <si>
    <t>10.199.117.74</t>
  </si>
  <si>
    <t>10.199.112.149</t>
  </si>
  <si>
    <t>10.199.112.165</t>
  </si>
  <si>
    <t>10.199.112.197</t>
  </si>
  <si>
    <t>10.199.117.138</t>
  </si>
  <si>
    <t>w28kcssc-0140ac</t>
  </si>
  <si>
    <t>10.199.116.75</t>
  </si>
  <si>
    <t>10.199.116.139</t>
  </si>
  <si>
    <t>10.199.117.11</t>
  </si>
  <si>
    <t>10.199.117.75</t>
  </si>
  <si>
    <t>210.233.247.21</t>
  </si>
  <si>
    <t>2001:a7ff:1100:7:0:0:0:5</t>
  </si>
  <si>
    <t>10.199.112.133</t>
  </si>
  <si>
    <t>10.199.112.150</t>
  </si>
  <si>
    <t>10.199.112.166</t>
  </si>
  <si>
    <t>10.199.112.198</t>
  </si>
  <si>
    <t>10.199.112.182</t>
  </si>
  <si>
    <t>10.199.117.139</t>
  </si>
  <si>
    <t>w28kcssc-0141ac</t>
  </si>
  <si>
    <t>10.199.116.76</t>
  </si>
  <si>
    <t>10.199.116.140</t>
  </si>
  <si>
    <t>10.199.117.12</t>
  </si>
  <si>
    <t>10.199.117.76</t>
  </si>
  <si>
    <t>10.199.112.151</t>
  </si>
  <si>
    <t>10.199.112.167</t>
  </si>
  <si>
    <t>10.199.112.199</t>
  </si>
  <si>
    <t>10.199.117.140</t>
  </si>
  <si>
    <t>10.199.118.65</t>
  </si>
  <si>
    <t>10.199.118.129</t>
  </si>
  <si>
    <t>10.199.119.1</t>
  </si>
  <si>
    <t>10.199.119.65</t>
  </si>
  <si>
    <t>210.233.247.132</t>
  </si>
  <si>
    <t>2001:a7ff:1100:40:0:0:0:4</t>
  </si>
  <si>
    <t>10.199.114.4</t>
  </si>
  <si>
    <t>10.199.114.20</t>
  </si>
  <si>
    <t>10.199.114.36</t>
  </si>
  <si>
    <t>10.199.114.68</t>
  </si>
  <si>
    <t>10.199.114.53</t>
  </si>
  <si>
    <t>10.199.119.129</t>
  </si>
  <si>
    <t>10.199.118.66</t>
  </si>
  <si>
    <t>10.199.118.130</t>
  </si>
  <si>
    <t>10.199.119.2</t>
  </si>
  <si>
    <t>10.199.119.66</t>
  </si>
  <si>
    <t>10.199.114.21</t>
  </si>
  <si>
    <t>10.199.114.37</t>
  </si>
  <si>
    <t>10.199.114.69</t>
  </si>
  <si>
    <t>10.199.119.130</t>
  </si>
  <si>
    <t>10.199.118.67</t>
  </si>
  <si>
    <t>10.199.118.131</t>
  </si>
  <si>
    <t>10.199.119.3</t>
  </si>
  <si>
    <t>10.199.119.67</t>
  </si>
  <si>
    <t>210.233.247.133</t>
  </si>
  <si>
    <t>2001:a7ff:1100:40:0:0:0:5</t>
  </si>
  <si>
    <t>10.199.114.5</t>
  </si>
  <si>
    <t>10.199.114.22</t>
  </si>
  <si>
    <t>10.199.114.38</t>
  </si>
  <si>
    <t>10.199.114.70</t>
  </si>
  <si>
    <t>10.199.114.54</t>
  </si>
  <si>
    <t>10.199.119.131</t>
  </si>
  <si>
    <t>10.199.118.68</t>
  </si>
  <si>
    <t>10.199.118.132</t>
  </si>
  <si>
    <t>10.199.119.4</t>
  </si>
  <si>
    <t>10.199.119.68</t>
  </si>
  <si>
    <t>10.199.114.23</t>
  </si>
  <si>
    <t>10.199.114.39</t>
  </si>
  <si>
    <t>10.199.114.71</t>
  </si>
  <si>
    <t>10.199.119.132</t>
  </si>
  <si>
    <t>10.199.118.69</t>
  </si>
  <si>
    <t>10.199.118.133</t>
  </si>
  <si>
    <t>10.199.119.5</t>
  </si>
  <si>
    <t>10.199.119.69</t>
  </si>
  <si>
    <t>210.233.247.134</t>
  </si>
  <si>
    <t>2001:a7ff:1100:40:0:0:0:6</t>
  </si>
  <si>
    <t>10.199.114.6</t>
  </si>
  <si>
    <t>10.199.114.24</t>
  </si>
  <si>
    <t>10.199.114.40</t>
  </si>
  <si>
    <t>10.199.114.72</t>
  </si>
  <si>
    <t>10.199.114.55</t>
  </si>
  <si>
    <t>10.199.119.133</t>
  </si>
  <si>
    <t>10.199.118.70</t>
  </si>
  <si>
    <t>10.199.118.134</t>
  </si>
  <si>
    <t>10.199.119.6</t>
  </si>
  <si>
    <t>10.199.119.70</t>
  </si>
  <si>
    <t>10.199.114.25</t>
  </si>
  <si>
    <t>10.199.114.41</t>
  </si>
  <si>
    <t>10.199.114.73</t>
  </si>
  <si>
    <t>10.199.119.134</t>
  </si>
  <si>
    <t>10.199.118.73</t>
  </si>
  <si>
    <t>10.199.118.137</t>
  </si>
  <si>
    <t>10.199.119.9</t>
  </si>
  <si>
    <t>10.199.119.73</t>
  </si>
  <si>
    <t>210.233.247.148</t>
  </si>
  <si>
    <t>2001:a7ff:1100:41:0:0:0:4</t>
  </si>
  <si>
    <t>10.199.114.132</t>
  </si>
  <si>
    <t>10.199.114.148</t>
  </si>
  <si>
    <t>10.199.114.164</t>
  </si>
  <si>
    <t>10.199.114.196</t>
  </si>
  <si>
    <t>10.199.114.181</t>
  </si>
  <si>
    <t>10.199.119.137</t>
  </si>
  <si>
    <t>10.199.118.74</t>
  </si>
  <si>
    <t>10.199.118.138</t>
  </si>
  <si>
    <t>10.199.119.10</t>
  </si>
  <si>
    <t>10.199.119.74</t>
  </si>
  <si>
    <t>10.199.114.149</t>
  </si>
  <si>
    <t>10.199.114.165</t>
  </si>
  <si>
    <t>10.199.114.197</t>
  </si>
  <si>
    <t>10.199.119.138</t>
  </si>
  <si>
    <t>10.199.118.75</t>
  </si>
  <si>
    <t>10.199.118.139</t>
  </si>
  <si>
    <t>10.199.119.11</t>
  </si>
  <si>
    <t>10.199.119.75</t>
  </si>
  <si>
    <t>210.233.247.149</t>
  </si>
  <si>
    <t>2001:a7ff:1100:41:0:0:0:5</t>
  </si>
  <si>
    <t>10.199.114.133</t>
  </si>
  <si>
    <t>10.199.114.150</t>
  </si>
  <si>
    <t>10.199.114.166</t>
  </si>
  <si>
    <t>10.199.114.198</t>
  </si>
  <si>
    <t>10.199.114.182</t>
  </si>
  <si>
    <t>10.199.119.139</t>
  </si>
  <si>
    <t>10.199.118.76</t>
  </si>
  <si>
    <t>10.199.118.140</t>
  </si>
  <si>
    <t>10.199.119.12</t>
  </si>
  <si>
    <t>10.199.119.76</t>
  </si>
  <si>
    <t>10.199.114.151</t>
  </si>
  <si>
    <t>10.199.114.167</t>
  </si>
  <si>
    <t>10.199.114.199</t>
  </si>
  <si>
    <t>10.199.119.140</t>
  </si>
  <si>
    <t>w34mmisc-0100ps</t>
  </si>
  <si>
    <t>10.92.64.7</t>
  </si>
  <si>
    <t>10.92.64.71</t>
  </si>
  <si>
    <t>10.92.66.1</t>
  </si>
  <si>
    <t>10.92.66.65</t>
  </si>
  <si>
    <t>222.231.236.4</t>
  </si>
  <si>
    <t>2001:a7ff:3100:0:0:0:0:4</t>
  </si>
  <si>
    <t>10.92.65.4</t>
  </si>
  <si>
    <t>10.92.65.36</t>
  </si>
  <si>
    <t>10.92.72.36</t>
  </si>
  <si>
    <t>10.92.72.68</t>
  </si>
  <si>
    <t>10.92.72.135</t>
  </si>
  <si>
    <t>10.92.68.14</t>
  </si>
  <si>
    <t>10.92.72.5</t>
  </si>
  <si>
    <t>10.92.66.129</t>
  </si>
  <si>
    <t>0886784052</t>
  </si>
  <si>
    <t>w34mmisc-0101ps</t>
  </si>
  <si>
    <t>10.92.64.8</t>
  </si>
  <si>
    <t>10.92.64.72</t>
  </si>
  <si>
    <t>10.92.66.2</t>
  </si>
  <si>
    <t>10.92.66.66</t>
  </si>
  <si>
    <t>10.92.65.5</t>
  </si>
  <si>
    <t>10.92.65.37</t>
  </si>
  <si>
    <t>10.92.72.69</t>
  </si>
  <si>
    <t>10.92.72.136</t>
  </si>
  <si>
    <t>10.92.68.15</t>
  </si>
  <si>
    <t>10.92.66.130</t>
  </si>
  <si>
    <t>w34mmisc-0110ps</t>
  </si>
  <si>
    <t>10.92.64.9</t>
  </si>
  <si>
    <t>10.92.64.73</t>
  </si>
  <si>
    <t>10.92.66.3</t>
  </si>
  <si>
    <t>10.92.66.67</t>
  </si>
  <si>
    <t>222.231.236.5</t>
  </si>
  <si>
    <t>2001:a7ff:3100:0:0:0:0:5</t>
  </si>
  <si>
    <t>10.92.65.6</t>
  </si>
  <si>
    <t>10.92.65.38</t>
  </si>
  <si>
    <t>10.92.72.37</t>
  </si>
  <si>
    <t>10.92.72.70</t>
  </si>
  <si>
    <t>10.92.72.137</t>
  </si>
  <si>
    <t>10.92.68.16</t>
  </si>
  <si>
    <t>10.92.72.6</t>
  </si>
  <si>
    <t>10.92.66.131</t>
  </si>
  <si>
    <t>w34mmisc-0111ps</t>
  </si>
  <si>
    <t>10.92.64.10</t>
  </si>
  <si>
    <t>10.92.64.74</t>
  </si>
  <si>
    <t>10.92.66.4</t>
  </si>
  <si>
    <t>10.92.66.68</t>
  </si>
  <si>
    <t>10.92.65.7</t>
  </si>
  <si>
    <t>10.92.65.39</t>
  </si>
  <si>
    <t>10.92.72.71</t>
  </si>
  <si>
    <t>10.92.72.138</t>
  </si>
  <si>
    <t>10.92.68.17</t>
  </si>
  <si>
    <t>10.92.66.132</t>
  </si>
  <si>
    <t>w34mmisc-0120im</t>
  </si>
  <si>
    <t>10.92.64.11</t>
  </si>
  <si>
    <t>10.92.64.75</t>
  </si>
  <si>
    <t>10.92.66.5</t>
  </si>
  <si>
    <t>10.92.66.69</t>
  </si>
  <si>
    <t>222.231.236.6</t>
  </si>
  <si>
    <t>2001:a7ff:3100:0:0:0:0:6</t>
  </si>
  <si>
    <t>10.92.72.38</t>
  </si>
  <si>
    <t>10.92.72.72</t>
  </si>
  <si>
    <t>10.92.72.139</t>
  </si>
  <si>
    <t>10.92.68.18</t>
  </si>
  <si>
    <t>10.92.72.7</t>
  </si>
  <si>
    <t>10.92.66.133</t>
  </si>
  <si>
    <t>0527534053</t>
  </si>
  <si>
    <t>w34mmisc-0121im</t>
  </si>
  <si>
    <t>10.92.64.12</t>
  </si>
  <si>
    <t>10.92.64.76</t>
  </si>
  <si>
    <t>10.92.66.6</t>
  </si>
  <si>
    <t>10.92.66.70</t>
  </si>
  <si>
    <t>10.92.72.73</t>
  </si>
  <si>
    <t>10.92.72.140</t>
  </si>
  <si>
    <t>10.92.68.19</t>
  </si>
  <si>
    <t>10.92.66.134</t>
  </si>
  <si>
    <t>w34mmisc-0a00ps</t>
  </si>
  <si>
    <t>222.231.236.36</t>
  </si>
  <si>
    <t>2001:a7ff:3100:1:0:0:0:4</t>
  </si>
  <si>
    <t>10.92.65.68</t>
  </si>
  <si>
    <t>10.92.65.100</t>
  </si>
  <si>
    <t>10.92.73.36</t>
  </si>
  <si>
    <t>10.92.73.68</t>
  </si>
  <si>
    <t>10.92.73.135</t>
  </si>
  <si>
    <t>10.92.69.14</t>
  </si>
  <si>
    <t>10.92.73.5</t>
  </si>
  <si>
    <t>0956595052</t>
  </si>
  <si>
    <t>w34mmisc-0a01ps</t>
  </si>
  <si>
    <t>10.92.65.69</t>
  </si>
  <si>
    <t>10.92.65.101</t>
  </si>
  <si>
    <t>10.92.73.69</t>
  </si>
  <si>
    <t>10.92.73.136</t>
  </si>
  <si>
    <t>10.92.69.15</t>
  </si>
  <si>
    <t>w34mmisc-0a10ps</t>
  </si>
  <si>
    <t>222.231.236.37</t>
  </si>
  <si>
    <t>2001:a7ff:3100:1:0:0:0:5</t>
  </si>
  <si>
    <t>10.92.65.70</t>
  </si>
  <si>
    <t>10.92.65.102</t>
  </si>
  <si>
    <t>10.92.73.37</t>
  </si>
  <si>
    <t>10.92.73.70</t>
  </si>
  <si>
    <t>10.92.73.137</t>
  </si>
  <si>
    <t>10.92.69.16</t>
  </si>
  <si>
    <t>10.92.73.6</t>
  </si>
  <si>
    <t>w34mmisc-0a11ps</t>
  </si>
  <si>
    <t>10.92.65.71</t>
  </si>
  <si>
    <t>10.92.65.103</t>
  </si>
  <si>
    <t>10.92.73.71</t>
  </si>
  <si>
    <t>10.92.73.138</t>
  </si>
  <si>
    <t>10.92.69.17</t>
  </si>
  <si>
    <t>w34mmisc-0a20im</t>
  </si>
  <si>
    <t>222.231.236.38</t>
  </si>
  <si>
    <t>2001:a7ff:3100:1:0:0:0:6</t>
  </si>
  <si>
    <t>10.92.73.38</t>
  </si>
  <si>
    <t>10.92.73.72</t>
  </si>
  <si>
    <t>10.92.73.139</t>
  </si>
  <si>
    <t>10.92.69.18</t>
  </si>
  <si>
    <t>10.92.73.7</t>
  </si>
  <si>
    <t>0886784053</t>
  </si>
  <si>
    <t>w34mmisc-0a21im</t>
  </si>
  <si>
    <t>10.92.73.73</t>
  </si>
  <si>
    <t>10.92.73.140</t>
  </si>
  <si>
    <t>10.92.69.19</t>
  </si>
  <si>
    <t>w34mmisc-0a30ps</t>
  </si>
  <si>
    <t>10.92.64.13</t>
  </si>
  <si>
    <t>10.92.64.77</t>
  </si>
  <si>
    <t>10.92.66.7</t>
  </si>
  <si>
    <t>10.92.66.71</t>
  </si>
  <si>
    <t>222.231.236.39</t>
  </si>
  <si>
    <t>2001:a7ff:3100:1:0:0:0:7</t>
  </si>
  <si>
    <t>10.92.65.72</t>
  </si>
  <si>
    <t>10.92.65.104</t>
  </si>
  <si>
    <t>10.92.73.39</t>
  </si>
  <si>
    <t>10.92.73.74</t>
  </si>
  <si>
    <t>10.92.73.141</t>
  </si>
  <si>
    <t>10.92.69.20</t>
  </si>
  <si>
    <t>10.92.73.8</t>
  </si>
  <si>
    <t>10.92.66.135</t>
  </si>
  <si>
    <t>w34mmisc-0a31ps</t>
  </si>
  <si>
    <t>10.92.64.14</t>
  </si>
  <si>
    <t>10.92.64.78</t>
  </si>
  <si>
    <t>10.92.66.8</t>
  </si>
  <si>
    <t>10.92.66.72</t>
  </si>
  <si>
    <t>10.92.65.73</t>
  </si>
  <si>
    <t>10.92.65.105</t>
  </si>
  <si>
    <t>10.92.73.75</t>
  </si>
  <si>
    <t>10.92.73.142</t>
  </si>
  <si>
    <t>10.92.69.21</t>
  </si>
  <si>
    <t>10.92.66.136</t>
  </si>
  <si>
    <t>w34mmssc-0100ac</t>
  </si>
  <si>
    <t>10.92.64.19</t>
  </si>
  <si>
    <t>10.92.64.83</t>
  </si>
  <si>
    <t>10.92.66.13</t>
  </si>
  <si>
    <t>10.92.66.77</t>
  </si>
  <si>
    <t>222.231.236.20</t>
  </si>
  <si>
    <t>2001:a7ff:3100:2:0:0:0:4</t>
  </si>
  <si>
    <t>10.92.72.42</t>
  </si>
  <si>
    <t>10.92.72.80</t>
  </si>
  <si>
    <t>10.92.72.147</t>
  </si>
  <si>
    <t>10.92.68.26</t>
  </si>
  <si>
    <t>10.92.72.11</t>
  </si>
  <si>
    <t>10.92.66.141</t>
  </si>
  <si>
    <t>240101</t>
  </si>
  <si>
    <t>0899895054</t>
  </si>
  <si>
    <t>w34mmssc-0101ac</t>
  </si>
  <si>
    <t>10.92.64.20</t>
  </si>
  <si>
    <t>10.92.64.84</t>
  </si>
  <si>
    <t>10.92.66.14</t>
  </si>
  <si>
    <t>10.92.66.78</t>
  </si>
  <si>
    <t>10.92.72.81</t>
  </si>
  <si>
    <t>10.92.72.148</t>
  </si>
  <si>
    <t>10.92.68.27</t>
  </si>
  <si>
    <t>10.92.66.142</t>
  </si>
  <si>
    <t>w34mmssc-0110ac</t>
  </si>
  <si>
    <t>10.92.64.21</t>
  </si>
  <si>
    <t>10.92.64.85</t>
  </si>
  <si>
    <t>10.92.66.15</t>
  </si>
  <si>
    <t>10.92.66.79</t>
  </si>
  <si>
    <t>222.231.236.21</t>
  </si>
  <si>
    <t>2001:a7ff:3100:2:0:0:0:5</t>
  </si>
  <si>
    <t>10.92.72.43</t>
  </si>
  <si>
    <t>10.92.72.82</t>
  </si>
  <si>
    <t>10.92.72.149</t>
  </si>
  <si>
    <t>10.92.68.28</t>
  </si>
  <si>
    <t>10.92.72.12</t>
  </si>
  <si>
    <t>10.92.66.143</t>
  </si>
  <si>
    <t>240102</t>
  </si>
  <si>
    <t>0822581054</t>
  </si>
  <si>
    <t>w34mmssc-0111ac</t>
  </si>
  <si>
    <t>10.92.64.22</t>
  </si>
  <si>
    <t>10.92.64.86</t>
  </si>
  <si>
    <t>10.92.66.16</t>
  </si>
  <si>
    <t>10.92.66.80</t>
  </si>
  <si>
    <t>10.92.72.83</t>
  </si>
  <si>
    <t>10.92.72.150</t>
  </si>
  <si>
    <t>10.92.68.29</t>
  </si>
  <si>
    <t>10.92.66.144</t>
  </si>
  <si>
    <t>w34mmssc-0120ac</t>
  </si>
  <si>
    <t>10.92.64.23</t>
  </si>
  <si>
    <t>10.92.64.87</t>
  </si>
  <si>
    <t>10.92.66.17</t>
  </si>
  <si>
    <t>10.92.66.81</t>
  </si>
  <si>
    <t>222.231.236.22</t>
  </si>
  <si>
    <t>2001:a7ff:3100:2:0:0:0:6</t>
  </si>
  <si>
    <t>10.92.72.44</t>
  </si>
  <si>
    <t>10.92.72.84</t>
  </si>
  <si>
    <t>10.92.72.151</t>
  </si>
  <si>
    <t>10.92.68.30</t>
  </si>
  <si>
    <t>10.92.72.13</t>
  </si>
  <si>
    <t>10.92.66.145</t>
  </si>
  <si>
    <t>240103</t>
  </si>
  <si>
    <t>0864411054</t>
  </si>
  <si>
    <t>w34mmssc-0121ac</t>
  </si>
  <si>
    <t>10.92.64.24</t>
  </si>
  <si>
    <t>10.92.64.88</t>
  </si>
  <si>
    <t>10.92.66.18</t>
  </si>
  <si>
    <t>10.92.66.82</t>
  </si>
  <si>
    <t>10.92.72.85</t>
  </si>
  <si>
    <t>10.92.72.152</t>
  </si>
  <si>
    <t>10.92.68.31</t>
  </si>
  <si>
    <t>10.92.66.146</t>
  </si>
  <si>
    <t>w34mmssc-0130ac</t>
  </si>
  <si>
    <t>10.92.64.25</t>
  </si>
  <si>
    <t>10.92.64.89</t>
  </si>
  <si>
    <t>10.92.66.19</t>
  </si>
  <si>
    <t>10.92.66.83</t>
  </si>
  <si>
    <t>222.231.236.23</t>
  </si>
  <si>
    <t>2001:a7ff:3100:2:0:0:0:7</t>
  </si>
  <si>
    <t>10.92.72.45</t>
  </si>
  <si>
    <t>10.92.72.86</t>
  </si>
  <si>
    <t>10.92.72.153</t>
  </si>
  <si>
    <t>10.92.68.32</t>
  </si>
  <si>
    <t>10.92.72.14</t>
  </si>
  <si>
    <t>10.92.66.147</t>
  </si>
  <si>
    <t>240104</t>
  </si>
  <si>
    <t>0836395054</t>
  </si>
  <si>
    <t>w34mmssc-0131ac</t>
  </si>
  <si>
    <t>10.92.64.26</t>
  </si>
  <si>
    <t>10.92.64.90</t>
  </si>
  <si>
    <t>10.92.66.20</t>
  </si>
  <si>
    <t>10.92.66.84</t>
  </si>
  <si>
    <t>10.92.72.87</t>
  </si>
  <si>
    <t>10.92.72.154</t>
  </si>
  <si>
    <t>10.92.68.33</t>
  </si>
  <si>
    <t>10.92.66.148</t>
  </si>
  <si>
    <t>w34mmssc-0200ac</t>
  </si>
  <si>
    <t>10.92.64.31</t>
  </si>
  <si>
    <t>10.92.64.95</t>
  </si>
  <si>
    <t>10.92.66.25</t>
  </si>
  <si>
    <t>10.92.66.89</t>
  </si>
  <si>
    <t>222.231.236.52</t>
  </si>
  <si>
    <t>2001:a7ff:3100:3:0:0:0:4</t>
  </si>
  <si>
    <t>10.92.72.48</t>
  </si>
  <si>
    <t>10.92.72.92</t>
  </si>
  <si>
    <t>10.92.72.159</t>
  </si>
  <si>
    <t>10.92.68.38</t>
  </si>
  <si>
    <t>10.92.72.17</t>
  </si>
  <si>
    <t>10.92.66.153</t>
  </si>
  <si>
    <t>240107</t>
  </si>
  <si>
    <t>0852671054</t>
  </si>
  <si>
    <t>w34mmssc-0201ac</t>
  </si>
  <si>
    <t>10.92.64.32</t>
  </si>
  <si>
    <t>10.92.64.96</t>
  </si>
  <si>
    <t>10.92.66.26</t>
  </si>
  <si>
    <t>10.92.66.90</t>
  </si>
  <si>
    <t>10.92.72.93</t>
  </si>
  <si>
    <t>10.92.72.160</t>
  </si>
  <si>
    <t>10.92.68.39</t>
  </si>
  <si>
    <t>10.92.66.154</t>
  </si>
  <si>
    <t>w34mmssc-0210ac</t>
  </si>
  <si>
    <t>10.92.64.33</t>
  </si>
  <si>
    <t>10.92.64.97</t>
  </si>
  <si>
    <t>10.92.66.27</t>
  </si>
  <si>
    <t>10.92.66.91</t>
  </si>
  <si>
    <t>222.231.236.53</t>
  </si>
  <si>
    <t>2001:a7ff:3100:3:0:0:0:5</t>
  </si>
  <si>
    <t>10.92.72.49</t>
  </si>
  <si>
    <t>10.92.72.94</t>
  </si>
  <si>
    <t>10.92.72.161</t>
  </si>
  <si>
    <t>10.92.68.40</t>
  </si>
  <si>
    <t>10.92.72.18</t>
  </si>
  <si>
    <t>10.92.66.155</t>
  </si>
  <si>
    <t>240108</t>
  </si>
  <si>
    <t>0878130054</t>
  </si>
  <si>
    <t>w34mmssc-0211ac</t>
  </si>
  <si>
    <t>10.92.64.34</t>
  </si>
  <si>
    <t>10.92.64.98</t>
  </si>
  <si>
    <t>10.92.66.28</t>
  </si>
  <si>
    <t>10.92.66.92</t>
  </si>
  <si>
    <t>10.92.72.95</t>
  </si>
  <si>
    <t>10.92.72.162</t>
  </si>
  <si>
    <t>10.92.68.41</t>
  </si>
  <si>
    <t>10.92.66.156</t>
  </si>
  <si>
    <t>w34mmssc-0220ac</t>
  </si>
  <si>
    <t>10.92.64.35</t>
  </si>
  <si>
    <t>10.92.64.99</t>
  </si>
  <si>
    <t>10.92.66.29</t>
  </si>
  <si>
    <t>10.92.66.93</t>
  </si>
  <si>
    <t>222.231.236.54</t>
  </si>
  <si>
    <t>2001:a7ff:3100:3:0:0:0:6</t>
  </si>
  <si>
    <t>10.92.72.50</t>
  </si>
  <si>
    <t>10.92.72.96</t>
  </si>
  <si>
    <t>10.92.72.163</t>
  </si>
  <si>
    <t>10.92.68.42</t>
  </si>
  <si>
    <t>10.92.72.19</t>
  </si>
  <si>
    <t>10.92.66.157</t>
  </si>
  <si>
    <t>240109</t>
  </si>
  <si>
    <t>0822075054</t>
  </si>
  <si>
    <t>w34mmssc-0221ac</t>
  </si>
  <si>
    <t>10.92.64.36</t>
  </si>
  <si>
    <t>10.92.64.100</t>
  </si>
  <si>
    <t>10.92.66.30</t>
  </si>
  <si>
    <t>10.92.66.94</t>
  </si>
  <si>
    <t>10.92.72.97</t>
  </si>
  <si>
    <t>10.92.72.164</t>
  </si>
  <si>
    <t>10.92.68.43</t>
  </si>
  <si>
    <t>10.92.66.158</t>
  </si>
  <si>
    <t>w34mmssc-0a00ac</t>
  </si>
  <si>
    <t>10.91.64.7</t>
  </si>
  <si>
    <t>10.91.64.71</t>
  </si>
  <si>
    <t>10.91.66.1</t>
  </si>
  <si>
    <t>10.91.66.65</t>
  </si>
  <si>
    <t>222.231.240.20</t>
  </si>
  <si>
    <t>2001:a7ff:4100:1:0:0:0:4</t>
  </si>
  <si>
    <t>10.91.74.36</t>
  </si>
  <si>
    <t>10.91.74.68</t>
  </si>
  <si>
    <t>10.91.74.135</t>
  </si>
  <si>
    <t>10.91.70.14</t>
  </si>
  <si>
    <t>10.91.74.5</t>
  </si>
  <si>
    <t>10.91.66.129</t>
  </si>
  <si>
    <t>250101</t>
  </si>
  <si>
    <t>0962882054</t>
  </si>
  <si>
    <t>w34mmssc-0a01ac</t>
  </si>
  <si>
    <t>10.91.64.8</t>
  </si>
  <si>
    <t>10.91.64.72</t>
  </si>
  <si>
    <t>10.91.66.2</t>
  </si>
  <si>
    <t>10.91.66.66</t>
  </si>
  <si>
    <t>10.91.74.69</t>
  </si>
  <si>
    <t>10.91.74.136</t>
  </si>
  <si>
    <t>10.91.70.15</t>
  </si>
  <si>
    <t>10.91.66.130</t>
  </si>
  <si>
    <t>w34mmssc-0a10ac</t>
  </si>
  <si>
    <t>10.91.64.9</t>
  </si>
  <si>
    <t>10.91.64.73</t>
  </si>
  <si>
    <t>10.91.66.3</t>
  </si>
  <si>
    <t>10.91.66.67</t>
  </si>
  <si>
    <t>222.231.240.21</t>
  </si>
  <si>
    <t>2001:a7ff:4100:1:0:0:0:5</t>
  </si>
  <si>
    <t>10.91.74.37</t>
  </si>
  <si>
    <t>10.91.74.70</t>
  </si>
  <si>
    <t>10.91.74.137</t>
  </si>
  <si>
    <t>10.91.70.16</t>
  </si>
  <si>
    <t>10.91.74.6</t>
  </si>
  <si>
    <t>10.91.66.131</t>
  </si>
  <si>
    <t>250102</t>
  </si>
  <si>
    <t>0975792054</t>
  </si>
  <si>
    <t>w34mmssc-0a11ac</t>
  </si>
  <si>
    <t>10.91.64.10</t>
  </si>
  <si>
    <t>10.91.64.74</t>
  </si>
  <si>
    <t>10.91.66.4</t>
  </si>
  <si>
    <t>10.91.66.68</t>
  </si>
  <si>
    <t>10.91.74.71</t>
  </si>
  <si>
    <t>10.91.74.138</t>
  </si>
  <si>
    <t>10.91.70.17</t>
  </si>
  <si>
    <t>10.91.66.132</t>
  </si>
  <si>
    <t>w34mmssc-0a20ac</t>
  </si>
  <si>
    <t>10.91.64.11</t>
  </si>
  <si>
    <t>10.91.64.75</t>
  </si>
  <si>
    <t>10.91.66.5</t>
  </si>
  <si>
    <t>10.91.66.69</t>
  </si>
  <si>
    <t>222.231.240.22</t>
  </si>
  <si>
    <t>2001:a7ff:4100:1:0:0:0:6</t>
  </si>
  <si>
    <t>10.91.74.38</t>
  </si>
  <si>
    <t>10.91.74.72</t>
  </si>
  <si>
    <t>10.91.74.139</t>
  </si>
  <si>
    <t>10.91.70.18</t>
  </si>
  <si>
    <t>10.91.74.7</t>
  </si>
  <si>
    <t>10.91.66.133</t>
  </si>
  <si>
    <t>250103</t>
  </si>
  <si>
    <t>0936162054</t>
  </si>
  <si>
    <t>w34mmssc-0a21ac</t>
  </si>
  <si>
    <t>10.91.64.12</t>
  </si>
  <si>
    <t>10.91.64.76</t>
  </si>
  <si>
    <t>10.91.66.6</t>
  </si>
  <si>
    <t>10.91.66.70</t>
  </si>
  <si>
    <t>10.91.74.73</t>
  </si>
  <si>
    <t>10.91.74.140</t>
  </si>
  <si>
    <t>10.91.70.19</t>
  </si>
  <si>
    <t>10.91.66.134</t>
  </si>
  <si>
    <t>w34mmssc-0a30ac</t>
  </si>
  <si>
    <t>10.91.64.13</t>
  </si>
  <si>
    <t>10.91.64.77</t>
  </si>
  <si>
    <t>10.91.66.7</t>
  </si>
  <si>
    <t>10.91.66.71</t>
  </si>
  <si>
    <t>222.231.240.23</t>
  </si>
  <si>
    <t>2001:a7ff:4100:1:0:0:0:7</t>
  </si>
  <si>
    <t>10.91.74.39</t>
  </si>
  <si>
    <t>10.91.74.74</t>
  </si>
  <si>
    <t>10.91.74.141</t>
  </si>
  <si>
    <t>10.91.70.20</t>
  </si>
  <si>
    <t>10.91.74.8</t>
  </si>
  <si>
    <t>10.91.66.135</t>
  </si>
  <si>
    <t>250104</t>
  </si>
  <si>
    <t>0928342054</t>
  </si>
  <si>
    <t>w34mmssc-0a31ac</t>
  </si>
  <si>
    <t>10.91.64.14</t>
  </si>
  <si>
    <t>10.91.64.78</t>
  </si>
  <si>
    <t>10.91.66.8</t>
  </si>
  <si>
    <t>10.91.66.72</t>
  </si>
  <si>
    <t>10.91.74.75</t>
  </si>
  <si>
    <t>10.91.74.142</t>
  </si>
  <si>
    <t>10.91.70.21</t>
  </si>
  <si>
    <t>10.91.66.136</t>
  </si>
  <si>
    <t>w34mmssc-0a40ac</t>
  </si>
  <si>
    <t>10.91.64.15</t>
  </si>
  <si>
    <t>10.91.64.79</t>
  </si>
  <si>
    <t>10.91.66.9</t>
  </si>
  <si>
    <t>10.91.66.73</t>
  </si>
  <si>
    <t>222.231.240.24</t>
  </si>
  <si>
    <t>2001:a7ff:4100:1:0:0:0:8</t>
  </si>
  <si>
    <t>10.91.74.40</t>
  </si>
  <si>
    <t>10.91.74.76</t>
  </si>
  <si>
    <t>10.91.74.143</t>
  </si>
  <si>
    <t>10.91.70.22</t>
  </si>
  <si>
    <t>10.91.74.9</t>
  </si>
  <si>
    <t>10.91.66.137</t>
  </si>
  <si>
    <t>250105</t>
  </si>
  <si>
    <t>0989432054</t>
  </si>
  <si>
    <t>w34mmssc-0a41ac</t>
  </si>
  <si>
    <t>10.91.64.16</t>
  </si>
  <si>
    <t>10.91.64.80</t>
  </si>
  <si>
    <t>10.91.66.10</t>
  </si>
  <si>
    <t>10.91.66.74</t>
  </si>
  <si>
    <t>10.91.74.77</t>
  </si>
  <si>
    <t>10.91.74.144</t>
  </si>
  <si>
    <t>10.91.70.23</t>
  </si>
  <si>
    <t>10.91.66.138</t>
  </si>
  <si>
    <t>w34mmssc-0b00ac</t>
  </si>
  <si>
    <t>10.91.64.19</t>
  </si>
  <si>
    <t>10.91.64.83</t>
  </si>
  <si>
    <t>10.91.66.13</t>
  </si>
  <si>
    <t>10.91.66.77</t>
  </si>
  <si>
    <t>222.231.240.52</t>
  </si>
  <si>
    <t>2001:a7ff:4100:3::4</t>
  </si>
  <si>
    <t>10.91.74.42</t>
  </si>
  <si>
    <t>10.91.74.80</t>
  </si>
  <si>
    <t>10.91.74.147</t>
  </si>
  <si>
    <t>10.91.70.26</t>
  </si>
  <si>
    <t>10.91.74.11</t>
  </si>
  <si>
    <t>10.91.66.141</t>
  </si>
  <si>
    <t>250107</t>
  </si>
  <si>
    <t>0991329054</t>
  </si>
  <si>
    <t>w34mmssc-0b01ac</t>
  </si>
  <si>
    <t>10.91.64.20</t>
  </si>
  <si>
    <t>10.91.64.84</t>
  </si>
  <si>
    <t>10.91.66.14</t>
  </si>
  <si>
    <t>10.91.66.78</t>
  </si>
  <si>
    <t>10.91.74.81</t>
  </si>
  <si>
    <t>10.91.74.148</t>
  </si>
  <si>
    <t>10.91.70.27</t>
  </si>
  <si>
    <t>10.91.66.142</t>
  </si>
  <si>
    <t>w34mmssc-0b10ac</t>
  </si>
  <si>
    <t>10.91.64.21</t>
  </si>
  <si>
    <t>10.91.64.85</t>
  </si>
  <si>
    <t>10.91.66.15</t>
  </si>
  <si>
    <t>10.91.66.79</t>
  </si>
  <si>
    <t>222.231.240.53</t>
  </si>
  <si>
    <t>2001:a7ff:4100:3::5</t>
  </si>
  <si>
    <t>10.91.74.43</t>
  </si>
  <si>
    <t>10.91.74.82</t>
  </si>
  <si>
    <t>10.91.74.149</t>
  </si>
  <si>
    <t>10.91.70.28</t>
  </si>
  <si>
    <t>10.91.74.12</t>
  </si>
  <si>
    <t>10.91.66.143</t>
  </si>
  <si>
    <t>250108</t>
  </si>
  <si>
    <t>0968869054</t>
  </si>
  <si>
    <t>w34mmssc-0b11ac</t>
  </si>
  <si>
    <t>10.91.64.22</t>
  </si>
  <si>
    <t>10.91.64.86</t>
  </si>
  <si>
    <t>10.91.66.16</t>
  </si>
  <si>
    <t>10.91.66.80</t>
  </si>
  <si>
    <t>10.91.74.83</t>
  </si>
  <si>
    <t>10.91.74.150</t>
  </si>
  <si>
    <t>10.91.70.29</t>
  </si>
  <si>
    <t>10.91.66.144</t>
  </si>
  <si>
    <t>w34mmssc-0b20ac</t>
  </si>
  <si>
    <t>10.91.64.23</t>
  </si>
  <si>
    <t>10.91.64.87</t>
  </si>
  <si>
    <t>10.91.66.17</t>
  </si>
  <si>
    <t>10.91.66.81</t>
  </si>
  <si>
    <t>222.231.240.54</t>
  </si>
  <si>
    <t>2001:a7ff:4100:3::6</t>
  </si>
  <si>
    <t>10.91.74.44</t>
  </si>
  <si>
    <t>10.91.74.84</t>
  </si>
  <si>
    <t>10.91.74.151</t>
  </si>
  <si>
    <t>10.91.70.30</t>
  </si>
  <si>
    <t>10.91.74.13</t>
  </si>
  <si>
    <t>10.91.66.145</t>
  </si>
  <si>
    <t>250109</t>
  </si>
  <si>
    <t>0977867054</t>
  </si>
  <si>
    <t>w34mmssc-0b21ac</t>
  </si>
  <si>
    <t>10.91.64.24</t>
  </si>
  <si>
    <t>10.91.64.88</t>
  </si>
  <si>
    <t>10.91.66.18</t>
  </si>
  <si>
    <t>10.91.66.82</t>
  </si>
  <si>
    <t>10.91.74.85</t>
  </si>
  <si>
    <t>10.91.74.152</t>
  </si>
  <si>
    <t>10.91.70.31</t>
  </si>
  <si>
    <t>10.91.66.146</t>
  </si>
  <si>
    <t>w34nhssc-0300ac</t>
  </si>
  <si>
    <t>10.92.77.65</t>
  </si>
  <si>
    <t>10.92.77.129</t>
  </si>
  <si>
    <t>10.92.78.1</t>
  </si>
  <si>
    <t>10.92.78.65</t>
  </si>
  <si>
    <t>124.245.196.4</t>
  </si>
  <si>
    <t>2001:a7ff:3100:4:0:0:0:4</t>
  </si>
  <si>
    <t>10.92.76.4</t>
  </si>
  <si>
    <t>10.92.76.20</t>
  </si>
  <si>
    <t>10.92.76.36</t>
  </si>
  <si>
    <t>10.92.76.68</t>
  </si>
  <si>
    <t>10.92.76.53</t>
  </si>
  <si>
    <t>10.92.78.129</t>
  </si>
  <si>
    <t>W40201</t>
  </si>
  <si>
    <t>240201</t>
  </si>
  <si>
    <t>W413</t>
  </si>
  <si>
    <t>431</t>
  </si>
  <si>
    <t>cgkskk</t>
  </si>
  <si>
    <t>岡山</t>
  </si>
  <si>
    <t>0862300054</t>
  </si>
  <si>
    <t>w34nhssc-0301ac</t>
  </si>
  <si>
    <t>10.92.77.66</t>
  </si>
  <si>
    <t>10.92.77.130</t>
  </si>
  <si>
    <t>10.92.78.2</t>
  </si>
  <si>
    <t>10.92.78.66</t>
  </si>
  <si>
    <t>10.92.76.21</t>
  </si>
  <si>
    <t>10.92.76.37</t>
  </si>
  <si>
    <t>10.92.76.69</t>
  </si>
  <si>
    <t>10.92.78.130</t>
  </si>
  <si>
    <t>w34nhssc-0310ac</t>
  </si>
  <si>
    <t>10.92.77.67</t>
  </si>
  <si>
    <t>10.92.77.131</t>
  </si>
  <si>
    <t>10.92.78.3</t>
  </si>
  <si>
    <t>10.92.78.67</t>
  </si>
  <si>
    <t>124.245.196.5</t>
  </si>
  <si>
    <t>2001:a7ff:3100:4:0:0:0:5</t>
  </si>
  <si>
    <t>10.92.76.5</t>
  </si>
  <si>
    <t>10.92.76.22</t>
  </si>
  <si>
    <t>10.92.76.38</t>
  </si>
  <si>
    <t>10.92.76.70</t>
  </si>
  <si>
    <t>10.92.76.54</t>
  </si>
  <si>
    <t>10.92.78.131</t>
  </si>
  <si>
    <t>W40202</t>
  </si>
  <si>
    <t>240202</t>
  </si>
  <si>
    <t>W414</t>
  </si>
  <si>
    <t>432</t>
  </si>
  <si>
    <t>広島</t>
  </si>
  <si>
    <t>0826733054</t>
  </si>
  <si>
    <t>w34nhssc-0311ac</t>
  </si>
  <si>
    <t>10.92.77.68</t>
  </si>
  <si>
    <t>10.92.77.132</t>
  </si>
  <si>
    <t>10.92.78.4</t>
  </si>
  <si>
    <t>10.92.78.68</t>
  </si>
  <si>
    <t>10.92.76.23</t>
  </si>
  <si>
    <t>10.92.76.39</t>
  </si>
  <si>
    <t>10.92.76.71</t>
  </si>
  <si>
    <t>10.92.78.132</t>
  </si>
  <si>
    <t>w34nhssc-0320ac</t>
  </si>
  <si>
    <t>10.92.77.69</t>
  </si>
  <si>
    <t>10.92.77.133</t>
  </si>
  <si>
    <t>10.92.78.5</t>
  </si>
  <si>
    <t>10.92.78.69</t>
  </si>
  <si>
    <t>124.245.196.6</t>
  </si>
  <si>
    <t>2001:a7ff:3100:4:0:0:0:6</t>
  </si>
  <si>
    <t>10.92.76.6</t>
  </si>
  <si>
    <t>10.92.76.24</t>
  </si>
  <si>
    <t>10.92.76.40</t>
  </si>
  <si>
    <t>10.92.76.72</t>
  </si>
  <si>
    <t>10.92.76.55</t>
  </si>
  <si>
    <t>10.92.78.133</t>
  </si>
  <si>
    <t>W40203</t>
  </si>
  <si>
    <t>240203</t>
  </si>
  <si>
    <t>W415</t>
  </si>
  <si>
    <t>433</t>
  </si>
  <si>
    <t>愛媛</t>
  </si>
  <si>
    <t>0899099054</t>
  </si>
  <si>
    <t>w34nhssc-0321ac</t>
  </si>
  <si>
    <t>10.92.77.70</t>
  </si>
  <si>
    <t>10.92.77.134</t>
  </si>
  <si>
    <t>10.92.78.6</t>
  </si>
  <si>
    <t>10.92.78.70</t>
  </si>
  <si>
    <t>10.92.76.25</t>
  </si>
  <si>
    <t>10.92.76.41</t>
  </si>
  <si>
    <t>10.92.76.73</t>
  </si>
  <si>
    <t>10.92.78.134</t>
  </si>
  <si>
    <t>w34nhssc-0330ac</t>
  </si>
  <si>
    <t>10.92.77.73</t>
  </si>
  <si>
    <t>10.92.77.137</t>
  </si>
  <si>
    <t>10.92.78.9</t>
  </si>
  <si>
    <t>10.92.78.73</t>
  </si>
  <si>
    <t>124.245.196.20</t>
  </si>
  <si>
    <t>2001:a7ff:3100:5:0:0:0:4</t>
  </si>
  <si>
    <t>10.92.76.132</t>
  </si>
  <si>
    <t>10.92.76.148</t>
  </si>
  <si>
    <t>10.92.76.164</t>
  </si>
  <si>
    <t>10.92.76.196</t>
  </si>
  <si>
    <t>10.92.76.181</t>
  </si>
  <si>
    <t>10.92.78.137</t>
  </si>
  <si>
    <t>W40204</t>
  </si>
  <si>
    <t>240204</t>
  </si>
  <si>
    <t>W416</t>
  </si>
  <si>
    <t>434</t>
  </si>
  <si>
    <t>香川</t>
  </si>
  <si>
    <t>0878021054</t>
  </si>
  <si>
    <t>w34nhssc-0331ac</t>
  </si>
  <si>
    <t>10.92.77.74</t>
  </si>
  <si>
    <t>10.92.77.138</t>
  </si>
  <si>
    <t>10.92.78.10</t>
  </si>
  <si>
    <t>10.92.78.74</t>
  </si>
  <si>
    <t>10.92.76.149</t>
  </si>
  <si>
    <t>10.92.76.165</t>
  </si>
  <si>
    <t>10.92.76.197</t>
  </si>
  <si>
    <t>10.92.78.138</t>
  </si>
  <si>
    <t>w34nhssc-0340ac</t>
  </si>
  <si>
    <t>10.92.77.75</t>
  </si>
  <si>
    <t>10.92.77.139</t>
  </si>
  <si>
    <t>10.92.78.11</t>
  </si>
  <si>
    <t>10.92.78.75</t>
  </si>
  <si>
    <t>124.245.196.21</t>
  </si>
  <si>
    <t>2001:a7ff:3100:5:0:0:0:5</t>
  </si>
  <si>
    <t>10.92.76.133</t>
  </si>
  <si>
    <t>10.92.76.150</t>
  </si>
  <si>
    <t>10.92.76.166</t>
  </si>
  <si>
    <t>10.92.76.198</t>
  </si>
  <si>
    <t>10.92.76.182</t>
  </si>
  <si>
    <t>10.92.78.139</t>
  </si>
  <si>
    <t>W40205</t>
  </si>
  <si>
    <t>240205</t>
  </si>
  <si>
    <t>W417</t>
  </si>
  <si>
    <t>435</t>
  </si>
  <si>
    <t>徳島</t>
  </si>
  <si>
    <t>0886779054</t>
  </si>
  <si>
    <t>w34nhssc-0341ac</t>
  </si>
  <si>
    <t>10.92.77.76</t>
  </si>
  <si>
    <t>10.92.77.140</t>
  </si>
  <si>
    <t>10.92.78.12</t>
  </si>
  <si>
    <t>10.92.78.76</t>
  </si>
  <si>
    <t>10.92.76.151</t>
  </si>
  <si>
    <t>10.92.76.167</t>
  </si>
  <si>
    <t>10.92.76.199</t>
  </si>
  <si>
    <t>10.92.78.140</t>
  </si>
  <si>
    <t>w34nhssc-0350ac</t>
  </si>
  <si>
    <t>10.92.77.77</t>
  </si>
  <si>
    <t>10.92.77.141</t>
  </si>
  <si>
    <t>10.92.78.13</t>
  </si>
  <si>
    <t>10.92.78.77</t>
  </si>
  <si>
    <t>124.245.196.22</t>
  </si>
  <si>
    <t>2001:a7ff:3100:5:0:0:0:6</t>
  </si>
  <si>
    <t>10.92.76.134</t>
  </si>
  <si>
    <t>10.92.76.152</t>
  </si>
  <si>
    <t>10.92.76.168</t>
  </si>
  <si>
    <t>10.92.76.200</t>
  </si>
  <si>
    <t>10.92.76.183</t>
  </si>
  <si>
    <t>10.92.78.141</t>
  </si>
  <si>
    <t>W40206</t>
  </si>
  <si>
    <t>240206</t>
  </si>
  <si>
    <t>W418</t>
  </si>
  <si>
    <t>436</t>
  </si>
  <si>
    <t>高知</t>
  </si>
  <si>
    <t>0880348054</t>
  </si>
  <si>
    <t>w34nhssc-0351ac</t>
  </si>
  <si>
    <t>10.92.77.78</t>
  </si>
  <si>
    <t>10.92.77.142</t>
  </si>
  <si>
    <t>10.92.78.14</t>
  </si>
  <si>
    <t>10.92.78.78</t>
  </si>
  <si>
    <t>10.92.76.153</t>
  </si>
  <si>
    <t>10.92.76.169</t>
  </si>
  <si>
    <t>10.92.76.201</t>
  </si>
  <si>
    <t>10.92.78.142</t>
  </si>
  <si>
    <t>w40htssc-0300ac</t>
  </si>
  <si>
    <t>10.91.111.65</t>
  </si>
  <si>
    <t>10.91.111.129</t>
  </si>
  <si>
    <t>10.91.117.1</t>
  </si>
  <si>
    <t>10.91.117.65</t>
  </si>
  <si>
    <t>124.245.195.4</t>
  </si>
  <si>
    <t>2001:a7ff:4100:4:0:0:0:4</t>
  </si>
  <si>
    <t>10.91.76.4</t>
  </si>
  <si>
    <t>10.91.76.20</t>
  </si>
  <si>
    <t>10.91.76.36</t>
  </si>
  <si>
    <t>10.91.76.68</t>
  </si>
  <si>
    <t>10.91.76.53</t>
  </si>
  <si>
    <t>10.91.117.129</t>
  </si>
  <si>
    <t>W50201</t>
  </si>
  <si>
    <t>250201</t>
  </si>
  <si>
    <t>W513</t>
  </si>
  <si>
    <t>531</t>
  </si>
  <si>
    <t>kysh</t>
  </si>
  <si>
    <t>福岡</t>
  </si>
  <si>
    <t>0948968054</t>
  </si>
  <si>
    <t>w40htssc-0301ac</t>
  </si>
  <si>
    <t>10.91.111.66</t>
  </si>
  <si>
    <t>10.91.111.130</t>
  </si>
  <si>
    <t>10.91.117.2</t>
  </si>
  <si>
    <t>10.91.117.66</t>
  </si>
  <si>
    <t>10.91.76.21</t>
  </si>
  <si>
    <t>10.91.76.37</t>
  </si>
  <si>
    <t>10.91.76.69</t>
  </si>
  <si>
    <t>10.91.117.130</t>
  </si>
  <si>
    <t>w40htssc-0310ac</t>
  </si>
  <si>
    <t>10.91.111.67</t>
  </si>
  <si>
    <t>10.91.111.131</t>
  </si>
  <si>
    <t>10.91.117.3</t>
  </si>
  <si>
    <t>10.91.117.67</t>
  </si>
  <si>
    <t>124.245.195.5</t>
  </si>
  <si>
    <t>2001:a7ff:4100:4:0:0:0:5</t>
  </si>
  <si>
    <t>10.91.76.5</t>
  </si>
  <si>
    <t>10.91.76.22</t>
  </si>
  <si>
    <t>10.91.76.38</t>
  </si>
  <si>
    <t>10.91.76.70</t>
  </si>
  <si>
    <t>10.91.76.54</t>
  </si>
  <si>
    <t>10.91.117.131</t>
  </si>
  <si>
    <t>W50202</t>
  </si>
  <si>
    <t>250202</t>
  </si>
  <si>
    <t>W514</t>
  </si>
  <si>
    <t>532</t>
  </si>
  <si>
    <t>佐賀</t>
  </si>
  <si>
    <t>0952974054</t>
  </si>
  <si>
    <t>w40htssc-0311ac</t>
  </si>
  <si>
    <t>10.91.111.68</t>
  </si>
  <si>
    <t>10.91.111.132</t>
  </si>
  <si>
    <t>10.91.117.4</t>
  </si>
  <si>
    <t>10.91.117.68</t>
  </si>
  <si>
    <t>10.91.76.23</t>
  </si>
  <si>
    <t>10.91.76.39</t>
  </si>
  <si>
    <t>10.91.76.71</t>
  </si>
  <si>
    <t>10.91.117.132</t>
  </si>
  <si>
    <t>w40htssc-0320ac</t>
  </si>
  <si>
    <t>10.91.111.69</t>
  </si>
  <si>
    <t>10.91.111.133</t>
  </si>
  <si>
    <t>10.91.117.5</t>
  </si>
  <si>
    <t>10.91.117.69</t>
  </si>
  <si>
    <t>124.245.195.6</t>
  </si>
  <si>
    <t>2001:a7ff:4100:4:0:0:0:6</t>
  </si>
  <si>
    <t>10.91.76.6</t>
  </si>
  <si>
    <t>10.91.76.24</t>
  </si>
  <si>
    <t>10.91.76.40</t>
  </si>
  <si>
    <t>10.91.76.72</t>
  </si>
  <si>
    <t>10.91.76.55</t>
  </si>
  <si>
    <t>10.91.117.133</t>
  </si>
  <si>
    <t>W50203</t>
  </si>
  <si>
    <t>250203</t>
  </si>
  <si>
    <t>W515</t>
  </si>
  <si>
    <t>533</t>
  </si>
  <si>
    <t>熊本</t>
  </si>
  <si>
    <t>0962287054</t>
  </si>
  <si>
    <t>w40htssc-0321ac</t>
  </si>
  <si>
    <t>10.91.111.70</t>
  </si>
  <si>
    <t>10.91.111.134</t>
  </si>
  <si>
    <t>10.91.117.6</t>
  </si>
  <si>
    <t>10.91.117.70</t>
  </si>
  <si>
    <t>10.91.76.25</t>
  </si>
  <si>
    <t>10.91.76.41</t>
  </si>
  <si>
    <t>10.91.76.73</t>
  </si>
  <si>
    <t>10.91.117.134</t>
  </si>
  <si>
    <t>w40htssc-0330ac</t>
  </si>
  <si>
    <t>10.91.111.73</t>
  </si>
  <si>
    <t>10.91.111.137</t>
  </si>
  <si>
    <t>10.91.117.9</t>
  </si>
  <si>
    <t>10.91.117.73</t>
  </si>
  <si>
    <t>124.245.195.20</t>
  </si>
  <si>
    <t>2001:a7ff:4100:5:0:0:0:4</t>
  </si>
  <si>
    <t>10.91.76.132</t>
  </si>
  <si>
    <t>10.91.76.148</t>
  </si>
  <si>
    <t>10.91.76.164</t>
  </si>
  <si>
    <t>10.91.76.196</t>
  </si>
  <si>
    <t>10.91.76.181</t>
  </si>
  <si>
    <t>10.91.117.137</t>
  </si>
  <si>
    <t>W50204</t>
  </si>
  <si>
    <t>250204</t>
  </si>
  <si>
    <t>W516</t>
  </si>
  <si>
    <t>534</t>
  </si>
  <si>
    <t>宮崎</t>
  </si>
  <si>
    <t>0985897054</t>
  </si>
  <si>
    <t>w40htssc-0331ac</t>
  </si>
  <si>
    <t>10.91.111.74</t>
  </si>
  <si>
    <t>10.91.111.138</t>
  </si>
  <si>
    <t>10.91.117.10</t>
  </si>
  <si>
    <t>10.91.117.74</t>
  </si>
  <si>
    <t>10.91.76.149</t>
  </si>
  <si>
    <t>10.91.76.165</t>
  </si>
  <si>
    <t>10.91.76.197</t>
  </si>
  <si>
    <t>10.91.117.138</t>
  </si>
  <si>
    <t>w40htssc-0340ac</t>
  </si>
  <si>
    <t>10.91.111.75</t>
  </si>
  <si>
    <t>10.91.111.139</t>
  </si>
  <si>
    <t>10.91.117.11</t>
  </si>
  <si>
    <t>10.91.117.75</t>
  </si>
  <si>
    <t>124.245.195.21</t>
  </si>
  <si>
    <t>2001:a7ff:4100:5:0:0:0:5</t>
  </si>
  <si>
    <t>10.91.76.133</t>
  </si>
  <si>
    <t>10.91.76.150</t>
  </si>
  <si>
    <t>10.91.76.166</t>
  </si>
  <si>
    <t>10.91.76.198</t>
  </si>
  <si>
    <t>10.91.76.182</t>
  </si>
  <si>
    <t>10.91.117.139</t>
  </si>
  <si>
    <t>W50205</t>
  </si>
  <si>
    <t>250205</t>
  </si>
  <si>
    <t>W517</t>
  </si>
  <si>
    <t>535</t>
  </si>
  <si>
    <t>鹿児島</t>
  </si>
  <si>
    <t>0991229054</t>
  </si>
  <si>
    <t>w40htssc-0341ac</t>
  </si>
  <si>
    <t>10.91.111.76</t>
  </si>
  <si>
    <t>10.91.111.140</t>
  </si>
  <si>
    <t>10.91.117.12</t>
  </si>
  <si>
    <t>10.91.117.76</t>
  </si>
  <si>
    <t>10.91.76.151</t>
  </si>
  <si>
    <t>10.91.76.167</t>
  </si>
  <si>
    <t>10.91.76.199</t>
  </si>
  <si>
    <t>10.91.117.140</t>
  </si>
  <si>
    <t>w40htssc-0350ac</t>
  </si>
  <si>
    <t>10.91.111.77</t>
  </si>
  <si>
    <t>10.91.111.141</t>
  </si>
  <si>
    <t>10.91.117.13</t>
  </si>
  <si>
    <t>10.91.117.77</t>
  </si>
  <si>
    <t>124.245.195.22</t>
  </si>
  <si>
    <t>2001:a7ff:4100:5:0:0:0:6</t>
  </si>
  <si>
    <t>10.91.76.134</t>
  </si>
  <si>
    <t>10.91.76.152</t>
  </si>
  <si>
    <t>10.91.76.168</t>
  </si>
  <si>
    <t>10.91.76.200</t>
  </si>
  <si>
    <t>10.91.76.183</t>
  </si>
  <si>
    <t>10.91.117.141</t>
  </si>
  <si>
    <t>W50206</t>
  </si>
  <si>
    <t>250206</t>
  </si>
  <si>
    <t>W518</t>
  </si>
  <si>
    <t>536</t>
  </si>
  <si>
    <t>長崎</t>
  </si>
  <si>
    <t>0956769054</t>
  </si>
  <si>
    <t>w40htssc-0351ac</t>
  </si>
  <si>
    <t>10.91.111.78</t>
  </si>
  <si>
    <t>10.91.111.142</t>
  </si>
  <si>
    <t>10.91.117.14</t>
  </si>
  <si>
    <t>10.91.117.78</t>
  </si>
  <si>
    <t>10.91.76.153</t>
  </si>
  <si>
    <t>10.91.76.169</t>
  </si>
  <si>
    <t>10.91.76.201</t>
  </si>
  <si>
    <t>10.91.117.142</t>
  </si>
  <si>
    <t>w40htssc-0400ac</t>
  </si>
  <si>
    <t>10.91.111.81</t>
  </si>
  <si>
    <t>10.91.111.145</t>
  </si>
  <si>
    <t>10.91.117.17</t>
  </si>
  <si>
    <t>10.91.117.81</t>
  </si>
  <si>
    <t>124.245.195.36</t>
  </si>
  <si>
    <t>2001:a7ff:4100:6:0:0:0:4</t>
  </si>
  <si>
    <t>10.91.119.4</t>
  </si>
  <si>
    <t>10.91.119.20</t>
  </si>
  <si>
    <t>10.91.119.36</t>
  </si>
  <si>
    <t>10.91.119.68</t>
  </si>
  <si>
    <t>10.91.119.53</t>
  </si>
  <si>
    <t>10.91.117.145</t>
  </si>
  <si>
    <t>W50207</t>
  </si>
  <si>
    <t>250207</t>
  </si>
  <si>
    <t>W519</t>
  </si>
  <si>
    <t>541</t>
  </si>
  <si>
    <t>大分</t>
  </si>
  <si>
    <t>0972439054</t>
  </si>
  <si>
    <t>w40htssc-0401ac</t>
  </si>
  <si>
    <t>10.91.111.82</t>
  </si>
  <si>
    <t>10.91.111.146</t>
  </si>
  <si>
    <t>10.91.117.18</t>
  </si>
  <si>
    <t>10.91.117.82</t>
  </si>
  <si>
    <t>10.91.119.21</t>
  </si>
  <si>
    <t>10.91.119.37</t>
  </si>
  <si>
    <t>10.91.119.69</t>
  </si>
  <si>
    <t>10.91.117.146</t>
  </si>
  <si>
    <t>w40tjisc-0100ps</t>
  </si>
  <si>
    <t>222.231.240.4</t>
  </si>
  <si>
    <t>2001:a7ff:4100:0:0:0:0:4</t>
  </si>
  <si>
    <t>10.91.65.4</t>
  </si>
  <si>
    <t>10.91.65.36</t>
  </si>
  <si>
    <t>10.91.72.36</t>
  </si>
  <si>
    <t>10.91.72.68</t>
  </si>
  <si>
    <t>10.91.72.135</t>
  </si>
  <si>
    <t>10.91.68.14</t>
  </si>
  <si>
    <t>10.91.72.5</t>
  </si>
  <si>
    <t>w40tjisc-0101ps</t>
  </si>
  <si>
    <t>10.91.65.5</t>
  </si>
  <si>
    <t>10.91.65.37</t>
  </si>
  <si>
    <t>10.91.72.69</t>
  </si>
  <si>
    <t>10.91.72.136</t>
  </si>
  <si>
    <t>10.91.68.15</t>
  </si>
  <si>
    <t>w40tjisc-0110ps</t>
  </si>
  <si>
    <t>222.231.240.5</t>
  </si>
  <si>
    <t>2001:a7ff:4100:0:0:0:0:5</t>
  </si>
  <si>
    <t>10.91.65.6</t>
  </si>
  <si>
    <t>10.91.65.38</t>
  </si>
  <si>
    <t>10.91.72.37</t>
  </si>
  <si>
    <t>10.91.72.70</t>
  </si>
  <si>
    <t>10.91.72.137</t>
  </si>
  <si>
    <t>10.91.68.16</t>
  </si>
  <si>
    <t>10.91.72.6</t>
  </si>
  <si>
    <t>w40tjisc-0111ps</t>
  </si>
  <si>
    <t>10.91.65.7</t>
  </si>
  <si>
    <t>10.91.65.39</t>
  </si>
  <si>
    <t>10.91.72.71</t>
  </si>
  <si>
    <t>10.91.72.138</t>
  </si>
  <si>
    <t>10.91.68.17</t>
  </si>
  <si>
    <t>w40tjisc-0120im</t>
  </si>
  <si>
    <t>222.231.240.6</t>
  </si>
  <si>
    <t>2001:a7ff:4100:0:0:0:0:6</t>
  </si>
  <si>
    <t>10.91.72.38</t>
  </si>
  <si>
    <t>10.91.72.72</t>
  </si>
  <si>
    <t>10.91.72.139</t>
  </si>
  <si>
    <t>10.91.68.18</t>
  </si>
  <si>
    <t>10.91.72.7</t>
  </si>
  <si>
    <t>w40tjisc-0121im</t>
  </si>
  <si>
    <t>10.91.72.73</t>
  </si>
  <si>
    <t>10.91.72.140</t>
  </si>
  <si>
    <t>10.91.68.19</t>
  </si>
  <si>
    <t>w40tjisc-0130ps</t>
  </si>
  <si>
    <t>222.231.240.7</t>
  </si>
  <si>
    <t>2001:a7ff:4100:0:0:0:0:7</t>
  </si>
  <si>
    <t>10.91.65.8</t>
  </si>
  <si>
    <t>10.91.65.40</t>
  </si>
  <si>
    <t>10.91.72.39</t>
  </si>
  <si>
    <t>10.91.72.74</t>
  </si>
  <si>
    <t>10.91.72.141</t>
  </si>
  <si>
    <t>10.91.68.20</t>
  </si>
  <si>
    <t>10.91.72.8</t>
  </si>
  <si>
    <t>w40tjisc-0131ps</t>
  </si>
  <si>
    <t>10.91.65.9</t>
  </si>
  <si>
    <t>10.91.65.41</t>
  </si>
  <si>
    <t>10.91.72.75</t>
  </si>
  <si>
    <t>10.91.72.142</t>
  </si>
  <si>
    <t>10.91.68.21</t>
  </si>
  <si>
    <t>w40tjisc-0a00ps</t>
  </si>
  <si>
    <t>222.231.240.36</t>
  </si>
  <si>
    <t>2001:a7ff:4100:2:0:0:0:4</t>
  </si>
  <si>
    <t>10.91.65.68</t>
  </si>
  <si>
    <t>10.91.65.100</t>
  </si>
  <si>
    <t>10.91.73.36</t>
  </si>
  <si>
    <t>10.91.73.68</t>
  </si>
  <si>
    <t>10.91.73.135</t>
  </si>
  <si>
    <t>10.91.69.14</t>
  </si>
  <si>
    <t>10.91.73.5</t>
  </si>
  <si>
    <t>w40tjisc-0a01ps</t>
  </si>
  <si>
    <t>10.91.65.69</t>
  </si>
  <si>
    <t>10.91.65.101</t>
  </si>
  <si>
    <t>10.91.73.69</t>
  </si>
  <si>
    <t>10.91.73.136</t>
  </si>
  <si>
    <t>10.91.69.15</t>
  </si>
  <si>
    <t>w40tjisc-0a10ps</t>
  </si>
  <si>
    <t>222.231.240.37</t>
  </si>
  <si>
    <t>2001:a7ff:4100:2:0:0:0:5</t>
  </si>
  <si>
    <t>10.91.65.70</t>
  </si>
  <si>
    <t>10.91.65.102</t>
  </si>
  <si>
    <t>10.91.73.37</t>
  </si>
  <si>
    <t>10.91.73.70</t>
  </si>
  <si>
    <t>10.91.73.137</t>
  </si>
  <si>
    <t>10.91.69.16</t>
  </si>
  <si>
    <t>10.91.73.6</t>
  </si>
  <si>
    <t>w40tjisc-0a11ps</t>
  </si>
  <si>
    <t>10.91.65.71</t>
  </si>
  <si>
    <t>10.91.65.103</t>
  </si>
  <si>
    <t>10.91.73.71</t>
  </si>
  <si>
    <t>10.91.73.138</t>
  </si>
  <si>
    <t>10.91.69.17</t>
  </si>
  <si>
    <t>w40tjisc-0a20im</t>
  </si>
  <si>
    <t>222.231.240.38</t>
  </si>
  <si>
    <t>2001:a7ff:4100:2:0:0:0:6</t>
  </si>
  <si>
    <t>10.91.73.38</t>
  </si>
  <si>
    <t>10.91.73.72</t>
  </si>
  <si>
    <t>10.91.73.139</t>
  </si>
  <si>
    <t>10.91.69.18</t>
  </si>
  <si>
    <t>10.91.73.7</t>
  </si>
  <si>
    <t>w40tjisc-0a21im</t>
  </si>
  <si>
    <t>10.91.73.73</t>
  </si>
  <si>
    <t>10.91.73.140</t>
  </si>
  <si>
    <t>10.91.69.19</t>
  </si>
  <si>
    <t>w40tjssc-0100ac</t>
  </si>
  <si>
    <t>10.91.72.42</t>
  </si>
  <si>
    <t>10.91.72.80</t>
  </si>
  <si>
    <t>10.91.72.147</t>
  </si>
  <si>
    <t>10.91.68.26</t>
  </si>
  <si>
    <t>10.91.72.11</t>
  </si>
  <si>
    <t>w40tjssc-0101ac</t>
  </si>
  <si>
    <t>10.91.72.81</t>
  </si>
  <si>
    <t>10.91.72.148</t>
  </si>
  <si>
    <t>10.91.68.27</t>
  </si>
  <si>
    <t>w40tjssc-0110ac</t>
  </si>
  <si>
    <t>10.91.72.43</t>
  </si>
  <si>
    <t>10.91.72.82</t>
  </si>
  <si>
    <t>10.91.72.149</t>
  </si>
  <si>
    <t>10.91.68.28</t>
  </si>
  <si>
    <t>10.91.72.12</t>
  </si>
  <si>
    <t>w40tjssc-0111ac</t>
  </si>
  <si>
    <t>10.91.72.83</t>
  </si>
  <si>
    <t>10.91.72.150</t>
  </si>
  <si>
    <t>10.91.68.29</t>
  </si>
  <si>
    <t>w40tjssc-0120ac</t>
  </si>
  <si>
    <t>10.91.72.44</t>
  </si>
  <si>
    <t>10.91.72.84</t>
  </si>
  <si>
    <t>10.91.72.151</t>
  </si>
  <si>
    <t>10.91.68.30</t>
  </si>
  <si>
    <t>10.91.72.13</t>
  </si>
  <si>
    <t>w40tjssc-0121ac</t>
  </si>
  <si>
    <t>10.91.72.85</t>
  </si>
  <si>
    <t>10.91.72.152</t>
  </si>
  <si>
    <t>10.91.68.31</t>
  </si>
  <si>
    <t>w40tjssc-0130ac</t>
  </si>
  <si>
    <t>10.91.64.25</t>
  </si>
  <si>
    <t>10.91.64.89</t>
  </si>
  <si>
    <t>10.91.66.19</t>
  </si>
  <si>
    <t>10.91.66.83</t>
  </si>
  <si>
    <t>10.91.72.45</t>
  </si>
  <si>
    <t>10.91.72.86</t>
  </si>
  <si>
    <t>10.91.72.153</t>
  </si>
  <si>
    <t>10.91.68.32</t>
  </si>
  <si>
    <t>10.91.72.14</t>
  </si>
  <si>
    <t>10.91.66.147</t>
  </si>
  <si>
    <t>w40tjssc-0131ac</t>
  </si>
  <si>
    <t>10.91.64.26</t>
  </si>
  <si>
    <t>10.91.64.90</t>
  </si>
  <si>
    <t>10.91.66.20</t>
  </si>
  <si>
    <t>10.91.66.84</t>
  </si>
  <si>
    <t>10.91.72.87</t>
  </si>
  <si>
    <t>10.91.72.154</t>
  </si>
  <si>
    <t>10.91.68.33</t>
  </si>
  <si>
    <t>10.91.66.148</t>
  </si>
  <si>
    <t>w40tjssc-0140ac</t>
  </si>
  <si>
    <t>10.91.64.27</t>
  </si>
  <si>
    <t>10.91.64.91</t>
  </si>
  <si>
    <t>10.91.66.21</t>
  </si>
  <si>
    <t>10.91.66.85</t>
  </si>
  <si>
    <t>10.91.72.46</t>
  </si>
  <si>
    <t>10.91.72.88</t>
  </si>
  <si>
    <t>10.91.72.155</t>
  </si>
  <si>
    <t>10.91.68.34</t>
  </si>
  <si>
    <t>10.91.72.15</t>
  </si>
  <si>
    <t>10.91.66.149</t>
  </si>
  <si>
    <t>w40tjssc-0141ac</t>
  </si>
  <si>
    <t>10.91.64.28</t>
  </si>
  <si>
    <t>10.91.64.92</t>
  </si>
  <si>
    <t>10.91.66.22</t>
  </si>
  <si>
    <t>10.91.66.86</t>
  </si>
  <si>
    <t>10.91.72.89</t>
  </si>
  <si>
    <t>10.91.72.156</t>
  </si>
  <si>
    <t>10.91.68.35</t>
  </si>
  <si>
    <t>10.91.66.150</t>
  </si>
  <si>
    <t>w40tjssc-0200ac</t>
  </si>
  <si>
    <t>10.91.64.31</t>
  </si>
  <si>
    <t>10.91.64.95</t>
  </si>
  <si>
    <t>10.91.66.25</t>
  </si>
  <si>
    <t>10.91.66.89</t>
  </si>
  <si>
    <t>10.91.72.48</t>
  </si>
  <si>
    <t>10.91.72.92</t>
  </si>
  <si>
    <t>10.91.72.159</t>
  </si>
  <si>
    <t>10.91.68.38</t>
  </si>
  <si>
    <t>10.91.72.17</t>
  </si>
  <si>
    <t>10.91.66.153</t>
  </si>
  <si>
    <t>w40tjssc-0201ac</t>
  </si>
  <si>
    <t>10.91.64.32</t>
  </si>
  <si>
    <t>10.91.64.96</t>
  </si>
  <si>
    <t>10.91.66.26</t>
  </si>
  <si>
    <t>10.91.66.90</t>
  </si>
  <si>
    <t>10.91.72.93</t>
  </si>
  <si>
    <t>10.91.72.160</t>
  </si>
  <si>
    <t>10.91.68.39</t>
  </si>
  <si>
    <t>10.91.66.154</t>
  </si>
  <si>
    <t>w40tjssc-0210ac</t>
  </si>
  <si>
    <t>10.91.64.33</t>
  </si>
  <si>
    <t>10.91.64.97</t>
  </si>
  <si>
    <t>10.91.66.27</t>
  </si>
  <si>
    <t>10.91.66.91</t>
  </si>
  <si>
    <t>10.91.72.49</t>
  </si>
  <si>
    <t>10.91.72.94</t>
  </si>
  <si>
    <t>10.91.72.161</t>
  </si>
  <si>
    <t>10.91.68.40</t>
  </si>
  <si>
    <t>10.91.72.18</t>
  </si>
  <si>
    <t>10.91.66.155</t>
  </si>
  <si>
    <t>w40tjssc-0211ac</t>
  </si>
  <si>
    <t>10.91.64.34</t>
  </si>
  <si>
    <t>10.91.64.98</t>
  </si>
  <si>
    <t>10.91.66.28</t>
  </si>
  <si>
    <t>10.91.66.92</t>
  </si>
  <si>
    <t>10.91.72.95</t>
  </si>
  <si>
    <t>10.91.72.162</t>
  </si>
  <si>
    <t>10.91.68.41</t>
  </si>
  <si>
    <t>10.91.66.156</t>
  </si>
  <si>
    <t>w40tjssc-0220ac</t>
  </si>
  <si>
    <t>10.91.64.35</t>
  </si>
  <si>
    <t>10.91.64.99</t>
  </si>
  <si>
    <t>10.91.66.29</t>
  </si>
  <si>
    <t>10.91.66.93</t>
  </si>
  <si>
    <t>10.91.72.50</t>
  </si>
  <si>
    <t>10.91.72.96</t>
  </si>
  <si>
    <t>10.91.72.163</t>
  </si>
  <si>
    <t>10.91.68.42</t>
  </si>
  <si>
    <t>10.91.72.19</t>
  </si>
  <si>
    <t>10.91.66.157</t>
  </si>
  <si>
    <t>w40tjssc-0221ac</t>
  </si>
  <si>
    <t>10.91.64.36</t>
  </si>
  <si>
    <t>10.91.64.100</t>
  </si>
  <si>
    <t>10.91.66.30</t>
  </si>
  <si>
    <t>10.91.66.94</t>
  </si>
  <si>
    <t>10.91.72.97</t>
  </si>
  <si>
    <t>10.91.72.164</t>
  </si>
  <si>
    <t>10.91.68.43</t>
  </si>
  <si>
    <t>10.91.66.158</t>
  </si>
  <si>
    <t>w40tjssc-0a00ac</t>
  </si>
  <si>
    <t>10.92.74.36</t>
  </si>
  <si>
    <t>10.92.74.68</t>
  </si>
  <si>
    <t>10.92.74.135</t>
  </si>
  <si>
    <t>10.92.70.14</t>
  </si>
  <si>
    <t>10.92.74.5</t>
  </si>
  <si>
    <t>w40tjssc-0a01ac</t>
  </si>
  <si>
    <t>10.92.74.69</t>
  </si>
  <si>
    <t>10.92.74.136</t>
  </si>
  <si>
    <t>10.92.70.15</t>
  </si>
  <si>
    <t>w40tjssc-0a10ac</t>
  </si>
  <si>
    <t>10.92.74.37</t>
  </si>
  <si>
    <t>10.92.74.70</t>
  </si>
  <si>
    <t>10.92.74.137</t>
  </si>
  <si>
    <t>10.92.70.16</t>
  </si>
  <si>
    <t>10.92.74.6</t>
  </si>
  <si>
    <t>w40tjssc-0a11ac</t>
  </si>
  <si>
    <t>10.92.74.71</t>
  </si>
  <si>
    <t>10.92.74.138</t>
  </si>
  <si>
    <t>10.92.70.17</t>
  </si>
  <si>
    <t>w40tjssc-0a20ac</t>
  </si>
  <si>
    <t>10.92.74.38</t>
  </si>
  <si>
    <t>10.92.74.72</t>
  </si>
  <si>
    <t>10.92.74.139</t>
  </si>
  <si>
    <t>10.92.70.18</t>
  </si>
  <si>
    <t>10.92.74.7</t>
  </si>
  <si>
    <t>w40tjssc-0a21ac</t>
  </si>
  <si>
    <t>10.92.74.73</t>
  </si>
  <si>
    <t>10.92.74.140</t>
  </si>
  <si>
    <t>10.92.70.19</t>
  </si>
  <si>
    <t>w40tjssc-0a30ac</t>
  </si>
  <si>
    <t>10.92.74.39</t>
  </si>
  <si>
    <t>10.92.74.74</t>
  </si>
  <si>
    <t>10.92.74.141</t>
  </si>
  <si>
    <t>10.92.70.20</t>
  </si>
  <si>
    <t>10.92.74.8</t>
  </si>
  <si>
    <t>w40tjssc-0a31ac</t>
  </si>
  <si>
    <t>10.92.74.75</t>
  </si>
  <si>
    <t>10.92.74.142</t>
  </si>
  <si>
    <t>10.92.70.21</t>
  </si>
  <si>
    <t>w40tjssc-0b00ac</t>
  </si>
  <si>
    <t>10.92.74.42</t>
  </si>
  <si>
    <t>10.92.74.80</t>
  </si>
  <si>
    <t>10.92.74.147</t>
  </si>
  <si>
    <t>10.92.70.26</t>
  </si>
  <si>
    <t>10.92.74.11</t>
  </si>
  <si>
    <t>w40tjssc-0b01ac</t>
  </si>
  <si>
    <t>10.92.74.81</t>
  </si>
  <si>
    <t>10.92.74.148</t>
  </si>
  <si>
    <t>10.92.70.27</t>
  </si>
  <si>
    <t>w40tjssc-0b10ac</t>
  </si>
  <si>
    <t>10.92.74.43</t>
  </si>
  <si>
    <t>10.92.74.82</t>
  </si>
  <si>
    <t>10.92.74.149</t>
  </si>
  <si>
    <t>10.92.70.28</t>
  </si>
  <si>
    <t>10.92.74.12</t>
  </si>
  <si>
    <t>w40tjssc-0b11ac</t>
  </si>
  <si>
    <t>10.92.74.83</t>
  </si>
  <si>
    <t>10.92.74.150</t>
  </si>
  <si>
    <t>10.92.70.29</t>
  </si>
  <si>
    <t>w40tjssc-0b20ac</t>
  </si>
  <si>
    <t>10.92.74.44</t>
  </si>
  <si>
    <t>10.92.74.84</t>
  </si>
  <si>
    <t>10.92.74.151</t>
  </si>
  <si>
    <t>10.92.70.30</t>
  </si>
  <si>
    <t>10.92.74.13</t>
  </si>
  <si>
    <t>w40tjssc-0b21ac</t>
  </si>
  <si>
    <t>10.92.74.85</t>
  </si>
  <si>
    <t>10.92.74.152</t>
  </si>
  <si>
    <t>10.92.70.31</t>
  </si>
  <si>
    <t>FSクラスタ名</t>
  </si>
  <si>
    <t>ブロック</t>
  </si>
  <si>
    <t>装置設置府県</t>
  </si>
  <si>
    <t>装置設置ビル</t>
  </si>
  <si>
    <t>F更BU_ビル名</t>
  </si>
  <si>
    <t>F更BU_ビルコード</t>
  </si>
  <si>
    <t>GUI_0系</t>
  </si>
  <si>
    <t>GUI_1系</t>
  </si>
  <si>
    <t>MSW_0系</t>
  </si>
  <si>
    <t>MSW_1系</t>
  </si>
  <si>
    <t>RAID_0系</t>
  </si>
  <si>
    <t>RAID_1系</t>
  </si>
  <si>
    <t>FS_0系</t>
  </si>
  <si>
    <t>FS_1系</t>
  </si>
  <si>
    <t>HFS_0系</t>
  </si>
  <si>
    <t>HFS_1系</t>
  </si>
  <si>
    <t>SBC_CL1_0系</t>
  </si>
  <si>
    <t>SBC_CL1_1系</t>
  </si>
  <si>
    <t>SBC_CL2_0系</t>
  </si>
  <si>
    <t>SBC_CL2_1系</t>
  </si>
  <si>
    <t>SBC_CL3_0系</t>
  </si>
  <si>
    <t>SBC_CL3_1系</t>
  </si>
  <si>
    <t>SBC_CL4_0系</t>
  </si>
  <si>
    <t>SBC_CL4_1系</t>
  </si>
  <si>
    <t>SBC_CL5_0系</t>
  </si>
  <si>
    <t>SBC_CL5_1系</t>
  </si>
  <si>
    <t>SBC_CL6_0系</t>
  </si>
  <si>
    <t>SBC_CL6_1系</t>
  </si>
  <si>
    <t>HSS_CL1_0系</t>
  </si>
  <si>
    <t>HSS_CL1_1系</t>
  </si>
  <si>
    <t>HSS_CL2_0系</t>
  </si>
  <si>
    <t>HSS_CL2_1系</t>
  </si>
  <si>
    <t>HSS_CL3_0系</t>
  </si>
  <si>
    <t>HSS_CL3_1系</t>
  </si>
  <si>
    <t>HSS_CL4_0系</t>
  </si>
  <si>
    <t>HSS_CL4_1系</t>
  </si>
  <si>
    <t>HSS_CL5_0系</t>
  </si>
  <si>
    <t>HSS_CL5_1系</t>
  </si>
  <si>
    <t>HSS_CL6_0系</t>
  </si>
  <si>
    <t>HSS_CL6_1系</t>
  </si>
  <si>
    <t>SCCE#1</t>
  </si>
  <si>
    <t>SCCE#2</t>
  </si>
  <si>
    <t>代表EMS_0系</t>
  </si>
  <si>
    <t>代表EMS_1系</t>
  </si>
  <si>
    <t>同GUIの他FS_0系</t>
  </si>
  <si>
    <t>同GUIの他FS_1系</t>
  </si>
  <si>
    <t>同ブロックの他SSC①_0系</t>
  </si>
  <si>
    <t>同ブロックの他SSC①_1系</t>
  </si>
  <si>
    <t>同ブロックの他SSC②_0系</t>
  </si>
  <si>
    <t>同ブロックの他SSC②_1系</t>
  </si>
  <si>
    <t>同ブロックの他SSC③_0系</t>
  </si>
  <si>
    <t>同ブロックの他SSC③_1系</t>
  </si>
  <si>
    <t>同ブロックのISC自P①_0系</t>
  </si>
  <si>
    <t>同ブロックのISC自P①_1系</t>
  </si>
  <si>
    <t>同ブロックのISC自P②_0系</t>
  </si>
  <si>
    <t>同ブロックのISC自P②_1系</t>
  </si>
  <si>
    <t>同ブロックのISC他①_0系</t>
  </si>
  <si>
    <t>同ブロックのISC他①_1系</t>
  </si>
  <si>
    <t>同ブロックのISC他②_0系</t>
  </si>
  <si>
    <t>同ブロックのISC他②_1系</t>
  </si>
  <si>
    <t>e01s2-fs-020ss</t>
  </si>
  <si>
    <t>検証M</t>
  </si>
  <si>
    <t>東京</t>
  </si>
  <si>
    <t>武蔵野</t>
  </si>
  <si>
    <t>e01s2ssc-0400ac</t>
  </si>
  <si>
    <t>e01s2ssc-0401ac</t>
  </si>
  <si>
    <t>e01s2ssc-0410ac</t>
  </si>
  <si>
    <t>e01s2ssc-0411ac</t>
  </si>
  <si>
    <t>e01s2ssc-0420ac</t>
  </si>
  <si>
    <t>e01s2ssc-0421ac</t>
  </si>
  <si>
    <t>e01s2scce000200</t>
  </si>
  <si>
    <t>e01s2-fs-021ss</t>
  </si>
  <si>
    <t>e01s2ssc-0500ac</t>
  </si>
  <si>
    <t>e01s2ssc-0501ac</t>
  </si>
  <si>
    <t>e01s2scce000400</t>
  </si>
  <si>
    <t>w0cfi-fs-020ss</t>
  </si>
  <si>
    <t>検証C</t>
  </si>
  <si>
    <t>大阪</t>
  </si>
  <si>
    <t>東成</t>
  </si>
  <si>
    <t>w0dfi-fs-011ss</t>
  </si>
  <si>
    <t>w0dfiscce010100</t>
  </si>
  <si>
    <t>w23sh-fs-011is</t>
  </si>
  <si>
    <t>東海</t>
  </si>
  <si>
    <t>愛知</t>
  </si>
  <si>
    <t>東海栄本</t>
  </si>
  <si>
    <t>w23sh-fs-012ss</t>
  </si>
  <si>
    <t>w23sh-fs-041ss</t>
  </si>
  <si>
    <t>w23sh-fs-070ss</t>
  </si>
  <si>
    <t>w23shscce000100</t>
  </si>
  <si>
    <t>w23shscce000200</t>
  </si>
  <si>
    <t>w23sh-fs-a20is</t>
  </si>
  <si>
    <t>w23sh-fs-a30is</t>
  </si>
  <si>
    <t>w23sh-fs-a40is</t>
  </si>
  <si>
    <t>w23sh-fs-a50ss</t>
  </si>
  <si>
    <t>w23sh-fs-a51ss</t>
  </si>
  <si>
    <t>w23sh-fs-a60ss</t>
  </si>
  <si>
    <t>w26km-fs-010ss</t>
  </si>
  <si>
    <t>関西1</t>
  </si>
  <si>
    <t>京都</t>
  </si>
  <si>
    <t>京都南</t>
  </si>
  <si>
    <t>京都ＮＷＣ（京都南ビル）</t>
  </si>
  <si>
    <t>2610700101</t>
  </si>
  <si>
    <t>w27on-fs-010ss</t>
  </si>
  <si>
    <t>日本橋</t>
  </si>
  <si>
    <t>大阪ＮＷＣ（日本橋ビル）</t>
  </si>
  <si>
    <t>w27onscce000300</t>
  </si>
  <si>
    <t>w27onscce000400</t>
  </si>
  <si>
    <t>w27os-fs-031is</t>
  </si>
  <si>
    <t>w27os-fs-032ss</t>
  </si>
  <si>
    <t>w27os-fs-040is</t>
  </si>
  <si>
    <t>w27os-fs-041ss</t>
  </si>
  <si>
    <t>w27os-fs-050ss</t>
  </si>
  <si>
    <t>w27os-fs-051ss</t>
  </si>
  <si>
    <t>w27onscce000100</t>
  </si>
  <si>
    <t>w27os-fs-a60ss</t>
  </si>
  <si>
    <t>w27os-fs-a61ss</t>
  </si>
  <si>
    <t>w28dk-fs-010is</t>
  </si>
  <si>
    <t>関西2</t>
  </si>
  <si>
    <t>兵庫</t>
  </si>
  <si>
    <t>神戸大開</t>
  </si>
  <si>
    <t>w28dk-fs-011ss</t>
  </si>
  <si>
    <t>w28dk-fs-012ss</t>
  </si>
  <si>
    <t>w28dkscce000100</t>
  </si>
  <si>
    <t>w28dkscce000200</t>
  </si>
  <si>
    <t>w28dk-fs-a20is</t>
  </si>
  <si>
    <t>w28kc-fs-010ss</t>
  </si>
  <si>
    <t>神戸中央</t>
  </si>
  <si>
    <t>兵庫ＮＷＣ（神戸中央ビル）</t>
  </si>
  <si>
    <t>2811000104</t>
  </si>
  <si>
    <t>w28kcscce000100</t>
  </si>
  <si>
    <t>w28kcscce000200</t>
  </si>
  <si>
    <t>滋賀</t>
  </si>
  <si>
    <t>滋賀大津</t>
  </si>
  <si>
    <t>滋賀ＮＷＣ（滋賀大津ビル）</t>
  </si>
  <si>
    <t>2520100101</t>
  </si>
  <si>
    <t>w34mm-fs-010is</t>
  </si>
  <si>
    <t>中国・四国</t>
  </si>
  <si>
    <t>中国基町</t>
  </si>
  <si>
    <t>w34mm-fs-011ss</t>
  </si>
  <si>
    <t>w34mm-fs-012ss</t>
  </si>
  <si>
    <t>w34mm-fs-a20is</t>
  </si>
  <si>
    <t>w34mm-fs-a30ss</t>
  </si>
  <si>
    <t>w34mm-fs-a31ss</t>
  </si>
  <si>
    <t>w34nh-fs-040ss</t>
  </si>
  <si>
    <t>仁保</t>
  </si>
  <si>
    <t>中国ＮＷＣ（仁保ビル）</t>
  </si>
  <si>
    <t>3410310701</t>
  </si>
  <si>
    <t>w34nhscce000100</t>
  </si>
  <si>
    <t>w34nhscce000200</t>
  </si>
  <si>
    <t>w40ht-fs-040ss</t>
  </si>
  <si>
    <t>九州</t>
  </si>
  <si>
    <t>博多</t>
  </si>
  <si>
    <t>九州ＮＷＣ（博多ビル）</t>
  </si>
  <si>
    <t>4013200101</t>
  </si>
  <si>
    <t>w40htscce000100</t>
  </si>
  <si>
    <t>w40htscce000200</t>
  </si>
  <si>
    <t>w40ht-fs-041ss</t>
  </si>
  <si>
    <t>w40htscce000300</t>
  </si>
  <si>
    <t>w40tj-fs-010is</t>
  </si>
  <si>
    <t>天神南</t>
  </si>
  <si>
    <t>w40tj-fs-011ss</t>
  </si>
  <si>
    <t>w40tj-fs-012ss</t>
  </si>
  <si>
    <t>w40tj-fs-a20is</t>
  </si>
  <si>
    <t>w40tj-fs-a30ss</t>
  </si>
  <si>
    <t>w40tj-fs-a31ss</t>
  </si>
  <si>
    <t>VLAN「TGEX/0/4」</t>
  </si>
  <si>
    <t>VLAN「TGEX/0/11」</t>
  </si>
  <si>
    <t>VLAN「TGEX/0/18」</t>
  </si>
  <si>
    <t>untagVLAN「TGEX/0/4」</t>
  </si>
  <si>
    <t>untagVLAN「TGEX/0/11」</t>
  </si>
  <si>
    <t>untagVLAN「TGEX/0/18」</t>
  </si>
  <si>
    <t>10.86.145.62</t>
  </si>
  <si>
    <t>10.86.147.62</t>
  </si>
  <si>
    <t>10.207.175.209</t>
  </si>
  <si>
    <t>10.93.68.221</t>
  </si>
  <si>
    <t>10.93.68.222</t>
  </si>
  <si>
    <t>10.250.82.126</t>
  </si>
  <si>
    <t>9,112,113,620,622,624,626,628</t>
  </si>
  <si>
    <t>10.250.82.254</t>
  </si>
  <si>
    <t>8115</t>
  </si>
  <si>
    <t>9,114,115,621,623,625,627,629</t>
  </si>
  <si>
    <t>10.95.67.189</t>
  </si>
  <si>
    <t>10.250.80.126</t>
  </si>
  <si>
    <t>10.250.80.254</t>
  </si>
  <si>
    <t>10.94.68.125</t>
  </si>
  <si>
    <t>10.94.68.126</t>
  </si>
  <si>
    <t>10.199.112.126</t>
  </si>
  <si>
    <t>10.199.112.254</t>
  </si>
  <si>
    <t>10.199.114.126</t>
  </si>
  <si>
    <t>10.199.114.254</t>
  </si>
  <si>
    <t>10.92.76.126</t>
  </si>
  <si>
    <t>9,172,173,680,682,684,686,688</t>
  </si>
  <si>
    <t>10.92.76.254</t>
  </si>
  <si>
    <t>9,174,175,681,683,685,687,689</t>
  </si>
  <si>
    <t>10.91.76.126</t>
  </si>
  <si>
    <t>10.91.76.254</t>
  </si>
  <si>
    <t>10.91.119.126</t>
  </si>
  <si>
    <t>9,176,177,690,692,694,696,698</t>
  </si>
  <si>
    <t>工事対象FS</t>
    <rPh sb="0" eb="4">
      <t>コウジタイショウ</t>
    </rPh>
    <phoneticPr fontId="1"/>
  </si>
  <si>
    <t>ログイン装置名
(マシンタイム等の予約に使う)</t>
    <rPh sb="4" eb="7">
      <t>ソウチメイ</t>
    </rPh>
    <rPh sb="15" eb="16">
      <t>トウ</t>
    </rPh>
    <rPh sb="17" eb="19">
      <t>ヨヤク</t>
    </rPh>
    <rPh sb="20" eb="21">
      <t>ツカ</t>
    </rPh>
    <phoneticPr fontId="1"/>
  </si>
  <si>
    <t>対象ホスト名</t>
    <rPh sb="0" eb="2">
      <t>タイショウ</t>
    </rPh>
    <rPh sb="5" eb="6">
      <t>メイ</t>
    </rPh>
    <phoneticPr fontId="16"/>
  </si>
  <si>
    <t>工事対象ユニット構成</t>
    <rPh sb="0" eb="4">
      <t>コウジタイショウ</t>
    </rPh>
    <rPh sb="8" eb="10">
      <t>コウセイ</t>
    </rPh>
    <phoneticPr fontId="1"/>
  </si>
  <si>
    <t>FSクラスタ名</t>
    <rPh sb="6" eb="7">
      <t>メイ</t>
    </rPh>
    <phoneticPr fontId="1"/>
  </si>
  <si>
    <t>装置設置府県</t>
    <rPh sb="0" eb="4">
      <t>ソウチセッチ</t>
    </rPh>
    <rPh sb="4" eb="6">
      <t>フケン</t>
    </rPh>
    <phoneticPr fontId="1"/>
  </si>
  <si>
    <t>装置設置ビル</t>
    <rPh sb="0" eb="4">
      <t>ソウチセッチ</t>
    </rPh>
    <phoneticPr fontId="1"/>
  </si>
  <si>
    <t>GUI</t>
    <phoneticPr fontId="1"/>
  </si>
  <si>
    <t>MSW</t>
  </si>
  <si>
    <t>MSW_0系</t>
    <rPh sb="5" eb="6">
      <t>ケイ</t>
    </rPh>
    <phoneticPr fontId="1"/>
  </si>
  <si>
    <t>MSW_1系</t>
    <rPh sb="5" eb="6">
      <t>ケイ</t>
    </rPh>
    <phoneticPr fontId="1"/>
  </si>
  <si>
    <t>RAID</t>
    <phoneticPr fontId="1"/>
  </si>
  <si>
    <t>RAID_0系</t>
    <rPh sb="6" eb="7">
      <t>ケイ</t>
    </rPh>
    <phoneticPr fontId="1"/>
  </si>
  <si>
    <t>RAID_1系</t>
    <rPh sb="6" eb="7">
      <t>ケイ</t>
    </rPh>
    <phoneticPr fontId="1"/>
  </si>
  <si>
    <t>FS</t>
    <phoneticPr fontId="1"/>
  </si>
  <si>
    <t>FS_0系</t>
    <rPh sb="4" eb="5">
      <t>ケイ</t>
    </rPh>
    <phoneticPr fontId="1"/>
  </si>
  <si>
    <t>FS_1系</t>
    <rPh sb="4" eb="5">
      <t>ケイ</t>
    </rPh>
    <phoneticPr fontId="1"/>
  </si>
  <si>
    <t>外部EMSアラーム用フローティングIPアドレス</t>
    <phoneticPr fontId="1"/>
  </si>
  <si>
    <t>HFS</t>
    <phoneticPr fontId="1"/>
  </si>
  <si>
    <t>HFS_0系</t>
    <rPh sb="5" eb="6">
      <t>ケイ</t>
    </rPh>
    <phoneticPr fontId="1"/>
  </si>
  <si>
    <t>HFS_1系</t>
    <rPh sb="5" eb="6">
      <t>ケイ</t>
    </rPh>
    <phoneticPr fontId="1"/>
  </si>
  <si>
    <t>ホスト-ゲスト用 IPアドレス</t>
    <rPh sb="7" eb="8">
      <t>ヨウ</t>
    </rPh>
    <phoneticPr fontId="29"/>
  </si>
  <si>
    <t>iLO用 IPアドレス</t>
    <rPh sb="3" eb="4">
      <t>ヨウ</t>
    </rPh>
    <phoneticPr fontId="29"/>
  </si>
  <si>
    <t>SSC/ISC</t>
    <phoneticPr fontId="1"/>
  </si>
  <si>
    <t>SBC_CL1_0系</t>
    <rPh sb="9" eb="10">
      <t>ケイ</t>
    </rPh>
    <phoneticPr fontId="1"/>
  </si>
  <si>
    <t>SBC_CL1_1系</t>
    <rPh sb="9" eb="10">
      <t>ケイ</t>
    </rPh>
    <phoneticPr fontId="1"/>
  </si>
  <si>
    <t>呼処理用フローティングIPアドレス</t>
    <rPh sb="0" eb="1">
      <t>コ</t>
    </rPh>
    <rPh sb="1" eb="3">
      <t>ショリ</t>
    </rPh>
    <phoneticPr fontId="29"/>
  </si>
  <si>
    <t>呼処理用フローティングIPアドレス（ｖ６）</t>
    <rPh sb="0" eb="1">
      <t>コ</t>
    </rPh>
    <rPh sb="1" eb="3">
      <t>ショリ</t>
    </rPh>
    <phoneticPr fontId="29"/>
  </si>
  <si>
    <t>コマンド用フローティングIPアドレス</t>
    <rPh sb="4" eb="5">
      <t>ヨウ</t>
    </rPh>
    <phoneticPr fontId="29"/>
  </si>
  <si>
    <t>保守アラーム用LANフローティングIPアドレス</t>
    <rPh sb="0" eb="2">
      <t>ホシュ</t>
    </rPh>
    <rPh sb="6" eb="7">
      <t>ヨウ</t>
    </rPh>
    <phoneticPr fontId="29"/>
  </si>
  <si>
    <t>リモートシェルコマンド用フローティングIPアドレス</t>
    <rPh sb="11" eb="12">
      <t>ヨウ</t>
    </rPh>
    <phoneticPr fontId="29"/>
  </si>
  <si>
    <t>NTP向けフローティングIPアドレス</t>
    <rPh sb="3" eb="4">
      <t>ム</t>
    </rPh>
    <phoneticPr fontId="29"/>
  </si>
  <si>
    <t>住所情報装置向けフローティングIPアドレス</t>
    <rPh sb="0" eb="2">
      <t>ジュウショ</t>
    </rPh>
    <rPh sb="2" eb="4">
      <t>ジョウホウ</t>
    </rPh>
    <rPh sb="4" eb="6">
      <t>ソウチ</t>
    </rPh>
    <rPh sb="6" eb="7">
      <t>ム</t>
    </rPh>
    <phoneticPr fontId="29"/>
  </si>
  <si>
    <t>運用データ転送用フローティングIPアドレス</t>
    <rPh sb="7" eb="8">
      <t>ヨウ</t>
    </rPh>
    <phoneticPr fontId="29"/>
  </si>
  <si>
    <t>HSS</t>
    <phoneticPr fontId="1"/>
  </si>
  <si>
    <t>HSS_CL1_0系</t>
    <phoneticPr fontId="1"/>
  </si>
  <si>
    <t>SCCE</t>
    <phoneticPr fontId="1"/>
  </si>
  <si>
    <t>SCCE#1</t>
    <phoneticPr fontId="1"/>
  </si>
  <si>
    <t>代表EMS</t>
    <phoneticPr fontId="1"/>
  </si>
  <si>
    <t>代表EMS_0系</t>
    <rPh sb="0" eb="2">
      <t>ダイヒョウ</t>
    </rPh>
    <rPh sb="7" eb="8">
      <t>ケイ</t>
    </rPh>
    <phoneticPr fontId="1"/>
  </si>
  <si>
    <t>代表EMS_1系</t>
    <rPh sb="0" eb="2">
      <t>ダイヒョウ</t>
    </rPh>
    <rPh sb="7" eb="8">
      <t>ケイ</t>
    </rPh>
    <phoneticPr fontId="1"/>
  </si>
  <si>
    <t>同ブロックの他SSC</t>
    <rPh sb="0" eb="1">
      <t>オナ</t>
    </rPh>
    <rPh sb="6" eb="7">
      <t>タ</t>
    </rPh>
    <phoneticPr fontId="1"/>
  </si>
  <si>
    <t>同ブロックの他SSC①_0系</t>
    <rPh sb="13" eb="14">
      <t>ケイ</t>
    </rPh>
    <phoneticPr fontId="1"/>
  </si>
  <si>
    <t>同ブロックの他SSC①_1系</t>
    <rPh sb="13" eb="14">
      <t>ケイ</t>
    </rPh>
    <phoneticPr fontId="1"/>
  </si>
  <si>
    <t>同ブロックの他SSC②_0系</t>
    <rPh sb="13" eb="14">
      <t>ケイ</t>
    </rPh>
    <phoneticPr fontId="1"/>
  </si>
  <si>
    <t>同ブロックの他SSC②_1系</t>
    <rPh sb="13" eb="14">
      <t>ケイ</t>
    </rPh>
    <phoneticPr fontId="1"/>
  </si>
  <si>
    <t>同ブロックの他SSC③_0系</t>
    <rPh sb="13" eb="14">
      <t>ケイ</t>
    </rPh>
    <phoneticPr fontId="1"/>
  </si>
  <si>
    <t>同ブロックの他SSC③_1系</t>
    <rPh sb="13" eb="14">
      <t>ケイ</t>
    </rPh>
    <phoneticPr fontId="1"/>
  </si>
  <si>
    <t>同ブロックのISC自P</t>
    <rPh sb="0" eb="1">
      <t>ドウ</t>
    </rPh>
    <rPh sb="9" eb="10">
      <t>ジ</t>
    </rPh>
    <phoneticPr fontId="1"/>
  </si>
  <si>
    <t>同ブロックのISC他</t>
    <rPh sb="0" eb="1">
      <t>ドウ</t>
    </rPh>
    <rPh sb="9" eb="10">
      <t>タ</t>
    </rPh>
    <phoneticPr fontId="1"/>
  </si>
  <si>
    <t>同ブロックのISC他①_0系</t>
    <rPh sb="13" eb="14">
      <t>ケイ</t>
    </rPh>
    <phoneticPr fontId="1"/>
  </si>
  <si>
    <t>同ブロックのISC他①_1系</t>
    <rPh sb="13" eb="14">
      <t>ケイ</t>
    </rPh>
    <phoneticPr fontId="1"/>
  </si>
  <si>
    <t>同ブロックのISC他②_0系</t>
    <rPh sb="13" eb="14">
      <t>ケイ</t>
    </rPh>
    <phoneticPr fontId="1"/>
  </si>
  <si>
    <t>同ブロックのISC他②_1系</t>
    <rPh sb="13" eb="14">
      <t>ケイ</t>
    </rPh>
    <phoneticPr fontId="1"/>
  </si>
  <si>
    <t>同GUIの他FS</t>
    <rPh sb="5" eb="6">
      <t>ホカ</t>
    </rPh>
    <phoneticPr fontId="1"/>
  </si>
  <si>
    <t>同GUIの他FS_0系</t>
    <rPh sb="0" eb="1">
      <t>オナ</t>
    </rPh>
    <rPh sb="5" eb="6">
      <t>ホカ</t>
    </rPh>
    <rPh sb="10" eb="11">
      <t>ケイ</t>
    </rPh>
    <phoneticPr fontId="1"/>
  </si>
  <si>
    <t>同GUIの他FS_1系</t>
    <rPh sb="0" eb="1">
      <t>オナ22</t>
    </rPh>
    <rPh sb="5" eb="6">
      <t>ホカ</t>
    </rPh>
    <phoneticPr fontId="1"/>
  </si>
  <si>
    <t>工事ログ保管フォルダ</t>
  </si>
  <si>
    <t>VLAN「TGEX/0/6」</t>
  </si>
  <si>
    <t>VLAN「TGEX/0/13」</t>
  </si>
  <si>
    <t>VLAN「TGEX/0/20」</t>
  </si>
  <si>
    <t>untagVLAN「TGEX/0/6」</t>
  </si>
  <si>
    <t>untagVLAN「TGEX/0/13」</t>
  </si>
  <si>
    <t>untagVLAN「TGEX/0/20」</t>
  </si>
  <si>
    <t>w26mnm----tts-000800</t>
  </si>
  <si>
    <t>w27snpnbs-tts-001100</t>
  </si>
  <si>
    <t>-_x000D_
-</t>
  </si>
  <si>
    <t>w25sg-fs-010ss</t>
  </si>
  <si>
    <t>w25sggui-0100p2</t>
  </si>
  <si>
    <t>w25sggui-0101p2</t>
  </si>
  <si>
    <t>w25sgemsw010000</t>
  </si>
  <si>
    <t>w25sgemsw010100</t>
  </si>
  <si>
    <t>w25sg-fr-0100ss</t>
  </si>
  <si>
    <t>w25sg-fr-0101ss</t>
  </si>
  <si>
    <t>w25sg-fs-0100ss</t>
  </si>
  <si>
    <t>w25sg-fs-0101ss</t>
  </si>
  <si>
    <t>w25sghfs-0100ss</t>
  </si>
  <si>
    <t>w25sghfs-0101ss</t>
  </si>
  <si>
    <t>w25sgssc-0100ac</t>
  </si>
  <si>
    <t>w25sgssc-0101ac</t>
  </si>
  <si>
    <t>w25sgssc-0110ac</t>
  </si>
  <si>
    <t>w25sgssc-0111ac</t>
  </si>
  <si>
    <t>w25sgssc-0120ac</t>
  </si>
  <si>
    <t>w25sgssc-0121ac</t>
  </si>
  <si>
    <t>w25sgssc-0130ac</t>
  </si>
  <si>
    <t>w25sgssc-0131ac</t>
  </si>
  <si>
    <t>w25sgssc-0140ac</t>
  </si>
  <si>
    <t>w25sgssc-0141ac</t>
  </si>
  <si>
    <t>w25sghss-0100ss</t>
  </si>
  <si>
    <t>w25sghss-0101ss</t>
  </si>
  <si>
    <t>w25sghss-0110ss</t>
  </si>
  <si>
    <t>w25sghss-0111ss</t>
  </si>
  <si>
    <t>w25sghss-0120ss</t>
  </si>
  <si>
    <t>w25sghss-0121ss</t>
  </si>
  <si>
    <t>w25sghss-0130ss</t>
  </si>
  <si>
    <t>w25sghss-0131ss</t>
  </si>
  <si>
    <t>w25sghss-0140ss</t>
  </si>
  <si>
    <t>w25sghss-0141ss</t>
  </si>
  <si>
    <t>w25sgscce000100</t>
  </si>
  <si>
    <t>w25sgscce000200</t>
  </si>
  <si>
    <t>w25shgot--tts-001300</t>
  </si>
  <si>
    <t>10.94.206.30</t>
  </si>
  <si>
    <t>w25shgot--tts001300</t>
  </si>
  <si>
    <t>19</t>
  </si>
  <si>
    <t>23</t>
  </si>
  <si>
    <t>8116</t>
  </si>
  <si>
    <t>w26kmscce000300</t>
  </si>
  <si>
    <t>w26kmscce000400</t>
  </si>
  <si>
    <t>W30201</t>
  </si>
  <si>
    <t>230201</t>
  </si>
  <si>
    <t>W313</t>
  </si>
  <si>
    <t>331</t>
  </si>
  <si>
    <t>W30202</t>
  </si>
  <si>
    <t>230202</t>
  </si>
  <si>
    <t>W314</t>
  </si>
  <si>
    <t>332</t>
  </si>
  <si>
    <t>W30203</t>
  </si>
  <si>
    <t>230203</t>
  </si>
  <si>
    <t>W315</t>
  </si>
  <si>
    <t>333</t>
  </si>
  <si>
    <t>W30204</t>
  </si>
  <si>
    <t>230204</t>
  </si>
  <si>
    <t>W316</t>
  </si>
  <si>
    <t>334</t>
  </si>
  <si>
    <t>W30205</t>
  </si>
  <si>
    <t>230205</t>
  </si>
  <si>
    <t>W317</t>
  </si>
  <si>
    <t>335</t>
  </si>
  <si>
    <t>対象装置確認</t>
    <rPh sb="0" eb="6">
      <t>タイショウソウチカクニン</t>
    </rPh>
    <phoneticPr fontId="1"/>
  </si>
  <si>
    <t>対象装置へログイン</t>
    <rPh sb="0" eb="2">
      <t>タイショウ</t>
    </rPh>
    <rPh sb="2" eb="4">
      <t>ソウチ</t>
    </rPh>
    <phoneticPr fontId="1"/>
  </si>
  <si>
    <t>w33ok-fs-0100ss</t>
  </si>
  <si>
    <t>10.171.88.1</t>
  </si>
  <si>
    <t>10.171.88.17</t>
  </si>
  <si>
    <t>10.171.88.9</t>
  </si>
  <si>
    <t>10.171.88.25</t>
  </si>
  <si>
    <t>10.171.85.100</t>
  </si>
  <si>
    <t>10.171.85.116</t>
  </si>
  <si>
    <t>10.171.85.52</t>
  </si>
  <si>
    <t>10.171.85.132</t>
  </si>
  <si>
    <t>10.171.85.148</t>
  </si>
  <si>
    <t>10.171.85.38</t>
  </si>
  <si>
    <t>10.171.85.7</t>
  </si>
  <si>
    <t>10.171.85.103</t>
  </si>
  <si>
    <t>w33ok-fs-0101ss</t>
  </si>
  <si>
    <t>10.171.88.2</t>
  </si>
  <si>
    <t>10.171.88.18</t>
  </si>
  <si>
    <t>10.171.88.10</t>
  </si>
  <si>
    <t>10.171.88.26</t>
  </si>
  <si>
    <t>10.171.85.117</t>
  </si>
  <si>
    <t>10.171.85.8</t>
  </si>
  <si>
    <t>w33ok-fs-0110ss</t>
  </si>
  <si>
    <t>10.171.88.3</t>
  </si>
  <si>
    <t>10.171.88.19</t>
  </si>
  <si>
    <t>10.171.88.11</t>
  </si>
  <si>
    <t>10.171.88.27</t>
  </si>
  <si>
    <t>10.171.85.101</t>
  </si>
  <si>
    <t>10.171.85.118</t>
  </si>
  <si>
    <t>10.171.85.53</t>
  </si>
  <si>
    <t>10.171.85.133</t>
  </si>
  <si>
    <t>10.171.85.149</t>
  </si>
  <si>
    <t>10.171.85.39</t>
  </si>
  <si>
    <t>10.171.85.9</t>
  </si>
  <si>
    <t>10.171.85.104</t>
  </si>
  <si>
    <t>w33ok-fs-0111ss</t>
  </si>
  <si>
    <t>10.171.88.4</t>
  </si>
  <si>
    <t>10.171.88.20</t>
  </si>
  <si>
    <t>10.171.88.12</t>
  </si>
  <si>
    <t>10.171.88.28</t>
  </si>
  <si>
    <t>10.171.85.119</t>
  </si>
  <si>
    <t>10.171.85.10</t>
  </si>
  <si>
    <t>10.94.0.3</t>
  </si>
  <si>
    <t>w33okgui-0100p2</t>
  </si>
  <si>
    <t>10.171.85.36</t>
  </si>
  <si>
    <t>10.171.85.5</t>
  </si>
  <si>
    <t>10.171.85.4</t>
  </si>
  <si>
    <t>10.171.85.74</t>
  </si>
  <si>
    <t>中四国クロス電話vSSC用</t>
  </si>
  <si>
    <t>w33okymhg-tts-001500</t>
  </si>
  <si>
    <t>10.197.153.3</t>
  </si>
  <si>
    <t>20</t>
  </si>
  <si>
    <t>w33okgui-0101p2</t>
  </si>
  <si>
    <t>10.171.85.37</t>
  </si>
  <si>
    <t>10.171.85.6</t>
  </si>
  <si>
    <t>10.171.85.75</t>
  </si>
  <si>
    <t>w33okemsw010000</t>
  </si>
  <si>
    <t>10.171.85.138</t>
  </si>
  <si>
    <t>w33okemsw010100</t>
  </si>
  <si>
    <t>10.171.85.154</t>
  </si>
  <si>
    <t>w33okhfs-0100ss</t>
  </si>
  <si>
    <t>10.171.85.68</t>
  </si>
  <si>
    <t>10.171.85.55</t>
  </si>
  <si>
    <t>10.171.85.13</t>
  </si>
  <si>
    <t>10.171.85.76</t>
  </si>
  <si>
    <t>w33okhfs-0101ss</t>
  </si>
  <si>
    <t>10.171.85.69</t>
  </si>
  <si>
    <t>10.171.85.56</t>
  </si>
  <si>
    <t>10.171.85.14</t>
  </si>
  <si>
    <t>10.171.85.77</t>
  </si>
  <si>
    <t>w33okhfs-0110ss</t>
  </si>
  <si>
    <t>10.171.85.70</t>
  </si>
  <si>
    <t>10.171.85.57</t>
  </si>
  <si>
    <t>10.171.85.15</t>
  </si>
  <si>
    <t>10.171.85.78</t>
  </si>
  <si>
    <t>w33okhfs-0111ss</t>
  </si>
  <si>
    <t>10.171.85.71</t>
  </si>
  <si>
    <t>10.171.85.58</t>
  </si>
  <si>
    <t>10.171.85.16</t>
  </si>
  <si>
    <t>10.171.85.79</t>
  </si>
  <si>
    <t>w33okhss-0100ss</t>
  </si>
  <si>
    <t>10.171.83.100</t>
  </si>
  <si>
    <t>10.171.83.7</t>
  </si>
  <si>
    <t>10.171.83.74</t>
  </si>
  <si>
    <t>10.171.83.106</t>
  </si>
  <si>
    <t>10.171.83.97</t>
  </si>
  <si>
    <t>w33okhss-0101ss</t>
  </si>
  <si>
    <t>10.171.83.101</t>
  </si>
  <si>
    <t>10.171.83.8</t>
  </si>
  <si>
    <t>10.171.83.75</t>
  </si>
  <si>
    <t>10.171.83.107</t>
  </si>
  <si>
    <t>w33okhss-0110ss</t>
  </si>
  <si>
    <t>10.171.83.102</t>
  </si>
  <si>
    <t>10.171.83.9</t>
  </si>
  <si>
    <t>10.171.83.76</t>
  </si>
  <si>
    <t>10.171.83.108</t>
  </si>
  <si>
    <t>w33okhss-0111ss</t>
  </si>
  <si>
    <t>10.171.83.103</t>
  </si>
  <si>
    <t>10.171.83.10</t>
  </si>
  <si>
    <t>10.171.83.77</t>
  </si>
  <si>
    <t>10.171.83.109</t>
  </si>
  <si>
    <t>w33okhss-0120ss</t>
  </si>
  <si>
    <t>10.171.83.104</t>
  </si>
  <si>
    <t>10.171.83.11</t>
  </si>
  <si>
    <t>10.171.83.78</t>
  </si>
  <si>
    <t>10.171.83.110</t>
  </si>
  <si>
    <t>w33okhss-0121ss</t>
  </si>
  <si>
    <t>10.171.83.105</t>
  </si>
  <si>
    <t>10.171.83.12</t>
  </si>
  <si>
    <t>10.171.83.79</t>
  </si>
  <si>
    <t>10.171.83.111</t>
  </si>
  <si>
    <t>w33okhss-0130ss</t>
  </si>
  <si>
    <t>10.171.83.228</t>
  </si>
  <si>
    <t>10.171.83.135</t>
  </si>
  <si>
    <t>10.171.83.202</t>
  </si>
  <si>
    <t>10.171.83.234</t>
  </si>
  <si>
    <t>10.171.83.225</t>
  </si>
  <si>
    <t>w33okhss-0131ss</t>
  </si>
  <si>
    <t>10.171.83.229</t>
  </si>
  <si>
    <t>10.171.83.136</t>
  </si>
  <si>
    <t>10.171.83.203</t>
  </si>
  <si>
    <t>10.171.83.235</t>
  </si>
  <si>
    <t>w33okhss-0140ss</t>
  </si>
  <si>
    <t>10.171.83.230</t>
  </si>
  <si>
    <t>10.171.83.137</t>
  </si>
  <si>
    <t>10.171.83.204</t>
  </si>
  <si>
    <t>10.171.83.236</t>
  </si>
  <si>
    <t>w33okhss-0141ss</t>
  </si>
  <si>
    <t>10.171.83.231</t>
  </si>
  <si>
    <t>10.171.83.138</t>
  </si>
  <si>
    <t>10.171.83.205</t>
  </si>
  <si>
    <t>10.171.83.237</t>
  </si>
  <si>
    <t>w33okhss-0150ss</t>
  </si>
  <si>
    <t>10.171.83.232</t>
  </si>
  <si>
    <t>10.171.83.139</t>
  </si>
  <si>
    <t>10.171.83.206</t>
  </si>
  <si>
    <t>10.171.83.238</t>
  </si>
  <si>
    <t>w33okhss-0151ss</t>
  </si>
  <si>
    <t>10.171.83.233</t>
  </si>
  <si>
    <t>10.171.83.140</t>
  </si>
  <si>
    <t>10.171.83.207</t>
  </si>
  <si>
    <t>10.171.83.239</t>
  </si>
  <si>
    <t>w33okhss-0200ss</t>
  </si>
  <si>
    <t>10.171.84.100</t>
  </si>
  <si>
    <t>10.171.84.7</t>
  </si>
  <si>
    <t>10.171.84.74</t>
  </si>
  <si>
    <t>10.171.84.106</t>
  </si>
  <si>
    <t>10.171.84.97</t>
  </si>
  <si>
    <t>w33okhss-0201ss</t>
  </si>
  <si>
    <t>10.171.84.101</t>
  </si>
  <si>
    <t>10.171.84.8</t>
  </si>
  <si>
    <t>10.171.84.75</t>
  </si>
  <si>
    <t>10.171.84.107</t>
  </si>
  <si>
    <t>w33okssc-0100ac</t>
  </si>
  <si>
    <t>10.171.88.65</t>
  </si>
  <si>
    <t>10.171.88.129</t>
  </si>
  <si>
    <t>10.171.89.1</t>
  </si>
  <si>
    <t>10.171.89.65</t>
  </si>
  <si>
    <t>210.233.244.132</t>
  </si>
  <si>
    <t>2001:a7ff:3100:40:0:0:0:4</t>
  </si>
  <si>
    <t>10.171.83.4</t>
  </si>
  <si>
    <t>10.171.83.20</t>
  </si>
  <si>
    <t>10.171.83.36</t>
  </si>
  <si>
    <t>10.171.83.68</t>
  </si>
  <si>
    <t>10.171.83.53</t>
  </si>
  <si>
    <t>10.171.89.129</t>
  </si>
  <si>
    <t>W40301</t>
  </si>
  <si>
    <t>240301</t>
  </si>
  <si>
    <t>W419</t>
  </si>
  <si>
    <t>441</t>
  </si>
  <si>
    <t>w33okssc-0101ac</t>
  </si>
  <si>
    <t>10.171.88.66</t>
  </si>
  <si>
    <t>10.171.88.130</t>
  </si>
  <si>
    <t>10.171.89.2</t>
  </si>
  <si>
    <t>10.171.89.66</t>
  </si>
  <si>
    <t>10.171.83.21</t>
  </si>
  <si>
    <t>10.171.83.37</t>
  </si>
  <si>
    <t>10.171.83.69</t>
  </si>
  <si>
    <t>10.171.89.130</t>
  </si>
  <si>
    <t>w33okssc-0110ac</t>
  </si>
  <si>
    <t>10.171.88.67</t>
  </si>
  <si>
    <t>10.171.88.131</t>
  </si>
  <si>
    <t>10.171.89.3</t>
  </si>
  <si>
    <t>10.171.89.67</t>
  </si>
  <si>
    <t>210.233.244.133</t>
  </si>
  <si>
    <t>2001:a7ff:3100:40:0:0:0:5</t>
  </si>
  <si>
    <t>10.171.83.5</t>
  </si>
  <si>
    <t>10.171.83.22</t>
  </si>
  <si>
    <t>10.171.83.38</t>
  </si>
  <si>
    <t>10.171.83.70</t>
  </si>
  <si>
    <t>10.171.83.54</t>
  </si>
  <si>
    <t>10.171.89.131</t>
  </si>
  <si>
    <t>W40302</t>
  </si>
  <si>
    <t>240302</t>
  </si>
  <si>
    <t>W420</t>
  </si>
  <si>
    <t>442</t>
  </si>
  <si>
    <t>w33okssc-0111ac</t>
  </si>
  <si>
    <t>10.171.88.68</t>
  </si>
  <si>
    <t>10.171.88.132</t>
  </si>
  <si>
    <t>10.171.89.4</t>
  </si>
  <si>
    <t>10.171.89.68</t>
  </si>
  <si>
    <t>10.171.83.23</t>
  </si>
  <si>
    <t>10.171.83.39</t>
  </si>
  <si>
    <t>10.171.83.71</t>
  </si>
  <si>
    <t>10.171.89.132</t>
  </si>
  <si>
    <t>w33okssc-0120ac</t>
  </si>
  <si>
    <t>10.171.88.69</t>
  </si>
  <si>
    <t>10.171.88.133</t>
  </si>
  <si>
    <t>10.171.89.5</t>
  </si>
  <si>
    <t>10.171.89.69</t>
  </si>
  <si>
    <t>210.233.244.134</t>
  </si>
  <si>
    <t>2001:a7ff:3100:40:0:0:0:6</t>
  </si>
  <si>
    <t>10.171.83.6</t>
  </si>
  <si>
    <t>10.171.83.24</t>
  </si>
  <si>
    <t>10.171.83.40</t>
  </si>
  <si>
    <t>10.171.83.72</t>
  </si>
  <si>
    <t>10.171.83.55</t>
  </si>
  <si>
    <t>10.171.89.133</t>
  </si>
  <si>
    <t>W40303</t>
  </si>
  <si>
    <t>240303</t>
  </si>
  <si>
    <t>W421</t>
  </si>
  <si>
    <t>443</t>
  </si>
  <si>
    <t>w33okssc-0121ac</t>
  </si>
  <si>
    <t>10.171.88.70</t>
  </si>
  <si>
    <t>10.171.88.134</t>
  </si>
  <si>
    <t>10.171.89.6</t>
  </si>
  <si>
    <t>10.171.89.70</t>
  </si>
  <si>
    <t>10.171.83.25</t>
  </si>
  <si>
    <t>10.171.83.41</t>
  </si>
  <si>
    <t>10.171.83.73</t>
  </si>
  <si>
    <t>10.171.89.134</t>
  </si>
  <si>
    <t>w33okssc-0130ac</t>
  </si>
  <si>
    <t>10.171.88.73</t>
  </si>
  <si>
    <t>10.171.88.137</t>
  </si>
  <si>
    <t>10.171.89.9</t>
  </si>
  <si>
    <t>10.171.89.73</t>
  </si>
  <si>
    <t>210.233.244.148</t>
  </si>
  <si>
    <t>2001:a7ff:3100:41:0:0:0:4</t>
  </si>
  <si>
    <t>10.171.83.132</t>
  </si>
  <si>
    <t>10.171.83.148</t>
  </si>
  <si>
    <t>10.171.83.164</t>
  </si>
  <si>
    <t>10.171.83.196</t>
  </si>
  <si>
    <t>10.171.83.181</t>
  </si>
  <si>
    <t>10.171.89.137</t>
  </si>
  <si>
    <t>W40304</t>
  </si>
  <si>
    <t>240304</t>
  </si>
  <si>
    <t>W422</t>
  </si>
  <si>
    <t>444</t>
  </si>
  <si>
    <t>w33okssc-0131ac</t>
  </si>
  <si>
    <t>10.171.88.74</t>
  </si>
  <si>
    <t>10.171.88.138</t>
  </si>
  <si>
    <t>10.171.89.10</t>
  </si>
  <si>
    <t>10.171.89.74</t>
  </si>
  <si>
    <t>10.171.83.149</t>
  </si>
  <si>
    <t>10.171.83.165</t>
  </si>
  <si>
    <t>10.171.83.197</t>
  </si>
  <si>
    <t>10.171.89.138</t>
  </si>
  <si>
    <t>w33okssc-0140ac</t>
  </si>
  <si>
    <t>10.171.88.75</t>
  </si>
  <si>
    <t>10.171.88.139</t>
  </si>
  <si>
    <t>10.171.89.11</t>
  </si>
  <si>
    <t>10.171.89.75</t>
  </si>
  <si>
    <t>210.233.244.149</t>
  </si>
  <si>
    <t>2001:a7ff:3100:41:0:0:0:5</t>
  </si>
  <si>
    <t>10.171.83.133</t>
  </si>
  <si>
    <t>10.171.83.150</t>
  </si>
  <si>
    <t>10.171.83.166</t>
  </si>
  <si>
    <t>10.171.83.198</t>
  </si>
  <si>
    <t>10.171.83.182</t>
  </si>
  <si>
    <t>10.171.89.139</t>
  </si>
  <si>
    <t>W40305</t>
  </si>
  <si>
    <t>240305</t>
  </si>
  <si>
    <t>W423</t>
  </si>
  <si>
    <t>445</t>
  </si>
  <si>
    <t>w33okssc-0141ac</t>
  </si>
  <si>
    <t>10.171.88.76</t>
  </si>
  <si>
    <t>10.171.88.140</t>
  </si>
  <si>
    <t>10.171.89.12</t>
  </si>
  <si>
    <t>10.171.89.76</t>
  </si>
  <si>
    <t>10.171.83.151</t>
  </si>
  <si>
    <t>10.171.83.167</t>
  </si>
  <si>
    <t>10.171.83.199</t>
  </si>
  <si>
    <t>10.171.89.140</t>
  </si>
  <si>
    <t>w33okssc-0150ac</t>
  </si>
  <si>
    <t>10.171.88.77</t>
  </si>
  <si>
    <t>10.171.88.141</t>
  </si>
  <si>
    <t>10.171.89.13</t>
  </si>
  <si>
    <t>10.171.89.77</t>
  </si>
  <si>
    <t>210.233.244.150</t>
  </si>
  <si>
    <t>2001:a7ff:3100:41:0:0:0:6</t>
  </si>
  <si>
    <t>10.171.83.134</t>
  </si>
  <si>
    <t>10.171.83.152</t>
  </si>
  <si>
    <t>10.171.83.168</t>
  </si>
  <si>
    <t>10.171.83.200</t>
  </si>
  <si>
    <t>10.171.83.183</t>
  </si>
  <si>
    <t>10.171.89.141</t>
  </si>
  <si>
    <t>W40306</t>
  </si>
  <si>
    <t>240306</t>
  </si>
  <si>
    <t>W424</t>
  </si>
  <si>
    <t>446</t>
  </si>
  <si>
    <t>w33okssc-0151ac</t>
  </si>
  <si>
    <t>10.171.88.78</t>
  </si>
  <si>
    <t>10.171.88.142</t>
  </si>
  <si>
    <t>10.171.89.14</t>
  </si>
  <si>
    <t>10.171.89.78</t>
  </si>
  <si>
    <t>10.171.83.153</t>
  </si>
  <si>
    <t>10.171.83.169</t>
  </si>
  <si>
    <t>10.171.83.201</t>
  </si>
  <si>
    <t>10.171.89.142</t>
  </si>
  <si>
    <t>w33okssc-0200ac</t>
  </si>
  <si>
    <t>10.171.88.81</t>
  </si>
  <si>
    <t>10.171.88.145</t>
  </si>
  <si>
    <t>10.171.89.17</t>
  </si>
  <si>
    <t>10.171.89.81</t>
  </si>
  <si>
    <t>210.233.244.164</t>
  </si>
  <si>
    <t>2001:a7ff:3100:42:0:0:0:4</t>
  </si>
  <si>
    <t>10.171.84.4</t>
  </si>
  <si>
    <t>10.171.84.20</t>
  </si>
  <si>
    <t>10.171.84.36</t>
  </si>
  <si>
    <t>10.171.84.68</t>
  </si>
  <si>
    <t>10.171.84.53</t>
  </si>
  <si>
    <t>10.171.89.145</t>
  </si>
  <si>
    <t>W40307</t>
  </si>
  <si>
    <t>240307</t>
  </si>
  <si>
    <t>W425</t>
  </si>
  <si>
    <t>451</t>
  </si>
  <si>
    <t>w33okssc-0201ac</t>
  </si>
  <si>
    <t>10.171.88.82</t>
  </si>
  <si>
    <t>10.171.88.146</t>
  </si>
  <si>
    <t>10.171.89.18</t>
  </si>
  <si>
    <t>10.171.89.82</t>
  </si>
  <si>
    <t>10.171.84.21</t>
  </si>
  <si>
    <t>10.171.84.37</t>
  </si>
  <si>
    <t>10.171.84.69</t>
  </si>
  <si>
    <t>10.171.89.146</t>
  </si>
  <si>
    <t>w33okscce000100</t>
  </si>
  <si>
    <t>10.171.83.126</t>
  </si>
  <si>
    <t>w33okscce000200</t>
  </si>
  <si>
    <t>10.171.83.254</t>
  </si>
  <si>
    <t>w33okscce000300</t>
  </si>
  <si>
    <t>10.171.84.126</t>
  </si>
  <si>
    <t>9,116,117,630,632,634,636,638</t>
  </si>
  <si>
    <t>w33ok-fs-010ss</t>
  </si>
  <si>
    <t>岡山東</t>
  </si>
  <si>
    <t>岡山ＮＷＣ（岡山東ビル）</t>
  </si>
  <si>
    <t>3320100201</t>
  </si>
  <si>
    <t>w33ok-fr-0100ss</t>
  </si>
  <si>
    <t>w33ok-fr-0101ss</t>
  </si>
  <si>
    <t>w33ok-fs-011ss</t>
  </si>
  <si>
    <t>w33ok-fr-0110ss</t>
  </si>
  <si>
    <t>w33ok-fr-0111ss</t>
  </si>
  <si>
    <t>10.171.85.135</t>
  </si>
  <si>
    <t>10.171.85.151</t>
  </si>
  <si>
    <t>vSSC_24Aファイル更新工事</t>
    <rPh sb="12" eb="14">
      <t>コウシン</t>
    </rPh>
    <rPh sb="14" eb="16">
      <t>コウジ</t>
    </rPh>
    <phoneticPr fontId="1"/>
  </si>
  <si>
    <t>:</t>
    <phoneticPr fontId="1"/>
  </si>
  <si>
    <t>収容形態</t>
    <rPh sb="0" eb="2">
      <t>シュウヨウ</t>
    </rPh>
    <rPh sb="2" eb="4">
      <t>ケイタイ</t>
    </rPh>
    <phoneticPr fontId="1"/>
  </si>
  <si>
    <t>対象SSC_CL</t>
    <rPh sb="0" eb="2">
      <t>タイショウ</t>
    </rPh>
    <phoneticPr fontId="1"/>
  </si>
  <si>
    <t>terget</t>
    <phoneticPr fontId="1"/>
  </si>
  <si>
    <t>window</t>
    <phoneticPr fontId="1"/>
  </si>
  <si>
    <t>PromptKey</t>
  </si>
  <si>
    <t>CdType</t>
  </si>
  <si>
    <t>CdReg</t>
  </si>
  <si>
    <t>CdPromptOut</t>
  </si>
  <si>
    <t>NeedRule</t>
  </si>
  <si>
    <t>CommandRequired</t>
  </si>
  <si>
    <t>備考</t>
  </si>
  <si>
    <t>凡例/説明</t>
  </si>
  <si>
    <t>内容</t>
  </si>
  <si>
    <t>NeedRule ID</t>
  </si>
  <si>
    <t>判定条件（ざっくり）</t>
  </si>
  <si>
    <t>判定結果（R/T）</t>
  </si>
  <si>
    <t>主な用途・備考</t>
  </si>
  <si>
    <t>&gt;</t>
  </si>
  <si>
    <t>&gt;&gt;</t>
    <phoneticPr fontId="1"/>
  </si>
  <si>
    <t>RULE_PROMPT_SYM_AND_CMD</t>
  </si>
  <si>
    <t>装飾ルール</t>
  </si>
  <si>
    <t>装飾 &gt; プロンプト値（優先順位）</t>
  </si>
  <si>
    <t>RULE_ALWAYS_T</t>
  </si>
  <si>
    <t>常に</t>
  </si>
  <si>
    <t>常に T（Rは付かない）</t>
  </si>
  <si>
    <t>$</t>
  </si>
  <si>
    <t>細字判定</t>
  </si>
  <si>
    <t>Bold=False（通常文字）を細字扱い → promptKey=chk に上書き</t>
  </si>
  <si>
    <t>promptKey が 実行プロンプトのいずれか かつ command が 空でない</t>
    <rPh sb="12" eb="14">
      <t>ジッコウ</t>
    </rPh>
    <phoneticPr fontId="1"/>
  </si>
  <si>
    <t>条件成立なら R / 不成立なら T</t>
  </si>
  <si>
    <t>%</t>
  </si>
  <si>
    <t>Need出力条件</t>
  </si>
  <si>
    <t>Need（A〜T）が全てTの行はCDに出力しない</t>
  </si>
  <si>
    <t>RULE_CMD_NONEMPTY</t>
  </si>
  <si>
    <t>command が 空でない</t>
  </si>
  <si>
    <t>空でなければ R / 空なら T</t>
  </si>
  <si>
    <t>#</t>
  </si>
  <si>
    <t>記号prompt</t>
  </si>
  <si>
    <t>&gt;, $, %, # は command非空ならR（空なら出力なし）</t>
  </si>
  <si>
    <t>chk</t>
  </si>
  <si>
    <t>ckExist</t>
  </si>
  <si>
    <t>Priorityの考え方</t>
  </si>
  <si>
    <t>複数ルールが同時適用される場合は「積み重ね」。Priority順に適用（低→高で上書き推奨）</t>
  </si>
  <si>
    <t>Eck</t>
  </si>
  <si>
    <t>on</t>
  </si>
  <si>
    <t>ckN</t>
  </si>
  <si>
    <t>ckNot</t>
  </si>
  <si>
    <t>EcN</t>
  </si>
  <si>
    <t>ckNot</t>
    <phoneticPr fontId="1"/>
  </si>
  <si>
    <t>FTP</t>
  </si>
  <si>
    <t>DF</t>
  </si>
  <si>
    <t>TE</t>
    <phoneticPr fontId="16"/>
  </si>
  <si>
    <t>TEST</t>
    <phoneticPr fontId="16"/>
  </si>
  <si>
    <t>ルール追加テスト</t>
    <rPh sb="3" eb="5">
      <t>ツイカ</t>
    </rPh>
    <phoneticPr fontId="16"/>
  </si>
  <si>
    <t>target</t>
    <phoneticPr fontId="35"/>
  </si>
  <si>
    <t>type</t>
    <phoneticPr fontId="35"/>
  </si>
  <si>
    <t>cont</t>
    <phoneticPr fontId="35"/>
  </si>
  <si>
    <t>reg</t>
    <phoneticPr fontId="35"/>
  </si>
  <si>
    <t>prompt</t>
    <phoneticPr fontId="35"/>
  </si>
  <si>
    <t>command</t>
    <phoneticPr fontId="35"/>
  </si>
  <si>
    <t>1:</t>
    <phoneticPr fontId="1"/>
  </si>
  <si>
    <t>2:</t>
  </si>
  <si>
    <t>3:</t>
  </si>
  <si>
    <t>4:</t>
  </si>
  <si>
    <t>5:</t>
  </si>
  <si>
    <t>6:</t>
  </si>
  <si>
    <t>7:</t>
  </si>
  <si>
    <t>8:</t>
  </si>
  <si>
    <t>9:</t>
  </si>
  <si>
    <t>10:</t>
  </si>
  <si>
    <t>11:</t>
  </si>
  <si>
    <t>12:</t>
  </si>
  <si>
    <t>13:</t>
  </si>
  <si>
    <t>14:</t>
  </si>
  <si>
    <t>15:</t>
  </si>
  <si>
    <t>16:</t>
  </si>
  <si>
    <t>17:</t>
  </si>
  <si>
    <t>18:</t>
  </si>
  <si>
    <t>19:</t>
  </si>
  <si>
    <t>20:</t>
  </si>
  <si>
    <t>on</t>
    <phoneticPr fontId="35"/>
  </si>
  <si>
    <t>time
(秒)</t>
    <rPh sb="6" eb="7">
      <t>ビョウ</t>
    </rPh>
    <phoneticPr fontId="35"/>
  </si>
  <si>
    <t>common</t>
    <phoneticPr fontId="35"/>
  </si>
  <si>
    <t>putty-Neo</t>
    <phoneticPr fontId="35"/>
  </si>
  <si>
    <t>putty-Neo\putty.exe</t>
  </si>
  <si>
    <t>Version</t>
    <phoneticPr fontId="35"/>
  </si>
  <si>
    <t>コマンドプロンプト</t>
    <phoneticPr fontId="35"/>
  </si>
  <si>
    <t>cmd</t>
  </si>
  <si>
    <t>処理間隔(ミリ秒)</t>
    <rPh sb="0" eb="2">
      <t>ショリ</t>
    </rPh>
    <rPh sb="2" eb="4">
      <t>カンカク</t>
    </rPh>
    <rPh sb="7" eb="8">
      <t>ビョウ</t>
    </rPh>
    <phoneticPr fontId="35"/>
  </si>
  <si>
    <t>入力例）　1秒　→　1,000(未入力：1,000)</t>
    <phoneticPr fontId="35"/>
  </si>
  <si>
    <t>log folder</t>
    <phoneticPr fontId="35"/>
  </si>
  <si>
    <t>log</t>
  </si>
  <si>
    <t>Var1</t>
    <phoneticPr fontId="35"/>
  </si>
  <si>
    <t>[パスワード]</t>
  </si>
  <si>
    <t>Var2</t>
  </si>
  <si>
    <t>[作業者名]</t>
  </si>
  <si>
    <t>Var3</t>
  </si>
  <si>
    <t>[日付]</t>
  </si>
  <si>
    <t>Var4</t>
  </si>
  <si>
    <t>para4</t>
  </si>
  <si>
    <t>Var5</t>
  </si>
  <si>
    <t>para5</t>
  </si>
  <si>
    <t>Var6</t>
  </si>
  <si>
    <t>para6</t>
  </si>
  <si>
    <t>Var7</t>
  </si>
  <si>
    <t>para7</t>
  </si>
  <si>
    <t>Var8</t>
  </si>
  <si>
    <t>para8</t>
  </si>
  <si>
    <t>Var9</t>
  </si>
  <si>
    <t>para9</t>
    <phoneticPr fontId="35"/>
  </si>
  <si>
    <t>Var10</t>
  </si>
  <si>
    <t>para10</t>
    <phoneticPr fontId="35"/>
  </si>
  <si>
    <t>Var11</t>
  </si>
  <si>
    <t>para11</t>
    <phoneticPr fontId="35"/>
  </si>
  <si>
    <t>Var12</t>
  </si>
  <si>
    <t>para12</t>
    <phoneticPr fontId="35"/>
  </si>
  <si>
    <t>Var13</t>
  </si>
  <si>
    <t>para13</t>
    <phoneticPr fontId="35"/>
  </si>
  <si>
    <t>Var14</t>
  </si>
  <si>
    <t>para14</t>
    <phoneticPr fontId="35"/>
  </si>
  <si>
    <t>Var15</t>
  </si>
  <si>
    <t>para15</t>
    <phoneticPr fontId="35"/>
  </si>
  <si>
    <t>Var16</t>
  </si>
  <si>
    <t>para16</t>
    <phoneticPr fontId="35"/>
  </si>
  <si>
    <t>Var17</t>
  </si>
  <si>
    <t>para17</t>
    <phoneticPr fontId="35"/>
  </si>
  <si>
    <t>Var18</t>
  </si>
  <si>
    <t>para18</t>
    <phoneticPr fontId="35"/>
  </si>
  <si>
    <t>Var19</t>
  </si>
  <si>
    <t>para19</t>
    <phoneticPr fontId="35"/>
  </si>
  <si>
    <t>Var20</t>
    <phoneticPr fontId="35"/>
  </si>
  <si>
    <t>para20</t>
    <phoneticPr fontId="35"/>
  </si>
  <si>
    <t>Var21</t>
    <phoneticPr fontId="35"/>
  </si>
  <si>
    <t>para21</t>
    <phoneticPr fontId="35"/>
  </si>
  <si>
    <t>Var22</t>
    <phoneticPr fontId="35"/>
  </si>
  <si>
    <t>para22</t>
    <phoneticPr fontId="35"/>
  </si>
  <si>
    <t>Var23</t>
    <phoneticPr fontId="35"/>
  </si>
  <si>
    <t>para23</t>
    <phoneticPr fontId="35"/>
  </si>
  <si>
    <t>Var24</t>
    <phoneticPr fontId="35"/>
  </si>
  <si>
    <t>para24</t>
    <phoneticPr fontId="35"/>
  </si>
  <si>
    <t>Var25</t>
    <phoneticPr fontId="35"/>
  </si>
  <si>
    <t>para25</t>
    <phoneticPr fontId="35"/>
  </si>
  <si>
    <t>Var26</t>
    <phoneticPr fontId="35"/>
  </si>
  <si>
    <t>para26</t>
    <phoneticPr fontId="35"/>
  </si>
  <si>
    <t>Var27</t>
    <phoneticPr fontId="35"/>
  </si>
  <si>
    <t>para27</t>
    <phoneticPr fontId="35"/>
  </si>
  <si>
    <t>Var28</t>
    <phoneticPr fontId="35"/>
  </si>
  <si>
    <t>para28</t>
    <phoneticPr fontId="35"/>
  </si>
  <si>
    <t>Var29</t>
    <phoneticPr fontId="35"/>
  </si>
  <si>
    <t>para29</t>
    <phoneticPr fontId="35"/>
  </si>
  <si>
    <t>Var30</t>
    <phoneticPr fontId="35"/>
  </si>
  <si>
    <t>para30</t>
    <phoneticPr fontId="35"/>
  </si>
  <si>
    <t xml:space="preserve"> </t>
    <phoneticPr fontId="35"/>
  </si>
  <si>
    <t>name</t>
    <phoneticPr fontId="35"/>
  </si>
  <si>
    <t>【CD1】test</t>
  </si>
  <si>
    <t>window2</t>
    <phoneticPr fontId="35"/>
  </si>
  <si>
    <t>window3</t>
  </si>
  <si>
    <t>window4</t>
  </si>
  <si>
    <t>window5</t>
  </si>
  <si>
    <t>window6</t>
  </si>
  <si>
    <t>window7</t>
  </si>
  <si>
    <t>window8</t>
  </si>
  <si>
    <t>window9</t>
  </si>
  <si>
    <t>window10</t>
  </si>
  <si>
    <t>window11</t>
    <phoneticPr fontId="35"/>
  </si>
  <si>
    <t>window12</t>
    <phoneticPr fontId="35"/>
  </si>
  <si>
    <t>window13</t>
    <phoneticPr fontId="35"/>
  </si>
  <si>
    <t>window14</t>
    <phoneticPr fontId="35"/>
  </si>
  <si>
    <t>window15</t>
    <phoneticPr fontId="35"/>
  </si>
  <si>
    <t>window16</t>
    <phoneticPr fontId="35"/>
  </si>
  <si>
    <t>window17</t>
    <phoneticPr fontId="35"/>
  </si>
  <si>
    <t>window18</t>
    <phoneticPr fontId="35"/>
  </si>
  <si>
    <t>window19</t>
    <phoneticPr fontId="35"/>
  </si>
  <si>
    <t>window20</t>
    <phoneticPr fontId="35"/>
  </si>
  <si>
    <t>short name</t>
    <phoneticPr fontId="35"/>
  </si>
  <si>
    <t>application</t>
    <phoneticPr fontId="35"/>
  </si>
  <si>
    <t>putty-Neo</t>
  </si>
  <si>
    <t>option</t>
    <phoneticPr fontId="35"/>
  </si>
  <si>
    <t>character code</t>
    <phoneticPr fontId="35"/>
  </si>
  <si>
    <t>EUC-JP</t>
  </si>
  <si>
    <t>auto start</t>
    <phoneticPr fontId="35"/>
  </si>
  <si>
    <t>putty log save</t>
    <phoneticPr fontId="35"/>
  </si>
  <si>
    <t>putty log suffix</t>
    <phoneticPr fontId="35"/>
  </si>
  <si>
    <t>app1_</t>
    <phoneticPr fontId="1"/>
  </si>
  <si>
    <t>app2_</t>
  </si>
  <si>
    <t>app3_</t>
  </si>
  <si>
    <t>app4_</t>
  </si>
  <si>
    <t>app5_</t>
  </si>
  <si>
    <t>app6_</t>
  </si>
  <si>
    <t>app7_</t>
  </si>
  <si>
    <t>app8_</t>
  </si>
  <si>
    <t>app9_</t>
  </si>
  <si>
    <t>app10_</t>
  </si>
  <si>
    <t>app11_</t>
    <phoneticPr fontId="35"/>
  </si>
  <si>
    <t>app12_</t>
    <phoneticPr fontId="35"/>
  </si>
  <si>
    <t>app13_</t>
    <phoneticPr fontId="35"/>
  </si>
  <si>
    <t>app14_</t>
    <phoneticPr fontId="35"/>
  </si>
  <si>
    <t>app15_</t>
    <phoneticPr fontId="35"/>
  </si>
  <si>
    <t>app16_</t>
    <phoneticPr fontId="35"/>
  </si>
  <si>
    <t>app17_</t>
    <phoneticPr fontId="35"/>
  </si>
  <si>
    <t>app18_</t>
    <phoneticPr fontId="35"/>
  </si>
  <si>
    <t>app19_</t>
    <phoneticPr fontId="35"/>
  </si>
  <si>
    <t>app20_</t>
    <phoneticPr fontId="35"/>
  </si>
  <si>
    <t>testpass</t>
  </si>
  <si>
    <t>par21</t>
  </si>
  <si>
    <t>par61</t>
  </si>
  <si>
    <t>par91</t>
  </si>
  <si>
    <t>par121</t>
  </si>
  <si>
    <t>par151</t>
  </si>
  <si>
    <t>par181</t>
  </si>
  <si>
    <t>par211</t>
  </si>
  <si>
    <t>par241</t>
  </si>
  <si>
    <t>par271</t>
  </si>
  <si>
    <t>par301</t>
  </si>
  <si>
    <t>par331</t>
  </si>
  <si>
    <t>par361</t>
  </si>
  <si>
    <t>par391</t>
  </si>
  <si>
    <t>par421</t>
  </si>
  <si>
    <t>par451</t>
  </si>
  <si>
    <t>par481</t>
  </si>
  <si>
    <t>par511</t>
  </si>
  <si>
    <t>par541</t>
  </si>
  <si>
    <t>par571</t>
  </si>
  <si>
    <t>ando</t>
  </si>
  <si>
    <t>par22</t>
  </si>
  <si>
    <t>par62</t>
  </si>
  <si>
    <t>par92</t>
  </si>
  <si>
    <t>par122</t>
  </si>
  <si>
    <t>par152</t>
  </si>
  <si>
    <t>par182</t>
  </si>
  <si>
    <t>par212</t>
  </si>
  <si>
    <t>par242</t>
  </si>
  <si>
    <t>par272</t>
  </si>
  <si>
    <t>par302</t>
  </si>
  <si>
    <t>par332</t>
  </si>
  <si>
    <t>par362</t>
  </si>
  <si>
    <t>par392</t>
  </si>
  <si>
    <t>par422</t>
  </si>
  <si>
    <t>par452</t>
  </si>
  <si>
    <t>par482</t>
  </si>
  <si>
    <t>par512</t>
  </si>
  <si>
    <t>par542</t>
  </si>
  <si>
    <t>par572</t>
  </si>
  <si>
    <t>par23</t>
  </si>
  <si>
    <t>par63</t>
  </si>
  <si>
    <t>par93</t>
  </si>
  <si>
    <t>par123</t>
  </si>
  <si>
    <t>par153</t>
  </si>
  <si>
    <t>par183</t>
  </si>
  <si>
    <t>par213</t>
  </si>
  <si>
    <t>par243</t>
  </si>
  <si>
    <t>par273</t>
  </si>
  <si>
    <t>par303</t>
  </si>
  <si>
    <t>par333</t>
  </si>
  <si>
    <t>par363</t>
  </si>
  <si>
    <t>par393</t>
  </si>
  <si>
    <t>par423</t>
  </si>
  <si>
    <t>par453</t>
  </si>
  <si>
    <t>par483</t>
  </si>
  <si>
    <t>par513</t>
  </si>
  <si>
    <t>par543</t>
  </si>
  <si>
    <t>par573</t>
  </si>
  <si>
    <t>par4</t>
    <phoneticPr fontId="35"/>
  </si>
  <si>
    <t>par24</t>
  </si>
  <si>
    <t>par64</t>
  </si>
  <si>
    <t>par94</t>
  </si>
  <si>
    <t>par124</t>
  </si>
  <si>
    <t>par154</t>
  </si>
  <si>
    <t>par184</t>
  </si>
  <si>
    <t>par214</t>
  </si>
  <si>
    <t>par244</t>
  </si>
  <si>
    <t>par274</t>
  </si>
  <si>
    <t>par304</t>
  </si>
  <si>
    <t>par334</t>
  </si>
  <si>
    <t>par364</t>
  </si>
  <si>
    <t>par394</t>
  </si>
  <si>
    <t>par424</t>
  </si>
  <si>
    <t>par454</t>
  </si>
  <si>
    <t>par484</t>
  </si>
  <si>
    <t>par514</t>
  </si>
  <si>
    <t>par544</t>
  </si>
  <si>
    <t>par574</t>
  </si>
  <si>
    <t>par5</t>
    <phoneticPr fontId="35"/>
  </si>
  <si>
    <t>par25</t>
  </si>
  <si>
    <t>par65</t>
  </si>
  <si>
    <t>par95</t>
  </si>
  <si>
    <t>par125</t>
  </si>
  <si>
    <t>par155</t>
  </si>
  <si>
    <t>par185</t>
  </si>
  <si>
    <t>par215</t>
  </si>
  <si>
    <t>par245</t>
  </si>
  <si>
    <t>par275</t>
  </si>
  <si>
    <t>par305</t>
  </si>
  <si>
    <t>par335</t>
  </si>
  <si>
    <t>par365</t>
  </si>
  <si>
    <t>par395</t>
  </si>
  <si>
    <t>par425</t>
  </si>
  <si>
    <t>par455</t>
  </si>
  <si>
    <t>par485</t>
  </si>
  <si>
    <t>par515</t>
  </si>
  <si>
    <t>par545</t>
  </si>
  <si>
    <t>par575</t>
  </si>
  <si>
    <t>par6</t>
    <phoneticPr fontId="35"/>
  </si>
  <si>
    <t>par26</t>
  </si>
  <si>
    <t>par66</t>
  </si>
  <si>
    <t>par96</t>
  </si>
  <si>
    <t>par126</t>
  </si>
  <si>
    <t>par156</t>
  </si>
  <si>
    <t>par186</t>
  </si>
  <si>
    <t>par216</t>
  </si>
  <si>
    <t>par246</t>
  </si>
  <si>
    <t>par276</t>
  </si>
  <si>
    <t>par306</t>
  </si>
  <si>
    <t>par336</t>
  </si>
  <si>
    <t>par366</t>
  </si>
  <si>
    <t>par396</t>
  </si>
  <si>
    <t>par426</t>
  </si>
  <si>
    <t>par456</t>
  </si>
  <si>
    <t>par486</t>
  </si>
  <si>
    <t>par516</t>
  </si>
  <si>
    <t>par546</t>
  </si>
  <si>
    <t>par576</t>
  </si>
  <si>
    <t>par7</t>
    <phoneticPr fontId="35"/>
  </si>
  <si>
    <t>par37</t>
    <phoneticPr fontId="35"/>
  </si>
  <si>
    <t>par67</t>
  </si>
  <si>
    <t>par97</t>
  </si>
  <si>
    <t>par127</t>
  </si>
  <si>
    <t>par157</t>
  </si>
  <si>
    <t>par187</t>
  </si>
  <si>
    <t>par217</t>
  </si>
  <si>
    <t>par247</t>
  </si>
  <si>
    <t>par277</t>
  </si>
  <si>
    <t>par307</t>
  </si>
  <si>
    <t>par337</t>
  </si>
  <si>
    <t>par367</t>
  </si>
  <si>
    <t>par397</t>
  </si>
  <si>
    <t>par427</t>
  </si>
  <si>
    <t>par457</t>
  </si>
  <si>
    <t>par487</t>
  </si>
  <si>
    <t>par517</t>
  </si>
  <si>
    <t>par547</t>
  </si>
  <si>
    <t>par577</t>
  </si>
  <si>
    <t>par8</t>
    <phoneticPr fontId="35"/>
  </si>
  <si>
    <t>par38</t>
    <phoneticPr fontId="35"/>
  </si>
  <si>
    <t>par68</t>
  </si>
  <si>
    <t>par98</t>
  </si>
  <si>
    <t>par128</t>
  </si>
  <si>
    <t>par158</t>
  </si>
  <si>
    <t>par188</t>
  </si>
  <si>
    <t>par218</t>
  </si>
  <si>
    <t>par248</t>
  </si>
  <si>
    <t>par278</t>
  </si>
  <si>
    <t>par308</t>
  </si>
  <si>
    <t>par338</t>
  </si>
  <si>
    <t>par368</t>
  </si>
  <si>
    <t>par398</t>
  </si>
  <si>
    <t>par428</t>
  </si>
  <si>
    <t>par458</t>
  </si>
  <si>
    <t>par488</t>
  </si>
  <si>
    <t>par518</t>
  </si>
  <si>
    <t>par548</t>
  </si>
  <si>
    <t>par578</t>
  </si>
  <si>
    <t>par9</t>
    <phoneticPr fontId="35"/>
  </si>
  <si>
    <t>par39</t>
    <phoneticPr fontId="35"/>
  </si>
  <si>
    <t>par69</t>
  </si>
  <si>
    <t>par99</t>
  </si>
  <si>
    <t>par129</t>
  </si>
  <si>
    <t>par159</t>
  </si>
  <si>
    <t>par189</t>
  </si>
  <si>
    <t>par219</t>
  </si>
  <si>
    <t>par249</t>
  </si>
  <si>
    <t>par279</t>
  </si>
  <si>
    <t>par309</t>
  </si>
  <si>
    <t>par339</t>
  </si>
  <si>
    <t>par369</t>
  </si>
  <si>
    <t>par399</t>
  </si>
  <si>
    <t>par429</t>
  </si>
  <si>
    <t>par459</t>
  </si>
  <si>
    <t>par489</t>
  </si>
  <si>
    <t>par519</t>
  </si>
  <si>
    <t>par549</t>
  </si>
  <si>
    <t>par579</t>
  </si>
  <si>
    <t>par10</t>
    <phoneticPr fontId="35"/>
  </si>
  <si>
    <t>par40</t>
    <phoneticPr fontId="35"/>
  </si>
  <si>
    <t>par70</t>
  </si>
  <si>
    <t>par100</t>
  </si>
  <si>
    <t>par130</t>
  </si>
  <si>
    <t>par160</t>
  </si>
  <si>
    <t>par190</t>
  </si>
  <si>
    <t>par220</t>
  </si>
  <si>
    <t>par250</t>
  </si>
  <si>
    <t>par280</t>
  </si>
  <si>
    <t>par310</t>
  </si>
  <si>
    <t>par340</t>
  </si>
  <si>
    <t>par370</t>
  </si>
  <si>
    <t>par400</t>
  </si>
  <si>
    <t>par430</t>
  </si>
  <si>
    <t>par460</t>
  </si>
  <si>
    <t>par490</t>
  </si>
  <si>
    <t>par520</t>
  </si>
  <si>
    <t>par550</t>
  </si>
  <si>
    <t>par580</t>
  </si>
  <si>
    <t>par11</t>
    <phoneticPr fontId="35"/>
  </si>
  <si>
    <t>par41</t>
    <phoneticPr fontId="35"/>
  </si>
  <si>
    <t>par71</t>
  </si>
  <si>
    <t>par101</t>
  </si>
  <si>
    <t>par131</t>
  </si>
  <si>
    <t>par161</t>
  </si>
  <si>
    <t>par191</t>
  </si>
  <si>
    <t>par221</t>
  </si>
  <si>
    <t>par251</t>
  </si>
  <si>
    <t>par281</t>
  </si>
  <si>
    <t>par311</t>
  </si>
  <si>
    <t>par341</t>
  </si>
  <si>
    <t>par371</t>
  </si>
  <si>
    <t>par401</t>
  </si>
  <si>
    <t>par431</t>
  </si>
  <si>
    <t>par461</t>
  </si>
  <si>
    <t>par491</t>
  </si>
  <si>
    <t>par521</t>
  </si>
  <si>
    <t>par551</t>
  </si>
  <si>
    <t>par581</t>
  </si>
  <si>
    <t>par12</t>
    <phoneticPr fontId="35"/>
  </si>
  <si>
    <t>par42</t>
    <phoneticPr fontId="35"/>
  </si>
  <si>
    <t>par72</t>
  </si>
  <si>
    <t>par102</t>
  </si>
  <si>
    <t>par132</t>
  </si>
  <si>
    <t>par162</t>
  </si>
  <si>
    <t>par192</t>
  </si>
  <si>
    <t>par222</t>
  </si>
  <si>
    <t>par252</t>
  </si>
  <si>
    <t>par282</t>
  </si>
  <si>
    <t>par312</t>
  </si>
  <si>
    <t>par342</t>
  </si>
  <si>
    <t>par372</t>
  </si>
  <si>
    <t>par402</t>
  </si>
  <si>
    <t>par432</t>
  </si>
  <si>
    <t>par462</t>
  </si>
  <si>
    <t>par492</t>
  </si>
  <si>
    <t>par522</t>
  </si>
  <si>
    <t>par552</t>
  </si>
  <si>
    <t>par582</t>
  </si>
  <si>
    <t>par13</t>
    <phoneticPr fontId="35"/>
  </si>
  <si>
    <t>par43</t>
    <phoneticPr fontId="35"/>
  </si>
  <si>
    <t>par73</t>
  </si>
  <si>
    <t>par103</t>
  </si>
  <si>
    <t>par133</t>
  </si>
  <si>
    <t>par163</t>
  </si>
  <si>
    <t>par193</t>
  </si>
  <si>
    <t>par223</t>
  </si>
  <si>
    <t>par253</t>
  </si>
  <si>
    <t>par283</t>
  </si>
  <si>
    <t>par313</t>
  </si>
  <si>
    <t>par343</t>
  </si>
  <si>
    <t>par373</t>
  </si>
  <si>
    <t>par403</t>
  </si>
  <si>
    <t>par433</t>
  </si>
  <si>
    <t>par463</t>
  </si>
  <si>
    <t>par493</t>
  </si>
  <si>
    <t>par523</t>
  </si>
  <si>
    <t>par553</t>
  </si>
  <si>
    <t>par583</t>
  </si>
  <si>
    <t>par14</t>
    <phoneticPr fontId="35"/>
  </si>
  <si>
    <t>par44</t>
    <phoneticPr fontId="35"/>
  </si>
  <si>
    <t>par74</t>
  </si>
  <si>
    <t>par104</t>
  </si>
  <si>
    <t>par134</t>
  </si>
  <si>
    <t>par164</t>
  </si>
  <si>
    <t>par194</t>
  </si>
  <si>
    <t>par224</t>
  </si>
  <si>
    <t>par254</t>
  </si>
  <si>
    <t>par284</t>
  </si>
  <si>
    <t>par314</t>
  </si>
  <si>
    <t>par344</t>
  </si>
  <si>
    <t>par374</t>
  </si>
  <si>
    <t>par404</t>
  </si>
  <si>
    <t>par434</t>
  </si>
  <si>
    <t>par464</t>
  </si>
  <si>
    <t>par494</t>
  </si>
  <si>
    <t>par524</t>
  </si>
  <si>
    <t>par554</t>
  </si>
  <si>
    <t>par584</t>
  </si>
  <si>
    <t>par15</t>
    <phoneticPr fontId="35"/>
  </si>
  <si>
    <t>par45</t>
    <phoneticPr fontId="35"/>
  </si>
  <si>
    <t>par75</t>
  </si>
  <si>
    <t>par105</t>
  </si>
  <si>
    <t>par135</t>
  </si>
  <si>
    <t>par165</t>
  </si>
  <si>
    <t>par195</t>
  </si>
  <si>
    <t>par225</t>
  </si>
  <si>
    <t>par255</t>
  </si>
  <si>
    <t>par285</t>
  </si>
  <si>
    <t>par315</t>
  </si>
  <si>
    <t>par345</t>
  </si>
  <si>
    <t>par375</t>
  </si>
  <si>
    <t>par405</t>
  </si>
  <si>
    <t>par435</t>
  </si>
  <si>
    <t>par465</t>
  </si>
  <si>
    <t>par495</t>
  </si>
  <si>
    <t>par525</t>
  </si>
  <si>
    <t>par555</t>
  </si>
  <si>
    <t>par585</t>
  </si>
  <si>
    <t>par16</t>
    <phoneticPr fontId="35"/>
  </si>
  <si>
    <t>par46</t>
    <phoneticPr fontId="35"/>
  </si>
  <si>
    <t>par76</t>
  </si>
  <si>
    <t>par106</t>
  </si>
  <si>
    <t>par136</t>
  </si>
  <si>
    <t>par166</t>
  </si>
  <si>
    <t>par196</t>
  </si>
  <si>
    <t>par226</t>
  </si>
  <si>
    <t>par256</t>
  </si>
  <si>
    <t>par286</t>
  </si>
  <si>
    <t>par316</t>
  </si>
  <si>
    <t>par346</t>
  </si>
  <si>
    <t>par376</t>
  </si>
  <si>
    <t>par406</t>
  </si>
  <si>
    <t>par436</t>
  </si>
  <si>
    <t>par466</t>
  </si>
  <si>
    <t>par496</t>
  </si>
  <si>
    <t>par526</t>
  </si>
  <si>
    <t>par556</t>
  </si>
  <si>
    <t>par586</t>
  </si>
  <si>
    <t>par17</t>
    <phoneticPr fontId="35"/>
  </si>
  <si>
    <t>par47</t>
    <phoneticPr fontId="35"/>
  </si>
  <si>
    <t>par77</t>
  </si>
  <si>
    <t>par107</t>
  </si>
  <si>
    <t>par137</t>
  </si>
  <si>
    <t>par167</t>
  </si>
  <si>
    <t>par197</t>
  </si>
  <si>
    <t>par227</t>
  </si>
  <si>
    <t>par257</t>
  </si>
  <si>
    <t>par287</t>
  </si>
  <si>
    <t>par317</t>
  </si>
  <si>
    <t>par347</t>
  </si>
  <si>
    <t>par377</t>
  </si>
  <si>
    <t>par407</t>
  </si>
  <si>
    <t>par437</t>
  </si>
  <si>
    <t>par467</t>
  </si>
  <si>
    <t>par497</t>
  </si>
  <si>
    <t>par527</t>
  </si>
  <si>
    <t>par557</t>
  </si>
  <si>
    <t>par587</t>
  </si>
  <si>
    <t>par18</t>
    <phoneticPr fontId="35"/>
  </si>
  <si>
    <t>par48</t>
    <phoneticPr fontId="35"/>
  </si>
  <si>
    <t>par78</t>
  </si>
  <si>
    <t>par108</t>
  </si>
  <si>
    <t>par138</t>
  </si>
  <si>
    <t>par168</t>
  </si>
  <si>
    <t>par198</t>
  </si>
  <si>
    <t>par228</t>
  </si>
  <si>
    <t>par258</t>
  </si>
  <si>
    <t>par288</t>
  </si>
  <si>
    <t>par318</t>
  </si>
  <si>
    <t>par348</t>
  </si>
  <si>
    <t>par378</t>
  </si>
  <si>
    <t>par408</t>
  </si>
  <si>
    <t>par438</t>
  </si>
  <si>
    <t>par468</t>
  </si>
  <si>
    <t>par498</t>
  </si>
  <si>
    <t>par528</t>
  </si>
  <si>
    <t>par558</t>
  </si>
  <si>
    <t>par588</t>
  </si>
  <si>
    <t>par19</t>
    <phoneticPr fontId="35"/>
  </si>
  <si>
    <t>par49</t>
    <phoneticPr fontId="35"/>
  </si>
  <si>
    <t>par79</t>
    <phoneticPr fontId="35"/>
  </si>
  <si>
    <t>par109</t>
  </si>
  <si>
    <t>par139</t>
  </si>
  <si>
    <t>par169</t>
  </si>
  <si>
    <t>par199</t>
  </si>
  <si>
    <t>par229</t>
  </si>
  <si>
    <t>par259</t>
  </si>
  <si>
    <t>par289</t>
  </si>
  <si>
    <t>par319</t>
  </si>
  <si>
    <t>par349</t>
  </si>
  <si>
    <t>par379</t>
  </si>
  <si>
    <t>par409</t>
  </si>
  <si>
    <t>par439</t>
  </si>
  <si>
    <t>par469</t>
  </si>
  <si>
    <t>par499</t>
  </si>
  <si>
    <t>par529</t>
  </si>
  <si>
    <t>par559</t>
  </si>
  <si>
    <t>par589</t>
  </si>
  <si>
    <t>par20</t>
    <phoneticPr fontId="35"/>
  </si>
  <si>
    <t>par50</t>
    <phoneticPr fontId="35"/>
  </si>
  <si>
    <t>par80</t>
    <phoneticPr fontId="35"/>
  </si>
  <si>
    <t>par110</t>
  </si>
  <si>
    <t>par140</t>
  </si>
  <si>
    <t>par170</t>
  </si>
  <si>
    <t>par200</t>
  </si>
  <si>
    <t>par230</t>
  </si>
  <si>
    <t>par260</t>
  </si>
  <si>
    <t>par290</t>
  </si>
  <si>
    <t>par320</t>
  </si>
  <si>
    <t>par350</t>
  </si>
  <si>
    <t>par380</t>
  </si>
  <si>
    <t>par410</t>
  </si>
  <si>
    <t>par440</t>
  </si>
  <si>
    <t>par470</t>
  </si>
  <si>
    <t>par500</t>
  </si>
  <si>
    <t>par530</t>
  </si>
  <si>
    <t>par560</t>
  </si>
  <si>
    <t>par590</t>
  </si>
  <si>
    <t>par21</t>
    <phoneticPr fontId="35"/>
  </si>
  <si>
    <t>par51</t>
    <phoneticPr fontId="35"/>
  </si>
  <si>
    <t>par81</t>
  </si>
  <si>
    <t>par111</t>
  </si>
  <si>
    <t>par141</t>
  </si>
  <si>
    <t>par171</t>
  </si>
  <si>
    <t>par201</t>
  </si>
  <si>
    <t>par231</t>
  </si>
  <si>
    <t>par261</t>
  </si>
  <si>
    <t>par291</t>
  </si>
  <si>
    <t>par321</t>
  </si>
  <si>
    <t>par351</t>
  </si>
  <si>
    <t>par381</t>
  </si>
  <si>
    <t>par411</t>
  </si>
  <si>
    <t>par441</t>
  </si>
  <si>
    <t>par471</t>
  </si>
  <si>
    <t>par501</t>
  </si>
  <si>
    <t>par531</t>
  </si>
  <si>
    <t>par561</t>
  </si>
  <si>
    <t>par591</t>
  </si>
  <si>
    <t>par22</t>
    <phoneticPr fontId="35"/>
  </si>
  <si>
    <t>par52</t>
    <phoneticPr fontId="35"/>
  </si>
  <si>
    <t>par82</t>
  </si>
  <si>
    <t>par112</t>
  </si>
  <si>
    <t>par142</t>
  </si>
  <si>
    <t>par172</t>
  </si>
  <si>
    <t>par202</t>
  </si>
  <si>
    <t>par232</t>
  </si>
  <si>
    <t>par262</t>
  </si>
  <si>
    <t>par292</t>
  </si>
  <si>
    <t>par322</t>
  </si>
  <si>
    <t>par352</t>
  </si>
  <si>
    <t>par382</t>
  </si>
  <si>
    <t>par412</t>
  </si>
  <si>
    <t>par442</t>
  </si>
  <si>
    <t>par472</t>
  </si>
  <si>
    <t>par502</t>
  </si>
  <si>
    <t>par532</t>
  </si>
  <si>
    <t>par562</t>
  </si>
  <si>
    <t>par592</t>
  </si>
  <si>
    <t>par23</t>
    <phoneticPr fontId="35"/>
  </si>
  <si>
    <t>par53</t>
    <phoneticPr fontId="35"/>
  </si>
  <si>
    <t>par83</t>
  </si>
  <si>
    <t>par113</t>
  </si>
  <si>
    <t>par143</t>
  </si>
  <si>
    <t>par173</t>
  </si>
  <si>
    <t>par203</t>
  </si>
  <si>
    <t>par233</t>
  </si>
  <si>
    <t>par263</t>
  </si>
  <si>
    <t>par293</t>
  </si>
  <si>
    <t>par323</t>
  </si>
  <si>
    <t>par353</t>
  </si>
  <si>
    <t>par383</t>
  </si>
  <si>
    <t>par413</t>
  </si>
  <si>
    <t>par443</t>
  </si>
  <si>
    <t>par473</t>
  </si>
  <si>
    <t>par503</t>
  </si>
  <si>
    <t>par533</t>
  </si>
  <si>
    <t>par563</t>
  </si>
  <si>
    <t>par593</t>
  </si>
  <si>
    <t>par24</t>
    <phoneticPr fontId="35"/>
  </si>
  <si>
    <t>par54</t>
    <phoneticPr fontId="35"/>
  </si>
  <si>
    <t>par84</t>
  </si>
  <si>
    <t>par114</t>
  </si>
  <si>
    <t>par144</t>
  </si>
  <si>
    <t>par174</t>
  </si>
  <si>
    <t>par204</t>
  </si>
  <si>
    <t>par234</t>
  </si>
  <si>
    <t>par264</t>
  </si>
  <si>
    <t>par294</t>
  </si>
  <si>
    <t>par324</t>
  </si>
  <si>
    <t>par354</t>
  </si>
  <si>
    <t>par384</t>
  </si>
  <si>
    <t>par414</t>
  </si>
  <si>
    <t>par444</t>
  </si>
  <si>
    <t>par474</t>
  </si>
  <si>
    <t>par504</t>
  </si>
  <si>
    <t>par534</t>
  </si>
  <si>
    <t>par564</t>
  </si>
  <si>
    <t>par594</t>
  </si>
  <si>
    <t>par25</t>
    <phoneticPr fontId="35"/>
  </si>
  <si>
    <t>par55</t>
    <phoneticPr fontId="35"/>
  </si>
  <si>
    <t>par85</t>
  </si>
  <si>
    <t>par115</t>
  </si>
  <si>
    <t>par145</t>
  </si>
  <si>
    <t>par175</t>
  </si>
  <si>
    <t>par205</t>
  </si>
  <si>
    <t>par235</t>
  </si>
  <si>
    <t>par265</t>
  </si>
  <si>
    <t>par295</t>
  </si>
  <si>
    <t>par325</t>
  </si>
  <si>
    <t>par355</t>
  </si>
  <si>
    <t>par385</t>
  </si>
  <si>
    <t>par415</t>
  </si>
  <si>
    <t>par445</t>
  </si>
  <si>
    <t>par475</t>
  </si>
  <si>
    <t>par505</t>
  </si>
  <si>
    <t>par535</t>
  </si>
  <si>
    <t>par565</t>
  </si>
  <si>
    <t>par595</t>
  </si>
  <si>
    <t>par26</t>
    <phoneticPr fontId="35"/>
  </si>
  <si>
    <t>par56</t>
    <phoneticPr fontId="35"/>
  </si>
  <si>
    <t>par86</t>
  </si>
  <si>
    <t>par116</t>
  </si>
  <si>
    <t>par146</t>
  </si>
  <si>
    <t>par176</t>
  </si>
  <si>
    <t>par206</t>
  </si>
  <si>
    <t>par236</t>
  </si>
  <si>
    <t>par266</t>
  </si>
  <si>
    <t>par296</t>
  </si>
  <si>
    <t>par326</t>
  </si>
  <si>
    <t>par356</t>
  </si>
  <si>
    <t>par386</t>
  </si>
  <si>
    <t>par416</t>
  </si>
  <si>
    <t>par446</t>
  </si>
  <si>
    <t>par476</t>
  </si>
  <si>
    <t>par506</t>
  </si>
  <si>
    <t>par536</t>
  </si>
  <si>
    <t>par566</t>
  </si>
  <si>
    <t>par596</t>
  </si>
  <si>
    <t>par27</t>
    <phoneticPr fontId="35"/>
  </si>
  <si>
    <t>par57</t>
    <phoneticPr fontId="35"/>
  </si>
  <si>
    <t>par87</t>
  </si>
  <si>
    <t>par117</t>
  </si>
  <si>
    <t>par147</t>
  </si>
  <si>
    <t>par177</t>
  </si>
  <si>
    <t>par207</t>
  </si>
  <si>
    <t>par237</t>
  </si>
  <si>
    <t>par267</t>
  </si>
  <si>
    <t>par297</t>
  </si>
  <si>
    <t>par327</t>
  </si>
  <si>
    <t>par357</t>
  </si>
  <si>
    <t>par387</t>
  </si>
  <si>
    <t>par417</t>
  </si>
  <si>
    <t>par447</t>
  </si>
  <si>
    <t>par477</t>
  </si>
  <si>
    <t>par507</t>
  </si>
  <si>
    <t>par537</t>
  </si>
  <si>
    <t>par567</t>
  </si>
  <si>
    <t>par597</t>
  </si>
  <si>
    <t>par28</t>
    <phoneticPr fontId="35"/>
  </si>
  <si>
    <t>par58</t>
    <phoneticPr fontId="35"/>
  </si>
  <si>
    <t>par88</t>
  </si>
  <si>
    <t>par118</t>
  </si>
  <si>
    <t>par148</t>
  </si>
  <si>
    <t>par178</t>
  </si>
  <si>
    <t>par208</t>
  </si>
  <si>
    <t>par238</t>
  </si>
  <si>
    <t>par268</t>
  </si>
  <si>
    <t>par298</t>
  </si>
  <si>
    <t>par328</t>
  </si>
  <si>
    <t>par358</t>
  </si>
  <si>
    <t>par388</t>
  </si>
  <si>
    <t>par418</t>
  </si>
  <si>
    <t>par448</t>
  </si>
  <si>
    <t>par478</t>
  </si>
  <si>
    <t>par508</t>
  </si>
  <si>
    <t>par538</t>
  </si>
  <si>
    <t>par568</t>
  </si>
  <si>
    <t>par598</t>
  </si>
  <si>
    <t>par29</t>
    <phoneticPr fontId="35"/>
  </si>
  <si>
    <t>par59</t>
    <phoneticPr fontId="35"/>
  </si>
  <si>
    <t>par89</t>
  </si>
  <si>
    <t>par119</t>
  </si>
  <si>
    <t>par149</t>
  </si>
  <si>
    <t>par179</t>
  </si>
  <si>
    <t>par209</t>
  </si>
  <si>
    <t>par239</t>
  </si>
  <si>
    <t>par269</t>
  </si>
  <si>
    <t>par299</t>
  </si>
  <si>
    <t>par329</t>
  </si>
  <si>
    <t>par359</t>
  </si>
  <si>
    <t>par389</t>
  </si>
  <si>
    <t>par419</t>
  </si>
  <si>
    <t>par449</t>
  </si>
  <si>
    <t>par479</t>
  </si>
  <si>
    <t>par509</t>
  </si>
  <si>
    <t>par539</t>
  </si>
  <si>
    <t>par569</t>
  </si>
  <si>
    <t>par599</t>
  </si>
  <si>
    <t>par30</t>
    <phoneticPr fontId="35"/>
  </si>
  <si>
    <t>par60</t>
    <phoneticPr fontId="35"/>
  </si>
  <si>
    <t>par90</t>
    <phoneticPr fontId="35"/>
  </si>
  <si>
    <t>par120</t>
    <phoneticPr fontId="35"/>
  </si>
  <si>
    <t>par150</t>
    <phoneticPr fontId="35"/>
  </si>
  <si>
    <t>par180</t>
    <phoneticPr fontId="35"/>
  </si>
  <si>
    <t>par210</t>
    <phoneticPr fontId="35"/>
  </si>
  <si>
    <t>par240</t>
    <phoneticPr fontId="35"/>
  </si>
  <si>
    <t>par270</t>
    <phoneticPr fontId="35"/>
  </si>
  <si>
    <t>par300</t>
    <phoneticPr fontId="35"/>
  </si>
  <si>
    <t>par330</t>
    <phoneticPr fontId="35"/>
  </si>
  <si>
    <t>par360</t>
    <phoneticPr fontId="35"/>
  </si>
  <si>
    <t>par390</t>
    <phoneticPr fontId="35"/>
  </si>
  <si>
    <t>par420</t>
    <phoneticPr fontId="35"/>
  </si>
  <si>
    <t>par450</t>
    <phoneticPr fontId="35"/>
  </si>
  <si>
    <t>par480</t>
    <phoneticPr fontId="35"/>
  </si>
  <si>
    <t>par510</t>
    <phoneticPr fontId="35"/>
  </si>
  <si>
    <t>par540</t>
    <phoneticPr fontId="35"/>
  </si>
  <si>
    <t>par570</t>
    <phoneticPr fontId="35"/>
  </si>
  <si>
    <t>par600</t>
    <phoneticPr fontId="35"/>
  </si>
  <si>
    <t>?</t>
    <phoneticPr fontId="1"/>
  </si>
  <si>
    <t>Window操作のプロンプト</t>
    <rPh sb="6" eb="8">
      <t>ソウサ</t>
    </rPh>
    <phoneticPr fontId="1"/>
  </si>
  <si>
    <t>実行プロンプト</t>
    <rPh sb="0" eb="2">
      <t>ジッコウ</t>
    </rPh>
    <phoneticPr fontId="1"/>
  </si>
  <si>
    <t>チェック系プロンプト</t>
    <rPh sb="4" eb="5">
      <t>ケイ</t>
    </rPh>
    <phoneticPr fontId="1"/>
  </si>
  <si>
    <t>teraterm操作</t>
    <rPh sb="8" eb="10">
      <t>ソウサ</t>
    </rPh>
    <phoneticPr fontId="1"/>
  </si>
  <si>
    <t>FTP操作</t>
    <rPh sb="3" eb="5">
      <t>ソウサ</t>
    </rPh>
    <phoneticPr fontId="1"/>
  </si>
  <si>
    <t>Windowsアプリケーション操作</t>
    <rPh sb="15" eb="17">
      <t>ソウサ</t>
    </rPh>
    <phoneticPr fontId="1"/>
  </si>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</sst>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 ;[Red]\-#,##0.00\ "/>
  </numFmts>
  <fonts count="40" x14ac:knownFonts="1">
    <font>
      <sz val="11"/>
      <color theme="1"/>
      <name val="游ゴシック"/>
      <family val="2"/>
      <charset val="128"/>
      <scheme val="minor"/>
    </font>
    <font>
      <sz val="6"/>
      <name val="游ゴシック"/>
      <family val="2"/>
      <charset val="128"/>
      <scheme val="minor"/>
    </font>
    <font>
      <sz val="10"/>
      <color theme="1"/>
      <name val="游ゴシック"/>
      <family val="2"/>
      <charset val="128"/>
    </font>
    <font>
      <b/>
      <sz val="10"/>
      <color theme="1"/>
      <name val="Meiryo UI"/>
      <family val="3"/>
      <charset val="128"/>
    </font>
    <font>
      <sz val="10"/>
      <color theme="1"/>
      <name val="Meiryo UI"/>
      <family val="3"/>
      <charset val="128"/>
    </font>
    <font>
      <sz val="10"/>
      <color rgb="FF3333FF"/>
      <name val="Meiryo UI"/>
      <family val="3"/>
      <charset val="128"/>
    </font>
    <font>
      <b/>
      <sz val="10"/>
      <color rgb="FF3333FF"/>
      <name val="Meiryo UI"/>
      <family val="3"/>
      <charset val="128"/>
    </font>
    <font>
      <b/>
      <sz val="10"/>
      <color rgb="FFFF0000"/>
      <name val="Meiryo UI"/>
      <family val="3"/>
      <charset val="128"/>
    </font>
    <font>
      <sz val="10"/>
      <color rgb="FFFF0000"/>
      <name val="Meiryo UI"/>
      <family val="3"/>
      <charset val="128"/>
    </font>
    <font>
      <b/>
      <sz val="10"/>
      <name val="Meiryo UI"/>
      <family val="3"/>
      <charset val="128"/>
    </font>
    <font>
      <sz val="10"/>
      <name val="Meiryo UI"/>
      <family val="3"/>
      <charset val="128"/>
    </font>
    <font>
      <sz val="11"/>
      <name val="Meiryo UI"/>
      <family val="3"/>
      <charset val="128"/>
    </font>
    <font>
      <b/>
      <sz val="14"/>
      <color theme="1"/>
      <name val="Meiryo UI"/>
      <family val="3"/>
      <charset val="128"/>
    </font>
    <font>
      <sz val="11"/>
      <color theme="1"/>
      <name val="Meiryo UI"/>
      <family val="3"/>
      <charset val="128"/>
    </font>
    <font>
      <sz val="11"/>
      <color indexed="8"/>
      <name val="ＭＳ Ｐゴシック"/>
      <family val="3"/>
      <charset val="128"/>
    </font>
    <font>
      <sz val="11"/>
      <color theme="1"/>
      <name val="游ゴシック"/>
      <family val="2"/>
      <charset val="128"/>
      <scheme val="minor"/>
    </font>
    <font>
      <sz val="6"/>
      <name val="游ゴシック"/>
      <family val="3"/>
      <charset val="128"/>
      <scheme val="minor"/>
    </font>
    <font>
      <b/>
      <sz val="11"/>
      <color theme="1"/>
      <name val="Meiryo UI"/>
      <family val="3"/>
      <charset val="128"/>
    </font>
    <font>
      <b/>
      <sz val="11"/>
      <color rgb="FF3333FF"/>
      <name val="Meiryo UI"/>
      <family val="3"/>
      <charset val="128"/>
    </font>
    <font>
      <b/>
      <sz val="10"/>
      <color theme="0"/>
      <name val="Meiryo UI"/>
      <family val="3"/>
      <charset val="128"/>
    </font>
    <font>
      <sz val="10"/>
      <color theme="0"/>
      <name val="Meiryo UI"/>
      <family val="3"/>
      <charset val="128"/>
    </font>
    <font>
      <b/>
      <sz val="11"/>
      <color rgb="FF000000"/>
      <name val="Meiryo UI"/>
      <family val="3"/>
      <charset val="128"/>
    </font>
    <font>
      <sz val="11"/>
      <color theme="1"/>
      <name val="メイリオ"/>
      <family val="3"/>
      <charset val="128"/>
    </font>
    <font>
      <sz val="11"/>
      <name val="メイリオ"/>
      <family val="3"/>
      <charset val="128"/>
    </font>
    <font>
      <sz val="11"/>
      <color theme="1"/>
      <name val="游ゴシック"/>
      <family val="2"/>
      <scheme val="minor"/>
    </font>
    <font>
      <b/>
      <sz val="14"/>
      <color theme="1"/>
      <name val="メイリオ"/>
      <family val="3"/>
      <charset val="128"/>
    </font>
    <font>
      <b/>
      <u/>
      <sz val="11"/>
      <color theme="1"/>
      <name val="メイリオ"/>
      <family val="3"/>
      <charset val="128"/>
    </font>
    <font>
      <sz val="11"/>
      <color theme="0" tint="-0.499984740745262"/>
      <name val="メイリオ"/>
      <family val="3"/>
      <charset val="128"/>
    </font>
    <font>
      <sz val="11"/>
      <color rgb="FF0000FF"/>
      <name val="メイリオ"/>
      <family val="3"/>
      <charset val="128"/>
    </font>
    <font>
      <sz val="11"/>
      <color theme="1"/>
      <name val="游ゴシック"/>
      <family val="3"/>
      <charset val="128"/>
      <scheme val="minor"/>
    </font>
    <font>
      <sz val="11"/>
      <color rgb="FF3333FF"/>
      <name val="メイリオ"/>
      <family val="3"/>
      <charset val="128"/>
    </font>
    <font>
      <sz val="11"/>
      <color rgb="FF000000"/>
      <name val="游ゴシック"/>
      <family val="3"/>
      <charset val="128"/>
    </font>
    <font>
      <b/>
      <sz val="11"/>
      <color theme="1"/>
      <name val="游ゴシック"/>
      <family val="3"/>
      <charset val="128"/>
      <scheme val="minor"/>
    </font>
    <font>
      <sz val="11"/>
      <name val="ＭＳ Ｐゴシック"/>
      <family val="3"/>
      <charset val="128"/>
    </font>
    <font>
      <sz val="11"/>
      <color indexed="9"/>
      <name val="ＭＳ Ｐゴシック"/>
      <family val="3"/>
      <charset val="128"/>
    </font>
    <font>
      <sz val="6"/>
      <name val="ＭＳ Ｐゴシック"/>
      <family val="3"/>
      <charset val="128"/>
    </font>
    <font>
      <sz val="11"/>
      <color indexed="9"/>
      <name val="Wingdings 2"/>
      <family val="1"/>
      <charset val="2"/>
    </font>
    <font>
      <sz val="11"/>
      <color indexed="9"/>
      <name val="ＭＳ ゴシック"/>
      <family val="3"/>
      <charset val="128"/>
    </font>
    <font>
      <sz val="11"/>
      <name val="ＭＳ ゴシック"/>
      <family val="3"/>
      <charset val="128"/>
    </font>
    <font>
      <sz val="11"/>
      <color indexed="22"/>
      <name val="ＭＳ Ｐゴシック"/>
      <family val="3"/>
      <charset val="128"/>
    </font>
  </fonts>
  <fills count="21">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E2EFDA"/>
        <bgColor indexed="64"/>
      </patternFill>
    </fill>
    <fill>
      <patternFill patternType="solid">
        <fgColor rgb="FFD9EAD3"/>
      </patternFill>
    </fill>
    <fill>
      <patternFill patternType="solid">
        <fgColor indexed="62"/>
        <bgColor indexed="64"/>
      </patternFill>
    </fill>
    <fill>
      <patternFill patternType="solid">
        <fgColor indexed="21"/>
        <bgColor indexed="64"/>
      </patternFill>
    </fill>
    <fill>
      <patternFill patternType="solid">
        <fgColor indexed="23"/>
        <bgColor indexed="64"/>
      </patternFill>
    </fill>
    <fill>
      <patternFill patternType="solid">
        <fgColor rgb="FF008080"/>
        <bgColor indexed="64"/>
      </patternFill>
    </fill>
    <fill>
      <patternFill patternType="solid">
        <fgColor rgb="FF333399"/>
        <bgColor indexed="64"/>
      </patternFill>
    </fill>
    <fill>
      <patternFill patternType="solid">
        <fgColor rgb="FF00B0F0"/>
        <bgColor indexed="64"/>
      </patternFill>
    </fill>
    <fill>
      <patternFill patternType="solid">
        <fgColor rgb="FFFF0000"/>
        <bgColor indexed="64"/>
      </patternFill>
    </fill>
    <fill>
      <patternFill patternType="solid">
        <fgColor indexed="38"/>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bottom style="medium">
        <color indexed="64"/>
      </bottom>
      <diagonal/>
    </border>
    <border>
      <left style="thin">
        <color auto="1"/>
      </left>
      <right style="thin">
        <color auto="1"/>
      </right>
      <top/>
      <bottom/>
      <diagonal/>
    </border>
    <border>
      <left style="thin">
        <color auto="1"/>
      </left>
      <right style="thin">
        <color auto="1"/>
      </right>
      <top/>
      <bottom style="medium">
        <color indexed="64"/>
      </bottom>
      <diagonal/>
    </border>
    <border>
      <left/>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bottom style="medium">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medium">
        <color auto="1"/>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bottom/>
      <diagonal/>
    </border>
    <border>
      <left style="medium">
        <color indexed="64"/>
      </left>
      <right style="thin">
        <color auto="1"/>
      </right>
      <top/>
      <bottom/>
      <diagonal/>
    </border>
    <border>
      <left/>
      <right style="medium">
        <color auto="1"/>
      </right>
      <top/>
      <bottom/>
      <diagonal/>
    </border>
    <border>
      <left/>
      <right style="medium">
        <color auto="1"/>
      </right>
      <top/>
      <bottom style="thin">
        <color indexed="64"/>
      </bottom>
      <diagonal/>
    </border>
    <border>
      <left/>
      <right style="medium">
        <color indexed="64"/>
      </right>
      <top/>
      <bottom style="medium">
        <color indexed="64"/>
      </bottom>
      <diagonal/>
    </border>
    <border>
      <left style="medium">
        <color indexed="64"/>
      </left>
      <right style="thin">
        <color auto="1"/>
      </right>
      <top/>
      <bottom style="thin">
        <color indexed="64"/>
      </bottom>
      <diagonal/>
    </border>
    <border>
      <left/>
      <right style="medium">
        <color indexed="64"/>
      </right>
      <top style="thin">
        <color indexed="64"/>
      </top>
      <bottom style="thin">
        <color indexed="64"/>
      </bottom>
      <diagonal/>
    </border>
    <border>
      <left style="thin">
        <color auto="1"/>
      </left>
      <right style="thin">
        <color auto="1"/>
      </right>
      <top style="medium">
        <color auto="1"/>
      </top>
      <bottom style="thin">
        <color auto="1"/>
      </bottom>
      <diagonal/>
    </border>
    <border>
      <left style="thin">
        <color indexed="64"/>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medium">
        <color auto="1"/>
      </top>
      <bottom style="medium">
        <color indexed="64"/>
      </bottom>
      <diagonal/>
    </border>
    <border>
      <left style="thin">
        <color auto="1"/>
      </left>
      <right style="thin">
        <color auto="1"/>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medium">
        <color auto="1"/>
      </right>
      <top style="medium">
        <color indexed="64"/>
      </top>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style="thin">
        <color auto="1"/>
      </left>
      <right style="thin">
        <color auto="1"/>
      </right>
      <top style="thin">
        <color auto="1"/>
      </top>
      <bottom/>
      <diagonal/>
    </border>
  </borders>
  <cellStyleXfs count="9">
    <xf numFmtId="0" fontId="0" fillId="0" borderId="0">
      <alignment vertical="center"/>
    </xf>
    <xf numFmtId="0" fontId="2" fillId="0" borderId="0">
      <alignment vertical="center"/>
    </xf>
    <xf numFmtId="0" fontId="2" fillId="0" borderId="0">
      <alignment vertical="center"/>
    </xf>
    <xf numFmtId="0" fontId="14" fillId="0" borderId="0">
      <alignment vertical="center"/>
    </xf>
    <xf numFmtId="0" fontId="15" fillId="0" borderId="0">
      <alignment vertical="center"/>
    </xf>
    <xf numFmtId="0" fontId="2" fillId="0" borderId="0">
      <alignment vertical="center"/>
    </xf>
    <xf numFmtId="0" fontId="24" fillId="0" borderId="0"/>
    <xf numFmtId="0" fontId="33" fillId="0" borderId="0">
      <alignment vertical="center"/>
    </xf>
    <xf numFmtId="38" fontId="33" fillId="0" borderId="0" applyFont="0" applyFill="0" applyBorder="0" applyAlignment="0" applyProtection="0">
      <alignment vertical="center"/>
    </xf>
  </cellStyleXfs>
  <cellXfs count="335">
    <xf numFmtId="0" fontId="0" fillId="0" borderId="0" xfId="0">
      <alignment vertical="center"/>
    </xf>
    <xf numFmtId="0" fontId="3" fillId="0" borderId="8" xfId="0" applyFont="1" applyBorder="1">
      <alignment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3" fillId="0" borderId="0" xfId="0" applyFont="1">
      <alignment vertical="center"/>
    </xf>
    <xf numFmtId="0" fontId="4" fillId="0" borderId="8" xfId="0" applyFont="1" applyBorder="1">
      <alignment vertical="center"/>
    </xf>
    <xf numFmtId="0" fontId="4" fillId="0" borderId="3" xfId="0" applyFont="1" applyBorder="1">
      <alignment vertical="center"/>
    </xf>
    <xf numFmtId="0" fontId="4" fillId="0" borderId="8" xfId="0" applyFont="1" applyFill="1" applyBorder="1">
      <alignment vertical="center"/>
    </xf>
    <xf numFmtId="0" fontId="4" fillId="5" borderId="5" xfId="0" applyFont="1" applyFill="1" applyBorder="1">
      <alignment vertical="center"/>
    </xf>
    <xf numFmtId="0" fontId="4" fillId="0" borderId="3" xfId="0" applyFont="1" applyFill="1" applyBorder="1" applyAlignment="1">
      <alignment horizontal="center" vertical="center"/>
    </xf>
    <xf numFmtId="0" fontId="4" fillId="0" borderId="9" xfId="0" applyFont="1" applyFill="1" applyBorder="1">
      <alignment vertical="center"/>
    </xf>
    <xf numFmtId="0" fontId="4" fillId="0" borderId="12" xfId="0" applyFont="1" applyBorder="1" applyAlignment="1">
      <alignment horizontal="center" vertical="center"/>
    </xf>
    <xf numFmtId="0" fontId="4" fillId="0" borderId="13" xfId="0" applyFont="1" applyBorder="1" applyAlignment="1">
      <alignment horizontal="center" vertical="center"/>
    </xf>
    <xf numFmtId="0" fontId="4" fillId="0" borderId="3" xfId="0" applyFont="1" applyFill="1" applyBorder="1">
      <alignment vertical="center"/>
    </xf>
    <xf numFmtId="0" fontId="4" fillId="0" borderId="0" xfId="0" applyFont="1" applyFill="1">
      <alignment vertical="center"/>
    </xf>
    <xf numFmtId="0" fontId="4" fillId="0" borderId="5" xfId="0" applyFont="1" applyFill="1" applyBorder="1" applyAlignment="1">
      <alignment vertical="center"/>
    </xf>
    <xf numFmtId="0" fontId="3" fillId="0" borderId="0" xfId="0" applyFont="1" applyFill="1" applyBorder="1" applyAlignment="1">
      <alignment vertical="center"/>
    </xf>
    <xf numFmtId="0" fontId="4" fillId="0" borderId="12" xfId="0" applyFont="1" applyFill="1" applyBorder="1" applyAlignment="1">
      <alignment vertical="center"/>
    </xf>
    <xf numFmtId="0" fontId="4" fillId="6" borderId="12" xfId="0" applyFont="1" applyFill="1" applyBorder="1">
      <alignment vertical="center"/>
    </xf>
    <xf numFmtId="0" fontId="4" fillId="7" borderId="12" xfId="0" applyFont="1" applyFill="1" applyBorder="1">
      <alignment vertical="center"/>
    </xf>
    <xf numFmtId="0" fontId="4" fillId="0" borderId="13" xfId="0" applyFont="1" applyFill="1" applyBorder="1">
      <alignment vertical="center"/>
    </xf>
    <xf numFmtId="20" fontId="4" fillId="0" borderId="12" xfId="0" applyNumberFormat="1" applyFont="1" applyBorder="1" applyAlignment="1">
      <alignment horizontal="center" vertical="center"/>
    </xf>
    <xf numFmtId="0" fontId="10" fillId="0" borderId="0" xfId="0" applyFont="1" applyBorder="1" applyAlignment="1">
      <alignment horizontal="center" vertical="center"/>
    </xf>
    <xf numFmtId="0" fontId="3" fillId="0" borderId="0" xfId="0" applyFont="1" applyFill="1" applyBorder="1">
      <alignment vertical="center"/>
    </xf>
    <xf numFmtId="0" fontId="4" fillId="0" borderId="0" xfId="0" applyFont="1" applyFill="1" applyBorder="1">
      <alignment vertical="center"/>
    </xf>
    <xf numFmtId="0" fontId="4" fillId="0" borderId="12" xfId="0" applyFont="1" applyFill="1" applyBorder="1" applyAlignment="1">
      <alignment horizontal="center" vertical="center"/>
    </xf>
    <xf numFmtId="0" fontId="7" fillId="0" borderId="0" xfId="0" applyFont="1" applyBorder="1">
      <alignment vertical="center"/>
    </xf>
    <xf numFmtId="0" fontId="10" fillId="0" borderId="0" xfId="0" applyFont="1" applyBorder="1">
      <alignment vertical="center"/>
    </xf>
    <xf numFmtId="0" fontId="4" fillId="0" borderId="18" xfId="0" applyFont="1" applyBorder="1" applyAlignment="1">
      <alignment horizontal="center" vertical="center"/>
    </xf>
    <xf numFmtId="0" fontId="4" fillId="0" borderId="22" xfId="0" applyFont="1" applyBorder="1" applyAlignment="1">
      <alignment horizontal="center" vertical="center"/>
    </xf>
    <xf numFmtId="0" fontId="5" fillId="0" borderId="19" xfId="0" applyFont="1" applyBorder="1">
      <alignment vertical="center"/>
    </xf>
    <xf numFmtId="0" fontId="8" fillId="0" borderId="0" xfId="0" applyFont="1" applyFill="1" applyBorder="1">
      <alignment vertical="center"/>
    </xf>
    <xf numFmtId="0" fontId="8" fillId="0" borderId="0" xfId="0" applyFont="1" applyFill="1" applyBorder="1" applyAlignment="1">
      <alignment vertical="center" wrapText="1"/>
    </xf>
    <xf numFmtId="0" fontId="4" fillId="0" borderId="0" xfId="0" applyFont="1" applyFill="1" applyBorder="1" applyAlignment="1">
      <alignment horizontal="left" vertical="center"/>
    </xf>
    <xf numFmtId="0" fontId="10" fillId="0" borderId="0" xfId="0" applyFont="1" applyFill="1" applyBorder="1">
      <alignment vertical="center"/>
    </xf>
    <xf numFmtId="0" fontId="11" fillId="0" borderId="0" xfId="0" applyFont="1" applyBorder="1">
      <alignment vertical="center"/>
    </xf>
    <xf numFmtId="0" fontId="4" fillId="0" borderId="0" xfId="0" applyFont="1" applyFill="1" applyBorder="1" applyAlignment="1">
      <alignment horizontal="center" vertical="center" textRotation="255"/>
    </xf>
    <xf numFmtId="0" fontId="5" fillId="0" borderId="0" xfId="0" applyFont="1" applyFill="1" applyBorder="1">
      <alignment vertical="center"/>
    </xf>
    <xf numFmtId="0" fontId="7" fillId="0" borderId="0" xfId="0" applyFont="1" applyFill="1" applyBorder="1">
      <alignment vertical="center"/>
    </xf>
    <xf numFmtId="0" fontId="4" fillId="0" borderId="2" xfId="0" applyFont="1" applyBorder="1">
      <alignment vertical="center"/>
    </xf>
    <xf numFmtId="0" fontId="4" fillId="0" borderId="0"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12" xfId="0" applyFont="1" applyFill="1" applyBorder="1">
      <alignment vertical="center"/>
    </xf>
    <xf numFmtId="0" fontId="0" fillId="0" borderId="0" xfId="0">
      <alignment vertical="center"/>
    </xf>
    <xf numFmtId="0" fontId="4" fillId="0" borderId="0" xfId="0" applyFont="1">
      <alignment vertical="center"/>
    </xf>
    <xf numFmtId="0" fontId="4" fillId="0" borderId="5" xfId="0" applyFont="1" applyBorder="1" applyAlignment="1">
      <alignment horizontal="center" vertical="center"/>
    </xf>
    <xf numFmtId="0" fontId="4" fillId="0" borderId="0" xfId="0" applyFont="1" applyBorder="1" applyAlignment="1">
      <alignment horizontal="center" vertical="center"/>
    </xf>
    <xf numFmtId="0" fontId="4" fillId="0" borderId="5" xfId="0" applyFont="1" applyBorder="1">
      <alignment vertical="center"/>
    </xf>
    <xf numFmtId="0" fontId="4" fillId="0" borderId="0" xfId="0" applyFont="1" applyBorder="1">
      <alignment vertical="center"/>
    </xf>
    <xf numFmtId="0" fontId="4" fillId="0" borderId="5" xfId="0" applyFont="1" applyFill="1" applyBorder="1" applyAlignment="1">
      <alignment horizontal="center" vertical="center"/>
    </xf>
    <xf numFmtId="0" fontId="3" fillId="0" borderId="8" xfId="0" applyFont="1" applyFill="1" applyBorder="1" applyAlignment="1">
      <alignment vertical="center"/>
    </xf>
    <xf numFmtId="0" fontId="4" fillId="8" borderId="24" xfId="0" applyFont="1" applyFill="1" applyBorder="1" applyAlignment="1">
      <alignment horizontal="center" vertical="center"/>
    </xf>
    <xf numFmtId="0" fontId="4" fillId="8" borderId="26" xfId="0" applyFont="1" applyFill="1" applyBorder="1" applyAlignment="1">
      <alignment vertical="center"/>
    </xf>
    <xf numFmtId="0" fontId="5" fillId="8" borderId="24" xfId="0" applyFont="1" applyFill="1" applyBorder="1" applyAlignment="1">
      <alignment horizontal="left" vertical="center"/>
    </xf>
    <xf numFmtId="0" fontId="4" fillId="0" borderId="5" xfId="0" applyFont="1" applyFill="1" applyBorder="1" applyAlignment="1">
      <alignment horizontal="left" vertical="center"/>
    </xf>
    <xf numFmtId="0" fontId="4" fillId="0" borderId="2" xfId="0" applyFont="1" applyFill="1" applyBorder="1" applyAlignment="1">
      <alignment horizontal="left" vertical="center"/>
    </xf>
    <xf numFmtId="0" fontId="6" fillId="0" borderId="19" xfId="0" applyFont="1" applyBorder="1" applyAlignment="1">
      <alignment horizontal="left" vertical="center"/>
    </xf>
    <xf numFmtId="0" fontId="4" fillId="8" borderId="27" xfId="0" applyFont="1" applyFill="1" applyBorder="1" applyAlignment="1">
      <alignment vertical="center"/>
    </xf>
    <xf numFmtId="0" fontId="12" fillId="0" borderId="0" xfId="0" applyFont="1" applyBorder="1" applyAlignment="1">
      <alignment horizontal="left" vertical="center"/>
    </xf>
    <xf numFmtId="0" fontId="3" fillId="0" borderId="12" xfId="0" applyFont="1" applyFill="1" applyBorder="1" applyAlignment="1">
      <alignment vertical="center"/>
    </xf>
    <xf numFmtId="0" fontId="3" fillId="8" borderId="25" xfId="0" applyFont="1" applyFill="1" applyBorder="1" applyAlignment="1">
      <alignment vertical="center"/>
    </xf>
    <xf numFmtId="0" fontId="3" fillId="8" borderId="26" xfId="0" applyFont="1" applyFill="1" applyBorder="1" applyAlignment="1">
      <alignment vertical="center"/>
    </xf>
    <xf numFmtId="0" fontId="3" fillId="0" borderId="12" xfId="0" applyFont="1" applyBorder="1">
      <alignment vertical="center"/>
    </xf>
    <xf numFmtId="0" fontId="3" fillId="0" borderId="12" xfId="0" applyFont="1" applyFill="1" applyBorder="1">
      <alignment vertical="center"/>
    </xf>
    <xf numFmtId="0" fontId="17" fillId="0" borderId="0" xfId="0" applyFont="1" applyAlignment="1">
      <alignment horizontal="left"/>
    </xf>
    <xf numFmtId="0" fontId="13" fillId="0" borderId="0" xfId="0" applyFont="1" applyAlignment="1">
      <alignment horizontal="center"/>
    </xf>
    <xf numFmtId="0" fontId="13" fillId="0" borderId="0" xfId="0" applyFont="1" applyBorder="1" applyAlignment="1">
      <alignment horizontal="left"/>
    </xf>
    <xf numFmtId="0" fontId="13" fillId="0" borderId="0" xfId="0" applyFont="1" applyBorder="1" applyAlignment="1"/>
    <xf numFmtId="0" fontId="13" fillId="0" borderId="0" xfId="0" applyFont="1" applyBorder="1" applyAlignment="1">
      <alignment horizontal="center" vertical="center"/>
    </xf>
    <xf numFmtId="0" fontId="13" fillId="0" borderId="0" xfId="0" applyFont="1" applyBorder="1" applyAlignment="1">
      <alignment wrapText="1"/>
    </xf>
    <xf numFmtId="0" fontId="4" fillId="0" borderId="18" xfId="0" applyFont="1" applyFill="1" applyBorder="1" applyAlignment="1">
      <alignment horizontal="center" vertical="center"/>
    </xf>
    <xf numFmtId="0" fontId="4" fillId="8" borderId="32" xfId="0" applyFont="1" applyFill="1" applyBorder="1" applyAlignment="1">
      <alignment horizontal="center" vertical="center"/>
    </xf>
    <xf numFmtId="0" fontId="4" fillId="0" borderId="34" xfId="0" applyFont="1" applyFill="1" applyBorder="1" applyAlignment="1">
      <alignment horizontal="center" vertical="center"/>
    </xf>
    <xf numFmtId="0" fontId="4" fillId="0" borderId="4" xfId="0" applyFont="1" applyFill="1" applyBorder="1" applyAlignment="1">
      <alignment vertical="center"/>
    </xf>
    <xf numFmtId="0" fontId="4" fillId="2" borderId="36" xfId="0" applyFont="1" applyFill="1" applyBorder="1" applyAlignment="1">
      <alignment horizontal="center" vertical="center"/>
    </xf>
    <xf numFmtId="0" fontId="4" fillId="2" borderId="29"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8" xfId="0" applyFont="1" applyFill="1" applyBorder="1" applyAlignment="1">
      <alignment horizontal="center" vertical="center"/>
    </xf>
    <xf numFmtId="0" fontId="4" fillId="2" borderId="39" xfId="0" applyFont="1" applyFill="1" applyBorder="1" applyAlignment="1">
      <alignment horizontal="center" vertical="center"/>
    </xf>
    <xf numFmtId="20" fontId="4" fillId="0" borderId="0" xfId="0" applyNumberFormat="1" applyFont="1" applyBorder="1">
      <alignment vertical="center"/>
    </xf>
    <xf numFmtId="0" fontId="4" fillId="0" borderId="5" xfId="0" applyFont="1" applyBorder="1" applyAlignment="1">
      <alignment horizontal="right" vertical="center"/>
    </xf>
    <xf numFmtId="0" fontId="12" fillId="0" borderId="0" xfId="0" applyFont="1" applyBorder="1" applyAlignment="1">
      <alignment vertical="center"/>
    </xf>
    <xf numFmtId="0" fontId="4" fillId="0" borderId="4" xfId="0" applyFont="1" applyFill="1" applyBorder="1" applyAlignment="1">
      <alignment horizontal="center" vertical="center"/>
    </xf>
    <xf numFmtId="0" fontId="12" fillId="0" borderId="4" xfId="0" applyFont="1" applyBorder="1" applyAlignment="1">
      <alignment vertical="center"/>
    </xf>
    <xf numFmtId="0" fontId="4" fillId="0" borderId="19" xfId="0" applyFont="1" applyFill="1" applyBorder="1" applyAlignment="1">
      <alignment vertical="center"/>
    </xf>
    <xf numFmtId="0" fontId="4" fillId="0" borderId="41" xfId="0" applyFont="1" applyFill="1" applyBorder="1" applyAlignment="1">
      <alignment vertical="center"/>
    </xf>
    <xf numFmtId="0" fontId="4" fillId="0" borderId="0" xfId="0" applyFont="1" applyFill="1" applyBorder="1" applyAlignment="1">
      <alignment vertical="center"/>
    </xf>
    <xf numFmtId="0" fontId="3" fillId="0" borderId="19" xfId="0" applyFont="1" applyFill="1" applyBorder="1" applyAlignment="1">
      <alignment vertical="center"/>
    </xf>
    <xf numFmtId="0" fontId="4" fillId="0" borderId="21" xfId="0" applyFont="1" applyFill="1" applyBorder="1" applyAlignment="1">
      <alignment vertical="center"/>
    </xf>
    <xf numFmtId="0" fontId="12" fillId="0" borderId="11" xfId="0" applyFont="1" applyBorder="1" applyAlignment="1">
      <alignment vertical="center"/>
    </xf>
    <xf numFmtId="0" fontId="5" fillId="0" borderId="5" xfId="0" applyFont="1" applyFill="1" applyBorder="1" applyAlignment="1">
      <alignment horizontal="left" vertical="center"/>
    </xf>
    <xf numFmtId="0" fontId="3" fillId="5" borderId="0" xfId="0" applyFont="1" applyFill="1" applyBorder="1">
      <alignment vertical="center"/>
    </xf>
    <xf numFmtId="0" fontId="4" fillId="5" borderId="8" xfId="0" applyFont="1" applyFill="1" applyBorder="1">
      <alignment vertical="center"/>
    </xf>
    <xf numFmtId="0" fontId="4" fillId="5" borderId="12" xfId="0" applyFont="1" applyFill="1" applyBorder="1" applyAlignment="1">
      <alignment horizontal="center" vertical="center"/>
    </xf>
    <xf numFmtId="0" fontId="4" fillId="5" borderId="0" xfId="0" applyFont="1" applyFill="1" applyBorder="1" applyAlignment="1">
      <alignment horizontal="center" vertical="center"/>
    </xf>
    <xf numFmtId="0" fontId="4" fillId="0" borderId="13" xfId="0" applyFont="1" applyFill="1" applyBorder="1" applyAlignment="1">
      <alignment horizontal="center" vertical="center"/>
    </xf>
    <xf numFmtId="0" fontId="4" fillId="5" borderId="0" xfId="0" applyFont="1" applyFill="1" applyBorder="1">
      <alignment vertical="center"/>
    </xf>
    <xf numFmtId="0" fontId="4" fillId="5" borderId="3" xfId="0" applyFont="1" applyFill="1" applyBorder="1">
      <alignment vertical="center"/>
    </xf>
    <xf numFmtId="0" fontId="5" fillId="0" borderId="20" xfId="0" applyFont="1" applyBorder="1">
      <alignment vertical="center"/>
    </xf>
    <xf numFmtId="0" fontId="13" fillId="2" borderId="32" xfId="0" applyFont="1" applyFill="1" applyBorder="1" applyAlignment="1">
      <alignment horizontal="right" vertical="center"/>
    </xf>
    <xf numFmtId="0" fontId="13" fillId="0" borderId="0" xfId="0" applyFont="1">
      <alignment vertical="center"/>
    </xf>
    <xf numFmtId="0" fontId="13" fillId="2" borderId="43" xfId="0" applyFont="1" applyFill="1" applyBorder="1" applyAlignment="1">
      <alignment horizontal="right" vertical="center"/>
    </xf>
    <xf numFmtId="14" fontId="17" fillId="3" borderId="44" xfId="0" applyNumberFormat="1" applyFont="1" applyFill="1" applyBorder="1" applyAlignment="1">
      <alignment horizontal="left" vertical="center"/>
    </xf>
    <xf numFmtId="0" fontId="17" fillId="3" borderId="44" xfId="0" applyFont="1" applyFill="1" applyBorder="1" applyAlignment="1">
      <alignment horizontal="left" vertical="center"/>
    </xf>
    <xf numFmtId="0" fontId="13" fillId="0" borderId="0" xfId="0" applyFont="1" applyAlignment="1">
      <alignment horizontal="left" vertical="center"/>
    </xf>
    <xf numFmtId="0" fontId="13" fillId="0" borderId="0" xfId="0" applyFont="1" applyAlignment="1">
      <alignment horizontal="center" vertical="center"/>
    </xf>
    <xf numFmtId="0" fontId="13" fillId="0" borderId="0" xfId="0" applyFont="1" applyAlignment="1">
      <alignment vertical="center"/>
    </xf>
    <xf numFmtId="0" fontId="17" fillId="10" borderId="42" xfId="0" applyFont="1" applyFill="1" applyBorder="1" applyAlignment="1">
      <alignment horizontal="left" vertical="center"/>
    </xf>
    <xf numFmtId="0" fontId="17" fillId="10" borderId="15" xfId="0" applyFont="1" applyFill="1" applyBorder="1" applyAlignment="1">
      <alignment horizontal="left" vertical="center"/>
    </xf>
    <xf numFmtId="0" fontId="17" fillId="10" borderId="44" xfId="0" applyFont="1" applyFill="1" applyBorder="1" applyAlignment="1">
      <alignment horizontal="left" vertical="center"/>
    </xf>
    <xf numFmtId="0" fontId="17" fillId="10" borderId="1" xfId="0" applyFont="1" applyFill="1" applyBorder="1" applyAlignment="1">
      <alignment horizontal="left" vertical="center"/>
    </xf>
    <xf numFmtId="0" fontId="18" fillId="10" borderId="1" xfId="0" applyFont="1" applyFill="1" applyBorder="1" applyAlignment="1">
      <alignment horizontal="left" vertical="center"/>
    </xf>
    <xf numFmtId="0" fontId="17" fillId="10" borderId="29" xfId="0" applyFont="1" applyFill="1" applyBorder="1" applyAlignment="1">
      <alignment horizontal="left" vertical="center"/>
    </xf>
    <xf numFmtId="0" fontId="17" fillId="10" borderId="45" xfId="0" applyFont="1" applyFill="1" applyBorder="1" applyAlignment="1">
      <alignment horizontal="left" vertical="center"/>
    </xf>
    <xf numFmtId="0" fontId="11" fillId="2" borderId="1" xfId="0" applyFont="1" applyFill="1" applyBorder="1" applyAlignment="1">
      <alignment horizontal="center" vertical="center" wrapText="1"/>
    </xf>
    <xf numFmtId="0" fontId="11" fillId="2" borderId="1" xfId="0" applyFont="1" applyFill="1" applyBorder="1" applyAlignment="1">
      <alignment horizontal="center" vertical="center"/>
    </xf>
    <xf numFmtId="0" fontId="13" fillId="0" borderId="1" xfId="0" applyFont="1" applyBorder="1" applyAlignment="1">
      <alignment horizontal="center" vertical="center" wrapText="1"/>
    </xf>
    <xf numFmtId="0" fontId="13" fillId="0" borderId="1" xfId="0" applyFont="1" applyBorder="1" applyAlignment="1">
      <alignment horizontal="left" vertical="center" wrapText="1"/>
    </xf>
    <xf numFmtId="0" fontId="13" fillId="0" borderId="1" xfId="0" applyFont="1" applyBorder="1" applyAlignment="1">
      <alignment vertical="center" wrapText="1"/>
    </xf>
    <xf numFmtId="0" fontId="13" fillId="0" borderId="1" xfId="0" applyFont="1" applyFill="1" applyBorder="1" applyAlignment="1">
      <alignment horizontal="center" vertical="center" wrapText="1"/>
    </xf>
    <xf numFmtId="0" fontId="6" fillId="6" borderId="0" xfId="0" applyFont="1" applyFill="1" applyBorder="1">
      <alignment vertical="center"/>
    </xf>
    <xf numFmtId="0" fontId="4" fillId="6" borderId="0" xfId="0" applyFont="1" applyFill="1" applyBorder="1">
      <alignment vertical="center"/>
    </xf>
    <xf numFmtId="0" fontId="4" fillId="6" borderId="0" xfId="0" applyFont="1" applyFill="1" applyBorder="1" applyAlignment="1">
      <alignment horizontal="center" vertical="center"/>
    </xf>
    <xf numFmtId="0" fontId="3" fillId="6" borderId="12" xfId="0" applyFont="1" applyFill="1" applyBorder="1" applyAlignment="1">
      <alignment vertical="center"/>
    </xf>
    <xf numFmtId="0" fontId="3" fillId="6" borderId="12" xfId="0" applyFont="1" applyFill="1" applyBorder="1">
      <alignment vertical="center"/>
    </xf>
    <xf numFmtId="0" fontId="3" fillId="6" borderId="0" xfId="0" applyFont="1" applyFill="1" applyBorder="1">
      <alignment vertical="center"/>
    </xf>
    <xf numFmtId="0" fontId="3" fillId="7" borderId="12" xfId="0" applyFont="1" applyFill="1" applyBorder="1" applyAlignment="1">
      <alignment vertical="center"/>
    </xf>
    <xf numFmtId="0" fontId="6" fillId="7" borderId="0" xfId="0" applyFont="1" applyFill="1" applyBorder="1">
      <alignment vertical="center"/>
    </xf>
    <xf numFmtId="0" fontId="4" fillId="7" borderId="0" xfId="0" applyFont="1" applyFill="1" applyBorder="1">
      <alignment vertical="center"/>
    </xf>
    <xf numFmtId="0" fontId="4" fillId="7" borderId="0" xfId="0" applyFont="1" applyFill="1" applyBorder="1" applyAlignment="1">
      <alignment horizontal="center" vertical="center"/>
    </xf>
    <xf numFmtId="0" fontId="3" fillId="7" borderId="12" xfId="0" applyFont="1" applyFill="1" applyBorder="1">
      <alignment vertical="center"/>
    </xf>
    <xf numFmtId="0" fontId="3" fillId="7" borderId="0" xfId="0" applyFont="1" applyFill="1" applyBorder="1">
      <alignment vertical="center"/>
    </xf>
    <xf numFmtId="0" fontId="4" fillId="5" borderId="9" xfId="0" applyFont="1" applyFill="1" applyBorder="1">
      <alignment vertical="center"/>
    </xf>
    <xf numFmtId="0" fontId="4" fillId="5" borderId="2" xfId="0" applyFont="1" applyFill="1" applyBorder="1">
      <alignment vertical="center"/>
    </xf>
    <xf numFmtId="0" fontId="4" fillId="5" borderId="13" xfId="0" applyFont="1" applyFill="1" applyBorder="1" applyAlignment="1">
      <alignment horizontal="center" vertical="center"/>
    </xf>
    <xf numFmtId="0" fontId="4" fillId="5" borderId="3" xfId="0" applyFont="1" applyFill="1" applyBorder="1" applyAlignment="1">
      <alignment horizontal="center" vertical="center"/>
    </xf>
    <xf numFmtId="0" fontId="9" fillId="10" borderId="19" xfId="0" applyFont="1" applyFill="1" applyBorder="1" applyAlignment="1">
      <alignment horizontal="left" vertical="center"/>
    </xf>
    <xf numFmtId="0" fontId="6" fillId="10" borderId="19" xfId="0" applyFont="1" applyFill="1" applyBorder="1" applyAlignment="1">
      <alignment horizontal="left" vertical="center"/>
    </xf>
    <xf numFmtId="0" fontId="4" fillId="10" borderId="0" xfId="0" applyFont="1" applyFill="1" applyBorder="1" applyAlignment="1">
      <alignment horizontal="center" vertical="center"/>
    </xf>
    <xf numFmtId="0" fontId="4" fillId="2" borderId="39" xfId="0" applyFont="1" applyFill="1" applyBorder="1" applyAlignment="1">
      <alignment horizontal="left" vertical="center"/>
    </xf>
    <xf numFmtId="0" fontId="4" fillId="0" borderId="41" xfId="0" applyFont="1" applyFill="1" applyBorder="1" applyAlignment="1">
      <alignment horizontal="left" vertical="center"/>
    </xf>
    <xf numFmtId="0" fontId="4" fillId="0" borderId="19" xfId="0" applyFont="1" applyFill="1" applyBorder="1" applyAlignment="1">
      <alignment horizontal="left" vertical="center"/>
    </xf>
    <xf numFmtId="0" fontId="3" fillId="0" borderId="19" xfId="0" applyFont="1" applyFill="1" applyBorder="1" applyAlignment="1">
      <alignment horizontal="left" vertical="center"/>
    </xf>
    <xf numFmtId="0" fontId="4" fillId="0" borderId="21" xfId="0" applyFont="1" applyFill="1" applyBorder="1" applyAlignment="1">
      <alignment horizontal="left" vertical="center"/>
    </xf>
    <xf numFmtId="0" fontId="3" fillId="0" borderId="19" xfId="0" applyFont="1" applyBorder="1" applyAlignment="1">
      <alignment horizontal="left" vertical="center"/>
    </xf>
    <xf numFmtId="0" fontId="5" fillId="0" borderId="19" xfId="0" applyFont="1" applyBorder="1" applyAlignment="1">
      <alignment horizontal="left" vertical="center"/>
    </xf>
    <xf numFmtId="0" fontId="5" fillId="0" borderId="20" xfId="0" applyFont="1" applyBorder="1" applyAlignment="1">
      <alignment horizontal="left" vertical="center"/>
    </xf>
    <xf numFmtId="0" fontId="10" fillId="0" borderId="19" xfId="0" applyFont="1" applyBorder="1" applyAlignment="1">
      <alignment horizontal="left" vertical="center"/>
    </xf>
    <xf numFmtId="0" fontId="5" fillId="6" borderId="19" xfId="0" applyFont="1" applyFill="1" applyBorder="1" applyAlignment="1">
      <alignment horizontal="left" vertical="center"/>
    </xf>
    <xf numFmtId="0" fontId="9" fillId="0" borderId="19" xfId="0" applyFont="1" applyFill="1" applyBorder="1" applyAlignment="1">
      <alignment horizontal="left" vertical="center"/>
    </xf>
    <xf numFmtId="0" fontId="9" fillId="6" borderId="19" xfId="0" applyFont="1" applyFill="1" applyBorder="1" applyAlignment="1">
      <alignment horizontal="left" vertical="center"/>
    </xf>
    <xf numFmtId="0" fontId="5" fillId="7" borderId="19" xfId="0" applyFont="1" applyFill="1" applyBorder="1" applyAlignment="1">
      <alignment horizontal="left" vertical="center"/>
    </xf>
    <xf numFmtId="0" fontId="9" fillId="7" borderId="19" xfId="0" applyFont="1" applyFill="1" applyBorder="1" applyAlignment="1">
      <alignment horizontal="left" vertical="center"/>
    </xf>
    <xf numFmtId="0" fontId="6" fillId="0" borderId="19" xfId="0" applyFont="1" applyFill="1" applyBorder="1" applyAlignment="1">
      <alignment horizontal="left" vertical="center"/>
    </xf>
    <xf numFmtId="0" fontId="5" fillId="0" borderId="19" xfId="0" applyFont="1" applyFill="1" applyBorder="1" applyAlignment="1">
      <alignment horizontal="left" vertical="center"/>
    </xf>
    <xf numFmtId="0" fontId="5" fillId="5" borderId="19" xfId="0" applyFont="1" applyFill="1" applyBorder="1" applyAlignment="1">
      <alignment horizontal="left" vertical="center"/>
    </xf>
    <xf numFmtId="0" fontId="5" fillId="5" borderId="20" xfId="0" applyFont="1" applyFill="1" applyBorder="1" applyAlignment="1">
      <alignment horizontal="left" vertical="center"/>
    </xf>
    <xf numFmtId="0" fontId="10" fillId="0" borderId="0" xfId="0" applyFont="1" applyFill="1" applyBorder="1" applyAlignment="1">
      <alignment horizontal="left" vertical="center"/>
    </xf>
    <xf numFmtId="0" fontId="13" fillId="0" borderId="0" xfId="0" applyFont="1" applyBorder="1" applyAlignment="1">
      <alignment horizontal="left" wrapText="1"/>
    </xf>
    <xf numFmtId="0" fontId="6" fillId="0" borderId="0" xfId="0" applyFont="1" applyFill="1" applyBorder="1" applyAlignment="1">
      <alignment horizontal="left" vertical="center"/>
    </xf>
    <xf numFmtId="0" fontId="3" fillId="0" borderId="0" xfId="0" applyFont="1" applyFill="1" applyBorder="1" applyAlignment="1">
      <alignment horizontal="left" vertical="center"/>
    </xf>
    <xf numFmtId="0" fontId="9" fillId="0" borderId="0" xfId="0" applyFont="1" applyBorder="1" applyAlignment="1">
      <alignment horizontal="left" vertical="center"/>
    </xf>
    <xf numFmtId="0" fontId="3" fillId="0" borderId="0" xfId="0" applyFont="1" applyBorder="1" applyAlignment="1">
      <alignment horizontal="left" vertical="center"/>
    </xf>
    <xf numFmtId="0" fontId="6" fillId="0" borderId="0" xfId="0" applyFont="1" applyBorder="1" applyAlignment="1">
      <alignment horizontal="left" vertical="center"/>
    </xf>
    <xf numFmtId="0" fontId="10" fillId="0" borderId="0" xfId="0" applyFont="1" applyBorder="1" applyAlignment="1">
      <alignment horizontal="left" vertical="center"/>
    </xf>
    <xf numFmtId="0" fontId="4" fillId="0" borderId="0" xfId="0" applyFont="1" applyBorder="1" applyAlignment="1">
      <alignment horizontal="left" vertical="center"/>
    </xf>
    <xf numFmtId="0" fontId="9" fillId="0" borderId="0" xfId="0" applyFont="1" applyFill="1" applyBorder="1" applyAlignment="1">
      <alignment horizontal="left" vertical="center"/>
    </xf>
    <xf numFmtId="0" fontId="5" fillId="0" borderId="0" xfId="0" applyFont="1" applyFill="1" applyBorder="1" applyAlignment="1">
      <alignment horizontal="left" vertical="center"/>
    </xf>
    <xf numFmtId="0" fontId="5" fillId="0" borderId="0" xfId="0" applyFont="1" applyBorder="1" applyAlignment="1">
      <alignment horizontal="left" vertical="center"/>
    </xf>
    <xf numFmtId="0" fontId="4" fillId="0" borderId="8" xfId="0" applyFont="1" applyBorder="1" applyAlignment="1">
      <alignment horizontal="left" vertical="center"/>
    </xf>
    <xf numFmtId="0" fontId="5" fillId="10" borderId="19" xfId="0" applyFont="1" applyFill="1" applyBorder="1" applyAlignment="1">
      <alignment horizontal="left" vertical="center"/>
    </xf>
    <xf numFmtId="0" fontId="4" fillId="10" borderId="12" xfId="0" applyFont="1" applyFill="1" applyBorder="1" applyAlignment="1">
      <alignment horizontal="center" vertical="center"/>
    </xf>
    <xf numFmtId="0" fontId="3" fillId="10" borderId="19" xfId="0" applyFont="1" applyFill="1" applyBorder="1" applyAlignment="1">
      <alignment horizontal="left" vertical="center"/>
    </xf>
    <xf numFmtId="0" fontId="10" fillId="10" borderId="19" xfId="0" applyFont="1" applyFill="1" applyBorder="1" applyAlignment="1">
      <alignment horizontal="left" vertical="center"/>
    </xf>
    <xf numFmtId="0" fontId="3" fillId="10" borderId="0" xfId="0" applyFont="1" applyFill="1" applyBorder="1">
      <alignment vertical="center"/>
    </xf>
    <xf numFmtId="0" fontId="4" fillId="10" borderId="0" xfId="0" applyFont="1" applyFill="1" applyBorder="1">
      <alignment vertical="center"/>
    </xf>
    <xf numFmtId="0" fontId="4" fillId="10" borderId="8" xfId="0" applyFont="1" applyFill="1" applyBorder="1">
      <alignment vertical="center"/>
    </xf>
    <xf numFmtId="0" fontId="4" fillId="10" borderId="5" xfId="0" applyFont="1" applyFill="1" applyBorder="1">
      <alignment vertical="center"/>
    </xf>
    <xf numFmtId="0" fontId="3" fillId="10" borderId="12" xfId="0" applyFont="1" applyFill="1" applyBorder="1">
      <alignment vertical="center"/>
    </xf>
    <xf numFmtId="0" fontId="4" fillId="10" borderId="18"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5" xfId="0" applyFont="1" applyFill="1" applyBorder="1" applyAlignment="1">
      <alignment horizontal="left" vertical="center"/>
    </xf>
    <xf numFmtId="0" fontId="3" fillId="10" borderId="0" xfId="0" applyFont="1" applyFill="1">
      <alignment vertical="center"/>
    </xf>
    <xf numFmtId="0" fontId="3" fillId="10" borderId="8" xfId="0" applyFont="1" applyFill="1" applyBorder="1">
      <alignment vertical="center"/>
    </xf>
    <xf numFmtId="0" fontId="9" fillId="10" borderId="12" xfId="0" applyFont="1" applyFill="1" applyBorder="1">
      <alignment vertical="center"/>
    </xf>
    <xf numFmtId="0" fontId="7" fillId="5" borderId="0" xfId="0" applyFont="1" applyFill="1" applyBorder="1">
      <alignment vertical="center"/>
    </xf>
    <xf numFmtId="0" fontId="4" fillId="10" borderId="22" xfId="0" applyFont="1" applyFill="1" applyBorder="1" applyAlignment="1">
      <alignment horizontal="center" vertical="center"/>
    </xf>
    <xf numFmtId="0" fontId="4" fillId="10" borderId="2" xfId="0" applyFont="1" applyFill="1" applyBorder="1" applyAlignment="1">
      <alignment horizontal="center" vertical="center"/>
    </xf>
    <xf numFmtId="0" fontId="4" fillId="10" borderId="2" xfId="0" applyFont="1" applyFill="1" applyBorder="1" applyAlignment="1">
      <alignment horizontal="left" vertical="center"/>
    </xf>
    <xf numFmtId="0" fontId="4" fillId="10" borderId="12" xfId="0" applyFont="1" applyFill="1" applyBorder="1">
      <alignment vertical="center"/>
    </xf>
    <xf numFmtId="0" fontId="4" fillId="0" borderId="5" xfId="0" applyFont="1" applyBorder="1" applyAlignment="1">
      <alignment horizontal="left" vertical="center"/>
    </xf>
    <xf numFmtId="0" fontId="19" fillId="4" borderId="12" xfId="0" applyFont="1" applyFill="1" applyBorder="1">
      <alignment vertical="center"/>
    </xf>
    <xf numFmtId="0" fontId="20" fillId="4" borderId="0" xfId="0" applyFont="1" applyFill="1" applyBorder="1">
      <alignment vertical="center"/>
    </xf>
    <xf numFmtId="0" fontId="20" fillId="4" borderId="8" xfId="0" applyFont="1" applyFill="1" applyBorder="1">
      <alignment vertical="center"/>
    </xf>
    <xf numFmtId="0" fontId="20" fillId="4" borderId="5" xfId="0" applyFont="1" applyFill="1" applyBorder="1">
      <alignment vertical="center"/>
    </xf>
    <xf numFmtId="0" fontId="20" fillId="4" borderId="12" xfId="0" applyFont="1" applyFill="1" applyBorder="1" applyAlignment="1">
      <alignment horizontal="center" vertical="center"/>
    </xf>
    <xf numFmtId="0" fontId="20" fillId="4" borderId="0" xfId="0" applyFont="1" applyFill="1" applyBorder="1" applyAlignment="1">
      <alignment horizontal="center" vertical="center"/>
    </xf>
    <xf numFmtId="0" fontId="20" fillId="4" borderId="19" xfId="0" applyFont="1" applyFill="1" applyBorder="1" applyAlignment="1">
      <alignment horizontal="left" vertical="center"/>
    </xf>
    <xf numFmtId="0" fontId="19" fillId="0" borderId="12" xfId="0" applyFont="1" applyFill="1" applyBorder="1">
      <alignment vertical="center"/>
    </xf>
    <xf numFmtId="0" fontId="20" fillId="0" borderId="0" xfId="0" applyFont="1" applyFill="1" applyBorder="1">
      <alignment vertical="center"/>
    </xf>
    <xf numFmtId="0" fontId="20" fillId="0" borderId="8" xfId="0" applyFont="1" applyFill="1" applyBorder="1">
      <alignment vertical="center"/>
    </xf>
    <xf numFmtId="0" fontId="20" fillId="0" borderId="5" xfId="0" applyFont="1" applyFill="1" applyBorder="1">
      <alignment vertical="center"/>
    </xf>
    <xf numFmtId="0" fontId="20" fillId="0" borderId="12" xfId="0" applyFont="1" applyFill="1" applyBorder="1" applyAlignment="1">
      <alignment horizontal="center" vertical="center"/>
    </xf>
    <xf numFmtId="0" fontId="20" fillId="0" borderId="0" xfId="0" applyFont="1" applyFill="1" applyBorder="1" applyAlignment="1">
      <alignment horizontal="center" vertical="center"/>
    </xf>
    <xf numFmtId="0" fontId="9" fillId="0" borderId="12" xfId="0" applyFont="1" applyFill="1" applyBorder="1">
      <alignment vertical="center"/>
    </xf>
    <xf numFmtId="0" fontId="10" fillId="0" borderId="20" xfId="0" applyFont="1" applyBorder="1" applyAlignment="1">
      <alignment horizontal="left" vertical="center"/>
    </xf>
    <xf numFmtId="0" fontId="9" fillId="0" borderId="19" xfId="0" applyFont="1" applyBorder="1" applyAlignment="1">
      <alignment horizontal="left" vertical="center"/>
    </xf>
    <xf numFmtId="0" fontId="20" fillId="0" borderId="19" xfId="0" applyFont="1" applyBorder="1" applyAlignment="1">
      <alignment horizontal="left" vertical="center"/>
    </xf>
    <xf numFmtId="0" fontId="0" fillId="0" borderId="0" xfId="0" applyNumberFormat="1">
      <alignment vertical="center"/>
    </xf>
    <xf numFmtId="0" fontId="13" fillId="11" borderId="43" xfId="0" applyFont="1" applyFill="1" applyBorder="1" applyAlignment="1">
      <alignment horizontal="right" vertical="center"/>
    </xf>
    <xf numFmtId="0" fontId="22" fillId="2" borderId="22" xfId="0" applyFont="1" applyFill="1" applyBorder="1" applyAlignment="1">
      <alignment horizontal="right" vertical="top"/>
    </xf>
    <xf numFmtId="0" fontId="23" fillId="3" borderId="16" xfId="0" applyFont="1" applyFill="1" applyBorder="1" applyAlignment="1">
      <alignment horizontal="center" vertical="top"/>
    </xf>
    <xf numFmtId="0" fontId="22" fillId="0" borderId="0" xfId="0" applyFont="1" applyAlignment="1">
      <alignment horizontal="left" vertical="top"/>
    </xf>
    <xf numFmtId="0" fontId="13" fillId="0" borderId="0" xfId="0" applyFont="1" applyAlignment="1">
      <alignment horizontal="right" vertical="center"/>
    </xf>
    <xf numFmtId="0" fontId="17" fillId="0" borderId="0" xfId="0" applyFont="1" applyAlignment="1">
      <alignment horizontal="left" vertical="center"/>
    </xf>
    <xf numFmtId="0" fontId="13" fillId="2" borderId="24" xfId="6" applyFont="1" applyFill="1" applyBorder="1" applyAlignment="1">
      <alignment horizontal="center" vertical="center"/>
    </xf>
    <xf numFmtId="0" fontId="13" fillId="2" borderId="42" xfId="6" applyFont="1" applyFill="1" applyBorder="1" applyAlignment="1">
      <alignment horizontal="center" vertical="center"/>
    </xf>
    <xf numFmtId="0" fontId="13" fillId="0" borderId="0" xfId="6" applyFont="1" applyAlignment="1">
      <alignment vertical="center"/>
    </xf>
    <xf numFmtId="0" fontId="17" fillId="0" borderId="0" xfId="0" applyFont="1">
      <alignment vertical="center"/>
    </xf>
    <xf numFmtId="0" fontId="18" fillId="10" borderId="44" xfId="0" applyFont="1" applyFill="1" applyBorder="1" applyAlignment="1">
      <alignment horizontal="left" vertical="center"/>
    </xf>
    <xf numFmtId="0" fontId="25" fillId="0" borderId="0" xfId="0" applyFont="1" applyAlignment="1">
      <alignment horizontal="left" vertical="top"/>
    </xf>
    <xf numFmtId="0" fontId="26" fillId="0" borderId="0" xfId="0" applyFont="1" applyAlignment="1">
      <alignment horizontal="left" vertical="top"/>
    </xf>
    <xf numFmtId="0" fontId="27" fillId="0" borderId="0" xfId="0" applyFont="1" applyAlignment="1">
      <alignment horizontal="left" vertical="top"/>
    </xf>
    <xf numFmtId="0" fontId="23" fillId="2" borderId="1" xfId="0" applyFont="1" applyFill="1" applyBorder="1" applyAlignment="1">
      <alignment horizontal="left" vertical="top"/>
    </xf>
    <xf numFmtId="0" fontId="28" fillId="9" borderId="1" xfId="0" applyFont="1" applyFill="1" applyBorder="1" applyAlignment="1">
      <alignment horizontal="left" vertical="top"/>
    </xf>
    <xf numFmtId="0" fontId="22" fillId="2" borderId="1" xfId="0" applyFont="1" applyFill="1" applyBorder="1" applyAlignment="1">
      <alignment horizontal="left" vertical="top"/>
    </xf>
    <xf numFmtId="0" fontId="9" fillId="0" borderId="19" xfId="0" applyFont="1" applyBorder="1">
      <alignment vertical="center"/>
    </xf>
    <xf numFmtId="0" fontId="9" fillId="0" borderId="19" xfId="0" applyFont="1" applyFill="1" applyBorder="1">
      <alignment vertical="center"/>
    </xf>
    <xf numFmtId="0" fontId="23" fillId="3" borderId="48" xfId="0" applyFont="1" applyFill="1" applyBorder="1" applyAlignment="1">
      <alignment horizontal="center" vertical="top"/>
    </xf>
    <xf numFmtId="0" fontId="23" fillId="3" borderId="23" xfId="0" applyFont="1" applyFill="1" applyBorder="1" applyAlignment="1">
      <alignment horizontal="center" vertical="top"/>
    </xf>
    <xf numFmtId="0" fontId="22" fillId="2" borderId="33" xfId="0" applyFont="1" applyFill="1" applyBorder="1" applyAlignment="1">
      <alignment horizontal="right" vertical="top"/>
    </xf>
    <xf numFmtId="0" fontId="22" fillId="2" borderId="1" xfId="0" applyFont="1" applyFill="1" applyBorder="1" applyAlignment="1">
      <alignment horizontal="right" vertical="top"/>
    </xf>
    <xf numFmtId="0" fontId="22" fillId="0" borderId="0" xfId="0" applyFont="1" applyFill="1" applyBorder="1" applyAlignment="1">
      <alignment horizontal="left" vertical="top"/>
    </xf>
    <xf numFmtId="0" fontId="3" fillId="0" borderId="3" xfId="0" applyFont="1" applyFill="1" applyBorder="1">
      <alignment vertical="center"/>
    </xf>
    <xf numFmtId="0" fontId="22" fillId="2" borderId="49" xfId="0" applyFont="1" applyFill="1" applyBorder="1" applyAlignment="1">
      <alignment horizontal="right" vertical="top"/>
    </xf>
    <xf numFmtId="0" fontId="28" fillId="0" borderId="0" xfId="0" applyFont="1" applyFill="1" applyBorder="1" applyAlignment="1">
      <alignment horizontal="left" vertical="top"/>
    </xf>
    <xf numFmtId="0" fontId="30" fillId="2" borderId="1" xfId="0" applyFont="1" applyFill="1" applyBorder="1" applyAlignment="1">
      <alignment horizontal="left" vertical="top"/>
    </xf>
    <xf numFmtId="0" fontId="4" fillId="2" borderId="35" xfId="0" applyFont="1" applyFill="1" applyBorder="1" applyAlignment="1">
      <alignment horizontal="center" vertical="center"/>
    </xf>
    <xf numFmtId="0" fontId="4" fillId="2" borderId="26" xfId="0" applyFont="1" applyFill="1" applyBorder="1" applyAlignment="1">
      <alignment horizontal="center" vertical="center"/>
    </xf>
    <xf numFmtId="0" fontId="4" fillId="2" borderId="27" xfId="0" applyFont="1" applyFill="1" applyBorder="1" applyAlignment="1">
      <alignment horizontal="center" vertical="center"/>
    </xf>
    <xf numFmtId="0" fontId="5" fillId="10" borderId="40" xfId="0" applyFont="1" applyFill="1" applyBorder="1" applyAlignment="1">
      <alignment horizontal="center" vertical="center"/>
    </xf>
    <xf numFmtId="0" fontId="5" fillId="10" borderId="7" xfId="0" applyFont="1" applyFill="1" applyBorder="1" applyAlignment="1">
      <alignment horizontal="center" vertical="center"/>
    </xf>
    <xf numFmtId="0" fontId="5" fillId="10" borderId="23" xfId="0" applyFont="1" applyFill="1" applyBorder="1" applyAlignment="1">
      <alignment horizontal="center" vertical="center"/>
    </xf>
    <xf numFmtId="20" fontId="4" fillId="0" borderId="0" xfId="0" applyNumberFormat="1" applyFont="1" applyBorder="1" applyAlignment="1">
      <alignment horizontal="center" vertical="center"/>
    </xf>
    <xf numFmtId="0" fontId="4" fillId="4" borderId="50"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20" xfId="0" applyFont="1" applyFill="1" applyBorder="1" applyAlignment="1">
      <alignment horizontal="center" vertical="center"/>
    </xf>
    <xf numFmtId="0" fontId="4" fillId="8" borderId="27" xfId="0" applyFont="1" applyFill="1" applyBorder="1" applyAlignment="1">
      <alignment horizontal="left" vertical="center"/>
    </xf>
    <xf numFmtId="0" fontId="9" fillId="12" borderId="0" xfId="0" applyFont="1" applyFill="1" applyAlignment="1">
      <alignment horizontal="center" vertical="center" wrapText="1"/>
    </xf>
    <xf numFmtId="0" fontId="0" fillId="0" borderId="0" xfId="0" applyAlignment="1"/>
    <xf numFmtId="0" fontId="32" fillId="2" borderId="0" xfId="0" applyFont="1" applyFill="1" applyAlignment="1"/>
    <xf numFmtId="0" fontId="10" fillId="0" borderId="0" xfId="0" applyFont="1" applyAlignment="1">
      <alignment vertical="top" wrapText="1"/>
    </xf>
    <xf numFmtId="22" fontId="0" fillId="0" borderId="0" xfId="0" applyNumberFormat="1">
      <alignment vertical="center"/>
    </xf>
    <xf numFmtId="0" fontId="0" fillId="0" borderId="0" xfId="0" applyAlignment="1">
      <alignment vertical="center" wrapText="1"/>
    </xf>
    <xf numFmtId="0" fontId="34" fillId="13" borderId="1" xfId="7" applyFont="1" applyFill="1" applyBorder="1" applyAlignment="1">
      <alignment horizontal="center" vertical="center"/>
    </xf>
    <xf numFmtId="0" fontId="34" fillId="14" borderId="0" xfId="7" applyFont="1" applyFill="1">
      <alignment vertical="center"/>
    </xf>
    <xf numFmtId="0" fontId="33" fillId="0" borderId="0" xfId="7">
      <alignment vertical="center"/>
    </xf>
    <xf numFmtId="0" fontId="34" fillId="13" borderId="1" xfId="7" applyFont="1" applyFill="1" applyBorder="1" applyAlignment="1">
      <alignment horizontal="left" vertical="top" wrapText="1"/>
    </xf>
    <xf numFmtId="0" fontId="34" fillId="13" borderId="1" xfId="7" applyFont="1" applyFill="1" applyBorder="1">
      <alignment vertical="center"/>
    </xf>
    <xf numFmtId="0" fontId="34" fillId="13" borderId="1" xfId="7" applyFont="1" applyFill="1" applyBorder="1" applyAlignment="1">
      <alignment horizontal="center" vertical="center" wrapText="1"/>
    </xf>
    <xf numFmtId="0" fontId="36" fillId="14" borderId="1" xfId="7" applyFont="1" applyFill="1" applyBorder="1" applyProtection="1">
      <alignment vertical="center"/>
      <protection locked="0"/>
    </xf>
    <xf numFmtId="0" fontId="34" fillId="14" borderId="1" xfId="7" applyFont="1" applyFill="1" applyBorder="1" applyProtection="1">
      <alignment vertical="center"/>
      <protection locked="0"/>
    </xf>
    <xf numFmtId="0" fontId="33" fillId="14" borderId="1" xfId="7" applyFill="1" applyBorder="1" applyProtection="1">
      <alignment vertical="center"/>
      <protection locked="0"/>
    </xf>
    <xf numFmtId="49" fontId="37" fillId="14" borderId="1" xfId="7" applyNumberFormat="1" applyFont="1" applyFill="1" applyBorder="1" applyAlignment="1" applyProtection="1">
      <alignment vertical="center" wrapText="1"/>
      <protection locked="0"/>
    </xf>
    <xf numFmtId="0" fontId="34" fillId="14" borderId="0" xfId="7" applyFont="1" applyFill="1" applyProtection="1">
      <alignment vertical="center"/>
      <protection locked="0"/>
    </xf>
    <xf numFmtId="0" fontId="33" fillId="15" borderId="12" xfId="7" applyFill="1" applyBorder="1">
      <alignment vertical="center"/>
    </xf>
    <xf numFmtId="0" fontId="33" fillId="15" borderId="0" xfId="7" applyFill="1">
      <alignment vertical="center"/>
    </xf>
    <xf numFmtId="0" fontId="37" fillId="0" borderId="0" xfId="7" applyFont="1">
      <alignment vertical="center"/>
    </xf>
    <xf numFmtId="0" fontId="38" fillId="0" borderId="0" xfId="7" applyFont="1">
      <alignment vertical="center"/>
    </xf>
    <xf numFmtId="0" fontId="34" fillId="13" borderId="52" xfId="7" applyFont="1" applyFill="1" applyBorder="1">
      <alignment vertical="center"/>
    </xf>
    <xf numFmtId="0" fontId="34" fillId="13" borderId="1" xfId="7" applyFont="1" applyFill="1" applyBorder="1" applyAlignment="1">
      <alignment vertical="center" shrinkToFit="1"/>
    </xf>
    <xf numFmtId="0" fontId="37" fillId="14" borderId="1" xfId="7" applyFont="1" applyFill="1" applyBorder="1" applyProtection="1">
      <alignment vertical="center"/>
      <protection locked="0"/>
    </xf>
    <xf numFmtId="0" fontId="34" fillId="13" borderId="51" xfId="7" applyFont="1" applyFill="1" applyBorder="1" applyAlignment="1">
      <alignment horizontal="left" vertical="center"/>
    </xf>
    <xf numFmtId="0" fontId="34" fillId="13" borderId="49" xfId="7" applyFont="1" applyFill="1" applyBorder="1" applyAlignment="1">
      <alignment horizontal="left" vertical="center"/>
    </xf>
    <xf numFmtId="176" fontId="37" fillId="16" borderId="7" xfId="8" applyNumberFormat="1" applyFont="1" applyFill="1" applyBorder="1" applyAlignment="1" applyProtection="1">
      <alignment horizontal="right" vertical="center"/>
      <protection locked="0"/>
    </xf>
    <xf numFmtId="0" fontId="34" fillId="13" borderId="5" xfId="7" applyFont="1" applyFill="1" applyBorder="1">
      <alignment vertical="center"/>
    </xf>
    <xf numFmtId="38" fontId="37" fillId="16" borderId="49" xfId="8" applyFont="1" applyFill="1" applyBorder="1" applyAlignment="1" applyProtection="1">
      <alignment horizontal="right" vertical="center"/>
      <protection locked="0"/>
    </xf>
    <xf numFmtId="0" fontId="34" fillId="13" borderId="2" xfId="7" applyFont="1" applyFill="1" applyBorder="1">
      <alignment vertical="center"/>
    </xf>
    <xf numFmtId="0" fontId="34" fillId="15" borderId="0" xfId="7" applyFont="1" applyFill="1" applyProtection="1">
      <alignment vertical="center"/>
      <protection locked="0"/>
    </xf>
    <xf numFmtId="0" fontId="34" fillId="15" borderId="0" xfId="7" applyFont="1" applyFill="1">
      <alignment vertical="center"/>
    </xf>
    <xf numFmtId="0" fontId="37" fillId="15" borderId="0" xfId="7" applyFont="1" applyFill="1" applyProtection="1">
      <alignment vertical="center"/>
      <protection locked="0"/>
    </xf>
    <xf numFmtId="0" fontId="34" fillId="13" borderId="52" xfId="7" applyFont="1" applyFill="1" applyBorder="1" applyAlignment="1">
      <alignment horizontal="center" vertical="top"/>
    </xf>
    <xf numFmtId="0" fontId="37" fillId="17" borderId="1" xfId="7" applyFont="1" applyFill="1" applyBorder="1">
      <alignment vertical="center"/>
    </xf>
    <xf numFmtId="0" fontId="34" fillId="13" borderId="5" xfId="7" applyFont="1" applyFill="1" applyBorder="1" applyAlignment="1">
      <alignment horizontal="center" vertical="top"/>
    </xf>
    <xf numFmtId="0" fontId="37" fillId="18" borderId="1" xfId="7" applyFont="1" applyFill="1" applyBorder="1" applyProtection="1">
      <alignment vertical="center"/>
      <protection locked="0"/>
    </xf>
    <xf numFmtId="0" fontId="34" fillId="18" borderId="1" xfId="7" applyFont="1" applyFill="1" applyBorder="1" applyProtection="1">
      <alignment vertical="center"/>
      <protection locked="0"/>
    </xf>
    <xf numFmtId="0" fontId="34" fillId="13" borderId="5" xfId="7" applyFont="1" applyFill="1" applyBorder="1" applyAlignment="1">
      <alignment vertical="top"/>
    </xf>
    <xf numFmtId="0" fontId="37" fillId="14" borderId="1" xfId="7" applyFont="1" applyFill="1" applyBorder="1" applyAlignment="1" applyProtection="1">
      <alignment horizontal="left" vertical="center"/>
      <protection locked="0"/>
    </xf>
    <xf numFmtId="0" fontId="34" fillId="14" borderId="1" xfId="7" applyFont="1" applyFill="1" applyBorder="1" applyAlignment="1" applyProtection="1">
      <alignment horizontal="left" vertical="center"/>
      <protection locked="0"/>
    </xf>
    <xf numFmtId="0" fontId="37" fillId="19" borderId="1" xfId="7" quotePrefix="1" applyFont="1" applyFill="1" applyBorder="1" applyProtection="1">
      <alignment vertical="center"/>
      <protection locked="0"/>
    </xf>
    <xf numFmtId="49" fontId="37" fillId="20" borderId="51" xfId="7" applyNumberFormat="1" applyFont="1" applyFill="1" applyBorder="1" applyProtection="1">
      <alignment vertical="center"/>
      <protection locked="0"/>
    </xf>
    <xf numFmtId="49" fontId="34" fillId="20" borderId="51" xfId="7" applyNumberFormat="1" applyFont="1" applyFill="1" applyBorder="1" applyProtection="1">
      <alignment vertical="center"/>
      <protection locked="0"/>
    </xf>
    <xf numFmtId="49" fontId="37" fillId="14" borderId="1" xfId="7" applyNumberFormat="1" applyFont="1" applyFill="1" applyBorder="1" applyProtection="1">
      <alignment vertical="center"/>
      <protection locked="0"/>
    </xf>
    <xf numFmtId="49" fontId="37" fillId="17" borderId="1" xfId="7" applyNumberFormat="1" applyFont="1" applyFill="1" applyBorder="1">
      <alignment vertical="center"/>
    </xf>
    <xf numFmtId="0" fontId="39" fillId="13" borderId="2" xfId="7" applyFont="1" applyFill="1" applyBorder="1" applyAlignment="1">
      <alignment horizontal="left" vertical="center"/>
    </xf>
    <xf numFmtId="0" fontId="34" fillId="0" borderId="0" xfId="7" applyFont="1" applyProtection="1">
      <alignment vertical="center"/>
      <protection locked="0"/>
    </xf>
    <xf numFmtId="0" fontId="34" fillId="0" borderId="0" xfId="7" applyFont="1">
      <alignment vertical="center"/>
    </xf>
    <xf numFmtId="0" fontId="17" fillId="10" borderId="1" xfId="0" applyFont="1" applyFill="1" applyBorder="1">
      <alignment vertical="center"/>
    </xf>
    <xf numFmtId="0" fontId="17" fillId="10" borderId="44" xfId="0" applyFont="1" applyFill="1" applyBorder="1">
      <alignment vertical="center"/>
    </xf>
    <xf numFmtId="0" fontId="17" fillId="10" borderId="29" xfId="0" applyFont="1" applyFill="1" applyBorder="1">
      <alignment vertical="center"/>
    </xf>
    <xf numFmtId="0" fontId="17" fillId="10" borderId="45" xfId="0" applyFont="1" applyFill="1" applyBorder="1">
      <alignment vertical="center"/>
    </xf>
    <xf numFmtId="0" fontId="13" fillId="2" borderId="47" xfId="0" applyFont="1" applyFill="1" applyBorder="1" applyAlignment="1">
      <alignment horizontal="right" vertical="center" wrapText="1"/>
    </xf>
    <xf numFmtId="0" fontId="13" fillId="2" borderId="18" xfId="0" applyFont="1" applyFill="1" applyBorder="1" applyAlignment="1">
      <alignment horizontal="right" vertical="center"/>
    </xf>
    <xf numFmtId="0" fontId="13" fillId="2" borderId="33" xfId="0" applyFont="1" applyFill="1" applyBorder="1" applyAlignment="1">
      <alignment horizontal="right" vertical="center"/>
    </xf>
    <xf numFmtId="0" fontId="13" fillId="2" borderId="46" xfId="0" applyFont="1" applyFill="1" applyBorder="1" applyAlignment="1">
      <alignment horizontal="right" vertical="center"/>
    </xf>
    <xf numFmtId="0" fontId="13" fillId="2" borderId="17" xfId="0" applyFont="1" applyFill="1" applyBorder="1" applyAlignment="1">
      <alignment horizontal="right" vertical="center"/>
    </xf>
    <xf numFmtId="0" fontId="13" fillId="2" borderId="34" xfId="0" applyFont="1" applyFill="1" applyBorder="1" applyAlignment="1">
      <alignment horizontal="right" vertical="center"/>
    </xf>
    <xf numFmtId="0" fontId="13" fillId="2" borderId="47" xfId="0" applyFont="1" applyFill="1" applyBorder="1" applyAlignment="1">
      <alignment horizontal="right" vertical="center"/>
    </xf>
    <xf numFmtId="0" fontId="13" fillId="2" borderId="24" xfId="6" applyFont="1" applyFill="1" applyBorder="1" applyAlignment="1">
      <alignment horizontal="center" vertical="center"/>
    </xf>
    <xf numFmtId="0" fontId="13" fillId="2" borderId="42" xfId="6" applyFont="1" applyFill="1" applyBorder="1" applyAlignment="1">
      <alignment horizontal="center" vertical="center"/>
    </xf>
    <xf numFmtId="0" fontId="13" fillId="0" borderId="30" xfId="0" applyFont="1" applyBorder="1" applyAlignment="1">
      <alignment horizontal="center" vertical="center"/>
    </xf>
    <xf numFmtId="0" fontId="13" fillId="0" borderId="31" xfId="0" applyFont="1" applyBorder="1" applyAlignment="1">
      <alignment horizontal="center" vertical="center"/>
    </xf>
    <xf numFmtId="0" fontId="13" fillId="0" borderId="28" xfId="0" applyFont="1" applyBorder="1" applyAlignment="1">
      <alignment horizontal="center" vertical="center"/>
    </xf>
    <xf numFmtId="0" fontId="4" fillId="2" borderId="35" xfId="0" applyFont="1" applyFill="1" applyBorder="1" applyAlignment="1">
      <alignment horizontal="center" vertical="center"/>
    </xf>
    <xf numFmtId="0" fontId="4" fillId="2" borderId="26" xfId="0" applyFont="1" applyFill="1" applyBorder="1" applyAlignment="1">
      <alignment horizontal="center" vertical="center"/>
    </xf>
    <xf numFmtId="0" fontId="4" fillId="2" borderId="27" xfId="0" applyFont="1" applyFill="1" applyBorder="1" applyAlignment="1">
      <alignment horizontal="center" vertical="center"/>
    </xf>
    <xf numFmtId="0" fontId="5" fillId="10" borderId="40" xfId="0" applyFont="1" applyFill="1" applyBorder="1" applyAlignment="1">
      <alignment horizontal="center" vertical="center"/>
    </xf>
    <xf numFmtId="0" fontId="5" fillId="10" borderId="7" xfId="0" applyFont="1" applyFill="1" applyBorder="1" applyAlignment="1">
      <alignment horizontal="center" vertical="center"/>
    </xf>
    <xf numFmtId="0" fontId="5" fillId="10" borderId="23" xfId="0" applyFont="1" applyFill="1" applyBorder="1" applyAlignment="1">
      <alignment horizontal="center" vertical="center"/>
    </xf>
    <xf numFmtId="0" fontId="4" fillId="2" borderId="32" xfId="0" applyFont="1" applyFill="1" applyBorder="1" applyAlignment="1">
      <alignment horizontal="center" vertical="center"/>
    </xf>
    <xf numFmtId="0" fontId="4" fillId="2" borderId="24" xfId="0" applyFont="1" applyFill="1" applyBorder="1" applyAlignment="1">
      <alignment horizontal="center" vertical="center"/>
    </xf>
    <xf numFmtId="0" fontId="4" fillId="2" borderId="42" xfId="0" applyFont="1" applyFill="1" applyBorder="1" applyAlignment="1">
      <alignment horizontal="center" vertical="center"/>
    </xf>
    <xf numFmtId="0" fontId="4" fillId="2" borderId="14"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10" xfId="0" applyFont="1" applyFill="1" applyBorder="1" applyAlignment="1">
      <alignment horizontal="center" vertical="center"/>
    </xf>
    <xf numFmtId="0" fontId="12" fillId="0" borderId="0" xfId="0" applyFont="1" applyAlignment="1">
      <alignment vertical="center"/>
    </xf>
    <xf numFmtId="0" fontId="13" fillId="0" borderId="3" xfId="0" applyFont="1" applyBorder="1" applyAlignment="1">
      <alignment horizontal="left" vertical="center"/>
    </xf>
    <xf numFmtId="49" fontId="34" fillId="13" borderId="1" xfId="7" applyNumberFormat="1" applyFont="1" applyFill="1" applyBorder="1" applyAlignment="1">
      <alignment horizontal="center" vertical="center" wrapText="1"/>
    </xf>
    <xf numFmtId="0" fontId="34" fillId="13" borderId="51" xfId="7" applyFont="1" applyFill="1" applyBorder="1" applyAlignment="1">
      <alignment horizontal="center" vertical="center"/>
    </xf>
    <xf numFmtId="0" fontId="34" fillId="13" borderId="7" xfId="7" applyFont="1" applyFill="1" applyBorder="1" applyAlignment="1">
      <alignment horizontal="center" vertical="center"/>
    </xf>
    <xf numFmtId="0" fontId="34" fillId="13" borderId="49" xfId="7" applyFont="1" applyFill="1" applyBorder="1" applyAlignment="1">
      <alignment horizontal="center" vertical="center"/>
    </xf>
    <xf numFmtId="0" fontId="34" fillId="13" borderId="52" xfId="7" applyFont="1" applyFill="1" applyBorder="1" applyAlignment="1">
      <alignment horizontal="center" vertical="center"/>
    </xf>
    <xf numFmtId="0" fontId="34" fillId="13" borderId="2" xfId="7" applyFont="1" applyFill="1" applyBorder="1" applyAlignment="1">
      <alignment horizontal="center" vertical="center"/>
    </xf>
    <xf numFmtId="0" fontId="34" fillId="13" borderId="1" xfId="7" applyFont="1" applyFill="1" applyBorder="1" applyAlignment="1">
      <alignment horizontal="center" vertical="center"/>
    </xf>
  </cellXfs>
  <cellStyles count="9">
    <cellStyle name="桁区切り 2" xfId="8" xr:uid="{EBBF0C98-504E-407E-BCB6-0853E82649F0}"/>
    <cellStyle name="標準" xfId="0" builtinId="0"/>
    <cellStyle name="標準 102" xfId="1" xr:uid="{A8071532-B3B7-41E9-B8DA-B7BFDE30503D}"/>
    <cellStyle name="標準 102 3" xfId="2" xr:uid="{8A71D3B0-0DB5-4D8D-BA4E-579400198A4D}"/>
    <cellStyle name="標準 102 4" xfId="5" xr:uid="{3E11559E-CB7F-4CAF-BAA5-6E7437169838}"/>
    <cellStyle name="標準 2" xfId="4" xr:uid="{C02CAE91-7148-427B-A611-DAE32C13D3BA}"/>
    <cellStyle name="標準 2 2" xfId="6" xr:uid="{DFA0F4B9-4B46-4E47-A7F6-0888AA006EFD}"/>
    <cellStyle name="標準 2 2 5" xfId="3" xr:uid="{2EC14066-265C-42EB-9D4C-28686C4DB35F}"/>
    <cellStyle name="標準 3" xfId="7" xr:uid="{63BB42BC-7910-4AA3-AF13-4393B2412749}"/>
  </cellStyles>
  <dxfs count="187">
    <dxf>
      <font>
        <condense val="0"/>
        <extend val="0"/>
        <color indexed="23"/>
      </font>
      <fill>
        <patternFill>
          <bgColor indexed="23"/>
        </patternFill>
      </fill>
      <border>
        <right/>
        <top style="thin">
          <color indexed="64"/>
        </top>
        <bottom/>
      </border>
    </dxf>
    <dxf>
      <font>
        <color theme="0"/>
      </font>
      <fill>
        <patternFill>
          <bgColor rgb="FFFF0000"/>
        </patternFill>
      </fill>
    </dxf>
    <dxf>
      <fill>
        <patternFill>
          <bgColor theme="1"/>
        </patternFill>
      </fill>
    </dxf>
    <dxf>
      <font>
        <color theme="0"/>
      </font>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rgb="FF008080"/>
        </patternFill>
      </fill>
    </dxf>
    <dxf>
      <font>
        <condense val="0"/>
        <extend val="0"/>
        <color auto="1"/>
      </font>
      <fill>
        <patternFill>
          <fgColor indexed="26"/>
          <bgColor indexed="26"/>
        </patternFill>
      </fill>
    </dxf>
    <dxf>
      <fill>
        <patternFill>
          <bgColor indexed="60"/>
        </patternFill>
      </fill>
    </dxf>
    <dxf>
      <font>
        <color theme="0"/>
      </font>
      <fill>
        <patternFill>
          <bgColor rgb="FF993300"/>
        </patternFill>
      </fill>
    </dxf>
    <dxf>
      <fill>
        <patternFill>
          <bgColor rgb="FFFFFFCC"/>
        </patternFill>
      </fill>
    </dxf>
    <dxf>
      <font>
        <color theme="1"/>
      </font>
      <fill>
        <patternFill>
          <bgColor rgb="FFFFFFCC"/>
        </patternFill>
      </fill>
    </dxf>
    <dxf>
      <fill>
        <patternFill>
          <bgColor rgb="FFC00000"/>
        </patternFill>
      </fill>
    </dxf>
    <dxf>
      <fill>
        <patternFill>
          <bgColor rgb="FFC00000"/>
        </patternFill>
      </fill>
    </dxf>
    <dxf>
      <font>
        <color theme="0"/>
      </font>
      <fill>
        <patternFill>
          <bgColor rgb="FFC00000"/>
        </patternFill>
      </fill>
    </dxf>
    <dxf>
      <fill>
        <patternFill>
          <bgColor indexed="8"/>
        </patternFill>
      </fill>
    </dxf>
    <dxf>
      <font>
        <color theme="0"/>
      </font>
      <fill>
        <patternFill>
          <bgColor theme="1"/>
        </patternFill>
      </fill>
    </dxf>
    <dxf>
      <font>
        <color theme="0"/>
      </font>
      <fill>
        <patternFill>
          <bgColor rgb="FF008080"/>
        </patternFill>
      </fill>
    </dxf>
    <dxf>
      <fill>
        <patternFill>
          <bgColor indexed="8"/>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3333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sheetMetadata" Target="metadata.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jpeg"/><Relationship Id="rId5" Type="http://schemas.openxmlformats.org/officeDocument/2006/relationships/image" Target="../media/image8.jpeg"/><Relationship Id="rId10" Type="http://schemas.openxmlformats.org/officeDocument/2006/relationships/image" Target="../media/image12.png"/><Relationship Id="rId4" Type="http://schemas.openxmlformats.org/officeDocument/2006/relationships/image" Target="../media/image7.jpeg"/><Relationship Id="rId9"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6</xdr:col>
      <xdr:colOff>593090</xdr:colOff>
      <xdr:row>54</xdr:row>
      <xdr:rowOff>141605</xdr:rowOff>
    </xdr:from>
    <xdr:to>
      <xdr:col>10</xdr:col>
      <xdr:colOff>20320</xdr:colOff>
      <xdr:row>61</xdr:row>
      <xdr:rowOff>63500</xdr:rowOff>
    </xdr:to>
    <xdr:sp macro="" textlink="">
      <xdr:nvSpPr>
        <xdr:cNvPr id="2" name="テキスト ボックス 1">
          <a:extLst>
            <a:ext uri="{FF2B5EF4-FFF2-40B4-BE49-F238E27FC236}">
              <a16:creationId xmlns:a16="http://schemas.microsoft.com/office/drawing/2014/main" id="{68538F30-2A53-4FF5-8A75-A88A6952D1D5}"/>
            </a:ext>
          </a:extLst>
        </xdr:cNvPr>
        <xdr:cNvSpPr txBox="1"/>
      </xdr:nvSpPr>
      <xdr:spPr>
        <a:xfrm>
          <a:off x="12962255" y="10912475"/>
          <a:ext cx="5713730" cy="1453515"/>
        </a:xfrm>
        <a:prstGeom prst="rect">
          <a:avLst/>
        </a:prstGeom>
        <a:solidFill>
          <a:schemeClr val="lt1"/>
        </a:solidFill>
        <a:ln w="254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0">
              <a:solidFill>
                <a:srgbClr val="FF0000"/>
              </a:solidFill>
              <a:latin typeface="メイリオ" panose="020B0604030504040204" pitchFamily="50" charset="-128"/>
              <a:ea typeface="メイリオ" panose="020B0604030504040204" pitchFamily="50" charset="-128"/>
            </a:rPr>
            <a:t>都度作業</a:t>
          </a:r>
          <a:r>
            <a:rPr kumimoji="1" lang="en-US" altLang="ja-JP" sz="1100" b="0">
              <a:solidFill>
                <a:srgbClr val="FF0000"/>
              </a:solidFill>
              <a:latin typeface="メイリオ" panose="020B0604030504040204" pitchFamily="50" charset="-128"/>
              <a:ea typeface="メイリオ" panose="020B0604030504040204" pitchFamily="50" charset="-128"/>
            </a:rPr>
            <a:t>CS</a:t>
          </a:r>
          <a:r>
            <a:rPr kumimoji="1" lang="ja-JP" altLang="en-US" sz="1100" b="0">
              <a:solidFill>
                <a:srgbClr val="FF0000"/>
              </a:solidFill>
              <a:latin typeface="メイリオ" panose="020B0604030504040204" pitchFamily="50" charset="-128"/>
              <a:ea typeface="メイリオ" panose="020B0604030504040204" pitchFamily="50" charset="-128"/>
            </a:rPr>
            <a:t>作成者むけコメント</a:t>
          </a:r>
          <a:endParaRPr kumimoji="1" lang="en-US" altLang="ja-JP" sz="1100" b="0">
            <a:solidFill>
              <a:srgbClr val="FF0000"/>
            </a:solidFill>
            <a:latin typeface="メイリオ" panose="020B0604030504040204" pitchFamily="50" charset="-128"/>
            <a:ea typeface="メイリオ" panose="020B0604030504040204" pitchFamily="50" charset="-128"/>
          </a:endParaRPr>
        </a:p>
        <a:p>
          <a:r>
            <a:rPr kumimoji="1" lang="ja-JP" altLang="en-US" sz="1100" b="0">
              <a:solidFill>
                <a:srgbClr val="FF0000"/>
              </a:solidFill>
              <a:latin typeface="メイリオ" panose="020B0604030504040204" pitchFamily="50" charset="-128"/>
              <a:ea typeface="メイリオ" panose="020B0604030504040204" pitchFamily="50" charset="-128"/>
            </a:rPr>
            <a:t>・ブロック／工事対象</a:t>
          </a:r>
          <a:r>
            <a:rPr kumimoji="1" lang="en-US" altLang="ja-JP" sz="1100" b="0">
              <a:solidFill>
                <a:srgbClr val="FF0000"/>
              </a:solidFill>
              <a:latin typeface="メイリオ" panose="020B0604030504040204" pitchFamily="50" charset="-128"/>
              <a:ea typeface="メイリオ" panose="020B0604030504040204" pitchFamily="50" charset="-128"/>
            </a:rPr>
            <a:t>FS</a:t>
          </a:r>
          <a:r>
            <a:rPr kumimoji="1" lang="ja-JP" altLang="en-US" sz="1100" b="0">
              <a:solidFill>
                <a:srgbClr val="FF0000"/>
              </a:solidFill>
              <a:latin typeface="メイリオ" panose="020B0604030504040204" pitchFamily="50" charset="-128"/>
              <a:ea typeface="メイリオ" panose="020B0604030504040204" pitchFamily="50" charset="-128"/>
            </a:rPr>
            <a:t>を選択してください</a:t>
          </a:r>
          <a:endParaRPr kumimoji="0" lang="en-US" altLang="ja-JP" sz="1100" b="0" i="0" u="none" strike="noStrike">
            <a:solidFill>
              <a:srgbClr val="FF0000"/>
            </a:solidFill>
            <a:effectLst/>
            <a:latin typeface="メイリオ" panose="020B0604030504040204" pitchFamily="50" charset="-128"/>
            <a:ea typeface="メイリオ" panose="020B0604030504040204" pitchFamily="50" charset="-128"/>
            <a:cs typeface="+mn-cs"/>
          </a:endParaRPr>
        </a:p>
        <a:p>
          <a:r>
            <a:rPr kumimoji="0" lang="ja-JP" altLang="en-US" sz="1100" b="0" i="0" u="none" strike="noStrike">
              <a:solidFill>
                <a:srgbClr val="FF0000"/>
              </a:solidFill>
              <a:effectLst/>
              <a:latin typeface="メイリオ" panose="020B0604030504040204" pitchFamily="50" charset="-128"/>
              <a:ea typeface="メイリオ" panose="020B0604030504040204" pitchFamily="50" charset="-128"/>
              <a:cs typeface="+mn-cs"/>
            </a:rPr>
            <a:t>・各装置ホスト名に誤りがないことを確認してください</a:t>
          </a:r>
          <a:endParaRPr kumimoji="0" lang="en-US" altLang="ja-JP" sz="1100" b="0" i="0" u="none" strike="noStrike">
            <a:solidFill>
              <a:srgbClr val="FF0000"/>
            </a:solidFill>
            <a:effectLst/>
            <a:latin typeface="メイリオ" panose="020B0604030504040204" pitchFamily="50" charset="-128"/>
            <a:ea typeface="メイリオ" panose="020B0604030504040204" pitchFamily="50" charset="-128"/>
            <a:cs typeface="+mn-cs"/>
          </a:endParaRPr>
        </a:p>
        <a:p>
          <a:r>
            <a:rPr kumimoji="0" lang="ja-JP" altLang="en-US" sz="1100" b="0" i="0" u="none" strike="noStrike">
              <a:solidFill>
                <a:srgbClr val="FF0000"/>
              </a:solidFill>
              <a:effectLst/>
              <a:latin typeface="メイリオ" panose="020B0604030504040204" pitchFamily="50" charset="-128"/>
              <a:ea typeface="メイリオ" panose="020B0604030504040204" pitchFamily="50" charset="-128"/>
              <a:cs typeface="+mn-cs"/>
            </a:rPr>
            <a:t>・各手順シートについて、未実装</a:t>
          </a:r>
          <a:r>
            <a:rPr kumimoji="0" lang="en-US" altLang="ja-JP" sz="1100" b="0" i="0" u="none" strike="noStrike">
              <a:solidFill>
                <a:srgbClr val="FF0000"/>
              </a:solidFill>
              <a:effectLst/>
              <a:latin typeface="メイリオ" panose="020B0604030504040204" pitchFamily="50" charset="-128"/>
              <a:ea typeface="メイリオ" panose="020B0604030504040204" pitchFamily="50" charset="-128"/>
              <a:cs typeface="+mn-cs"/>
            </a:rPr>
            <a:t>CL</a:t>
          </a:r>
          <a:r>
            <a:rPr kumimoji="0" lang="ja-JP" altLang="en-US" sz="1100" b="0" i="0" u="none" strike="noStrike">
              <a:solidFill>
                <a:srgbClr val="FF0000"/>
              </a:solidFill>
              <a:effectLst/>
              <a:latin typeface="メイリオ" panose="020B0604030504040204" pitchFamily="50" charset="-128"/>
              <a:ea typeface="メイリオ" panose="020B0604030504040204" pitchFamily="50" charset="-128"/>
              <a:cs typeface="+mn-cs"/>
            </a:rPr>
            <a:t>など不要行列を非表示にしてください</a:t>
          </a:r>
          <a:endParaRPr kumimoji="1" lang="en-US" altLang="ja-JP" sz="1100" b="0">
            <a:solidFill>
              <a:srgbClr val="FF0000"/>
            </a:solidFill>
            <a:effectLst/>
            <a:latin typeface="メイリオ" panose="020B0604030504040204" pitchFamily="50" charset="-128"/>
            <a:ea typeface="メイリオ" panose="020B0604030504040204" pitchFamily="50" charset="-128"/>
            <a:cs typeface="+mn-cs"/>
          </a:endParaRPr>
        </a:p>
      </xdr:txBody>
    </xdr:sp>
    <xdr:clientData/>
  </xdr:twoCellAnchor>
  <xdr:twoCellAnchor>
    <xdr:from>
      <xdr:col>2</xdr:col>
      <xdr:colOff>139065</xdr:colOff>
      <xdr:row>1</xdr:row>
      <xdr:rowOff>0</xdr:rowOff>
    </xdr:from>
    <xdr:to>
      <xdr:col>5</xdr:col>
      <xdr:colOff>939165</xdr:colOff>
      <xdr:row>3</xdr:row>
      <xdr:rowOff>114300</xdr:rowOff>
    </xdr:to>
    <xdr:sp macro="" textlink="">
      <xdr:nvSpPr>
        <xdr:cNvPr id="3" name="吹き出し: 線 (枠付き、強調線付き) 2">
          <a:extLst>
            <a:ext uri="{FF2B5EF4-FFF2-40B4-BE49-F238E27FC236}">
              <a16:creationId xmlns:a16="http://schemas.microsoft.com/office/drawing/2014/main" id="{8F4C29E8-54B7-4F7A-A3EA-850C7C8DCC79}"/>
            </a:ext>
          </a:extLst>
        </xdr:cNvPr>
        <xdr:cNvSpPr/>
      </xdr:nvSpPr>
      <xdr:spPr>
        <a:xfrm>
          <a:off x="5945505" y="190500"/>
          <a:ext cx="5791200" cy="495300"/>
        </a:xfrm>
        <a:prstGeom prst="accentBorderCallout1">
          <a:avLst>
            <a:gd name="adj1" fmla="val 73018"/>
            <a:gd name="adj2" fmla="val 355"/>
            <a:gd name="adj3" fmla="val 84533"/>
            <a:gd name="adj4" fmla="val -8408"/>
          </a:avLst>
        </a:prstGeom>
        <a:solidFill>
          <a:srgbClr val="92D050"/>
        </a:solidFill>
        <a:ln>
          <a:solidFill>
            <a:schemeClr val="tx1"/>
          </a:solidFill>
        </a:ln>
      </xdr:spPr>
      <xdr:style>
        <a:lnRef idx="2">
          <a:schemeClr val="accent4">
            <a:shade val="15000"/>
          </a:schemeClr>
        </a:lnRef>
        <a:fillRef idx="1">
          <a:schemeClr val="accent4"/>
        </a:fillRef>
        <a:effectRef idx="0">
          <a:schemeClr val="accent4"/>
        </a:effectRef>
        <a:fontRef idx="minor">
          <a:schemeClr val="lt1"/>
        </a:fontRef>
      </xdr:style>
      <xdr:txBody>
        <a:bodyPr vertOverflow="overflow" horzOverflow="overflow" lIns="540000" tIns="0" rIns="0" bIns="0" rtlCol="0" anchor="ctr"/>
        <a:lstStyle/>
        <a:p>
          <a:pPr algn="l"/>
          <a:r>
            <a:rPr kumimoji="1" lang="ja-JP" altLang="en-US" sz="1100" b="1">
              <a:solidFill>
                <a:sysClr val="windowText" lastClr="000000"/>
              </a:solidFill>
            </a:rPr>
            <a:t>工事日、対象ビルが正しく選択されていますか？</a:t>
          </a:r>
          <a:endParaRPr kumimoji="1" lang="en-US" altLang="ja-JP" sz="1100" b="1">
            <a:solidFill>
              <a:sysClr val="windowText" lastClr="000000"/>
            </a:solidFill>
          </a:endParaRPr>
        </a:p>
      </xdr:txBody>
    </xdr:sp>
    <xdr:clientData/>
  </xdr:twoCellAnchor>
  <xdr:twoCellAnchor editAs="oneCell">
    <xdr:from>
      <xdr:col>2</xdr:col>
      <xdr:colOff>207761</xdr:colOff>
      <xdr:row>1</xdr:row>
      <xdr:rowOff>60030</xdr:rowOff>
    </xdr:from>
    <xdr:to>
      <xdr:col>2</xdr:col>
      <xdr:colOff>611257</xdr:colOff>
      <xdr:row>3</xdr:row>
      <xdr:rowOff>35116</xdr:rowOff>
    </xdr:to>
    <xdr:pic>
      <xdr:nvPicPr>
        <xdr:cNvPr id="4" name="Picture 186" descr="attention_l_c">
          <a:extLst>
            <a:ext uri="{FF2B5EF4-FFF2-40B4-BE49-F238E27FC236}">
              <a16:creationId xmlns:a16="http://schemas.microsoft.com/office/drawing/2014/main" id="{589AC96A-AB14-4A6B-8966-CB65E5DAD54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21821" y="246720"/>
          <a:ext cx="399686" cy="3598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142874</xdr:colOff>
      <xdr:row>7</xdr:row>
      <xdr:rowOff>123825</xdr:rowOff>
    </xdr:from>
    <xdr:to>
      <xdr:col>5</xdr:col>
      <xdr:colOff>676275</xdr:colOff>
      <xdr:row>10</xdr:row>
      <xdr:rowOff>99173</xdr:rowOff>
    </xdr:to>
    <xdr:sp macro="" textlink="">
      <xdr:nvSpPr>
        <xdr:cNvPr id="5" name="吹き出し: 線 (枠付き、強調線付き) 4">
          <a:extLst>
            <a:ext uri="{FF2B5EF4-FFF2-40B4-BE49-F238E27FC236}">
              <a16:creationId xmlns:a16="http://schemas.microsoft.com/office/drawing/2014/main" id="{1830CC86-EFD6-426A-912A-2A0FF36B7493}"/>
            </a:ext>
          </a:extLst>
        </xdr:cNvPr>
        <xdr:cNvSpPr/>
      </xdr:nvSpPr>
      <xdr:spPr>
        <a:xfrm>
          <a:off x="5951219" y="1144905"/>
          <a:ext cx="5524501" cy="550658"/>
        </a:xfrm>
        <a:prstGeom prst="accentBorderCallout1">
          <a:avLst>
            <a:gd name="adj1" fmla="val 30681"/>
            <a:gd name="adj2" fmla="val 355"/>
            <a:gd name="adj3" fmla="val 37311"/>
            <a:gd name="adj4" fmla="val -9740"/>
          </a:avLst>
        </a:prstGeom>
        <a:solidFill>
          <a:srgbClr val="FFC000"/>
        </a:solidFill>
        <a:ln>
          <a:solidFill>
            <a:schemeClr val="tx1"/>
          </a:solidFill>
        </a:ln>
      </xdr:spPr>
      <xdr:style>
        <a:lnRef idx="2">
          <a:schemeClr val="accent4">
            <a:shade val="15000"/>
          </a:schemeClr>
        </a:lnRef>
        <a:fillRef idx="1">
          <a:schemeClr val="accent4"/>
        </a:fillRef>
        <a:effectRef idx="0">
          <a:schemeClr val="accent4"/>
        </a:effectRef>
        <a:fontRef idx="minor">
          <a:schemeClr val="lt1"/>
        </a:fontRef>
      </xdr:style>
      <xdr:txBody>
        <a:bodyPr vertOverflow="overflow" horzOverflow="overflow" lIns="540000" tIns="0" rIns="0" bIns="0" rtlCol="0" anchor="ctr"/>
        <a:lstStyle/>
        <a:p>
          <a:pPr algn="l"/>
          <a:r>
            <a:rPr kumimoji="1" lang="ja-JP" altLang="en-US" sz="1100" b="1">
              <a:solidFill>
                <a:sysClr val="windowText" lastClr="000000"/>
              </a:solidFill>
            </a:rPr>
            <a:t>技術資料は工事実施時点で最新版数ですか？</a:t>
          </a:r>
          <a:endParaRPr kumimoji="1" lang="en-US" altLang="ja-JP" sz="1100" b="1">
            <a:solidFill>
              <a:sysClr val="windowText" lastClr="000000"/>
            </a:solidFill>
          </a:endParaRPr>
        </a:p>
      </xdr:txBody>
    </xdr:sp>
    <xdr:clientData/>
  </xdr:twoCellAnchor>
  <xdr:twoCellAnchor>
    <xdr:from>
      <xdr:col>2</xdr:col>
      <xdr:colOff>214496</xdr:colOff>
      <xdr:row>7</xdr:row>
      <xdr:rowOff>179297</xdr:rowOff>
    </xdr:from>
    <xdr:to>
      <xdr:col>2</xdr:col>
      <xdr:colOff>610119</xdr:colOff>
      <xdr:row>10</xdr:row>
      <xdr:rowOff>43145</xdr:rowOff>
    </xdr:to>
    <xdr:pic>
      <xdr:nvPicPr>
        <xdr:cNvPr id="6" name="Picture 185" descr="check_l_c">
          <a:extLst>
            <a:ext uri="{FF2B5EF4-FFF2-40B4-BE49-F238E27FC236}">
              <a16:creationId xmlns:a16="http://schemas.microsoft.com/office/drawing/2014/main" id="{EC84C977-EF44-4A6C-ACBD-EFDCE8BCC0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6020936" y="1196567"/>
          <a:ext cx="399433" cy="4486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161924</xdr:colOff>
      <xdr:row>15</xdr:row>
      <xdr:rowOff>133350</xdr:rowOff>
    </xdr:from>
    <xdr:to>
      <xdr:col>5</xdr:col>
      <xdr:colOff>295275</xdr:colOff>
      <xdr:row>18</xdr:row>
      <xdr:rowOff>108698</xdr:rowOff>
    </xdr:to>
    <xdr:sp macro="" textlink="">
      <xdr:nvSpPr>
        <xdr:cNvPr id="7" name="吹き出し: 線 (枠付き、強調線付き) 6">
          <a:extLst>
            <a:ext uri="{FF2B5EF4-FFF2-40B4-BE49-F238E27FC236}">
              <a16:creationId xmlns:a16="http://schemas.microsoft.com/office/drawing/2014/main" id="{2EFD1E7D-4EF8-47FC-91E3-C180A84B8D1A}"/>
            </a:ext>
          </a:extLst>
        </xdr:cNvPr>
        <xdr:cNvSpPr/>
      </xdr:nvSpPr>
      <xdr:spPr>
        <a:xfrm>
          <a:off x="5974079" y="2682240"/>
          <a:ext cx="5120641" cy="558278"/>
        </a:xfrm>
        <a:prstGeom prst="accentBorderCallout1">
          <a:avLst>
            <a:gd name="adj1" fmla="val 84417"/>
            <a:gd name="adj2" fmla="val -565"/>
            <a:gd name="adj3" fmla="val 170836"/>
            <a:gd name="adj4" fmla="val -12808"/>
          </a:avLst>
        </a:prstGeom>
        <a:solidFill>
          <a:srgbClr val="FFC000"/>
        </a:solidFill>
        <a:ln>
          <a:solidFill>
            <a:schemeClr val="tx1"/>
          </a:solidFill>
        </a:ln>
      </xdr:spPr>
      <xdr:style>
        <a:lnRef idx="2">
          <a:schemeClr val="accent4">
            <a:shade val="15000"/>
          </a:schemeClr>
        </a:lnRef>
        <a:fillRef idx="1">
          <a:schemeClr val="accent4"/>
        </a:fillRef>
        <a:effectRef idx="0">
          <a:schemeClr val="accent4"/>
        </a:effectRef>
        <a:fontRef idx="minor">
          <a:schemeClr val="lt1"/>
        </a:fontRef>
      </xdr:style>
      <xdr:txBody>
        <a:bodyPr vertOverflow="overflow" horzOverflow="overflow" lIns="540000" tIns="0" rIns="0" bIns="0" rtlCol="0" anchor="ctr"/>
        <a:lstStyle/>
        <a:p>
          <a:pPr algn="l"/>
          <a:r>
            <a:rPr kumimoji="1" lang="ja-JP" altLang="en-US" sz="1100" b="1">
              <a:solidFill>
                <a:sysClr val="windowText" lastClr="000000"/>
              </a:solidFill>
            </a:rPr>
            <a:t>工事資材は全て準備できていますか？</a:t>
          </a:r>
          <a:endParaRPr kumimoji="1" lang="en-US" altLang="ja-JP" sz="1100" b="1">
            <a:solidFill>
              <a:sysClr val="windowText" lastClr="000000"/>
            </a:solidFill>
          </a:endParaRPr>
        </a:p>
      </xdr:txBody>
    </xdr:sp>
    <xdr:clientData/>
  </xdr:twoCellAnchor>
  <xdr:twoCellAnchor>
    <xdr:from>
      <xdr:col>2</xdr:col>
      <xdr:colOff>233546</xdr:colOff>
      <xdr:row>15</xdr:row>
      <xdr:rowOff>188822</xdr:rowOff>
    </xdr:from>
    <xdr:to>
      <xdr:col>2</xdr:col>
      <xdr:colOff>629169</xdr:colOff>
      <xdr:row>18</xdr:row>
      <xdr:rowOff>52670</xdr:rowOff>
    </xdr:to>
    <xdr:pic>
      <xdr:nvPicPr>
        <xdr:cNvPr id="8" name="Picture 185" descr="check_l_c">
          <a:extLst>
            <a:ext uri="{FF2B5EF4-FFF2-40B4-BE49-F238E27FC236}">
              <a16:creationId xmlns:a16="http://schemas.microsoft.com/office/drawing/2014/main" id="{73FFB00E-E549-4DAF-9A2D-6D6288F52C24}"/>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bwMode="auto">
        <a:xfrm>
          <a:off x="6045701" y="2741522"/>
          <a:ext cx="389908" cy="4486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116206</xdr:colOff>
      <xdr:row>1</xdr:row>
      <xdr:rowOff>60811</xdr:rowOff>
    </xdr:from>
    <xdr:to>
      <xdr:col>9</xdr:col>
      <xdr:colOff>1466851</xdr:colOff>
      <xdr:row>31</xdr:row>
      <xdr:rowOff>171450</xdr:rowOff>
    </xdr:to>
    <xdr:grpSp>
      <xdr:nvGrpSpPr>
        <xdr:cNvPr id="9" name="グループ化 8">
          <a:extLst>
            <a:ext uri="{FF2B5EF4-FFF2-40B4-BE49-F238E27FC236}">
              <a16:creationId xmlns:a16="http://schemas.microsoft.com/office/drawing/2014/main" id="{938EC1F5-5D66-4F58-99F2-A6661D942AAF}"/>
            </a:ext>
          </a:extLst>
        </xdr:cNvPr>
        <xdr:cNvGrpSpPr/>
      </xdr:nvGrpSpPr>
      <xdr:grpSpPr>
        <a:xfrm>
          <a:off x="12466956" y="251311"/>
          <a:ext cx="6055995" cy="6016139"/>
          <a:chOff x="9913621" y="169396"/>
          <a:chExt cx="6065520" cy="5317004"/>
        </a:xfrm>
      </xdr:grpSpPr>
      <xdr:sp macro="" textlink="">
        <xdr:nvSpPr>
          <xdr:cNvPr id="10" name="吹き出し: 線 (枠付き、強調線付き) 9">
            <a:extLst>
              <a:ext uri="{FF2B5EF4-FFF2-40B4-BE49-F238E27FC236}">
                <a16:creationId xmlns:a16="http://schemas.microsoft.com/office/drawing/2014/main" id="{A7D4AA8E-B966-EABB-429C-0D52A1F2BED4}"/>
              </a:ext>
            </a:extLst>
          </xdr:cNvPr>
          <xdr:cNvSpPr/>
        </xdr:nvSpPr>
        <xdr:spPr>
          <a:xfrm>
            <a:off x="9913621" y="169396"/>
            <a:ext cx="6065520" cy="5317004"/>
          </a:xfrm>
          <a:prstGeom prst="accentBorderCallout1">
            <a:avLst>
              <a:gd name="adj1" fmla="val 22025"/>
              <a:gd name="adj2" fmla="val -228"/>
              <a:gd name="adj3" fmla="val 45910"/>
              <a:gd name="adj4" fmla="val -51"/>
            </a:avLst>
          </a:prstGeom>
          <a:solidFill>
            <a:schemeClr val="accent4">
              <a:lumMod val="20000"/>
              <a:lumOff val="80000"/>
            </a:schemeClr>
          </a:solidFill>
          <a:ln w="19050">
            <a:solidFill>
              <a:schemeClr val="tx1"/>
            </a:solidFill>
            <a:prstDash val="solid"/>
          </a:ln>
        </xdr:spPr>
        <xdr:style>
          <a:lnRef idx="2">
            <a:schemeClr val="accent6">
              <a:shade val="15000"/>
            </a:schemeClr>
          </a:lnRef>
          <a:fillRef idx="1">
            <a:schemeClr val="accent6"/>
          </a:fillRef>
          <a:effectRef idx="0">
            <a:schemeClr val="accent6"/>
          </a:effectRef>
          <a:fontRef idx="minor">
            <a:schemeClr val="lt1"/>
          </a:fontRef>
        </xdr:style>
        <xdr:txBody>
          <a:bodyPr vertOverflow="overflow" horzOverflow="overflow" wrap="none" rtlCol="0" anchor="t"/>
          <a:lstStyle/>
          <a:p>
            <a:pPr algn="l"/>
            <a:r>
              <a:rPr kumimoji="1" lang="ja-JP" altLang="en-US" sz="1400" b="1" u="sng">
                <a:solidFill>
                  <a:sysClr val="windowText" lastClr="000000"/>
                </a:solidFill>
                <a:latin typeface="Meiryo UI" panose="020B0604030504040204" pitchFamily="50" charset="-128"/>
                <a:ea typeface="Meiryo UI" panose="020B0604030504040204" pitchFamily="50" charset="-128"/>
              </a:rPr>
              <a:t>標準化フォーマットルール</a:t>
            </a:r>
            <a:r>
              <a:rPr kumimoji="1" lang="en-US" altLang="ja-JP" sz="1400" b="1" u="sng">
                <a:solidFill>
                  <a:sysClr val="windowText" lastClr="000000"/>
                </a:solidFill>
                <a:latin typeface="Meiryo UI" panose="020B0604030504040204" pitchFamily="50" charset="-128"/>
                <a:ea typeface="Meiryo UI" panose="020B0604030504040204" pitchFamily="50" charset="-128"/>
              </a:rPr>
              <a:t>(</a:t>
            </a:r>
            <a:r>
              <a:rPr kumimoji="1" lang="ja-JP" altLang="en-US" sz="1400" b="1" u="sng">
                <a:solidFill>
                  <a:sysClr val="windowText" lastClr="000000"/>
                </a:solidFill>
                <a:latin typeface="Meiryo UI" panose="020B0604030504040204" pitchFamily="50" charset="-128"/>
                <a:ea typeface="Meiryo UI" panose="020B0604030504040204" pitchFamily="50" charset="-128"/>
              </a:rPr>
              <a:t>全シート共通</a:t>
            </a:r>
            <a:r>
              <a:rPr kumimoji="1" lang="en-US" altLang="ja-JP" sz="1400" b="1" u="sng">
                <a:solidFill>
                  <a:sysClr val="windowText" lastClr="000000"/>
                </a:solidFill>
                <a:latin typeface="Meiryo UI" panose="020B0604030504040204" pitchFamily="50" charset="-128"/>
                <a:ea typeface="Meiryo UI" panose="020B0604030504040204" pitchFamily="50" charset="-128"/>
              </a:rPr>
              <a:t>)</a:t>
            </a:r>
          </a:p>
          <a:p>
            <a:pPr algn="l"/>
            <a:r>
              <a:rPr kumimoji="1" lang="ja-JP" altLang="en-US" sz="1200" b="0" u="sng">
                <a:solidFill>
                  <a:sysClr val="windowText" lastClr="000000"/>
                </a:solidFill>
                <a:latin typeface="Meiryo UI" panose="020B0604030504040204" pitchFamily="50" charset="-128"/>
                <a:ea typeface="Meiryo UI" panose="020B0604030504040204" pitchFamily="50" charset="-128"/>
              </a:rPr>
              <a:t>①背景色について</a:t>
            </a:r>
            <a:endParaRPr kumimoji="1" lang="en-US" altLang="ja-JP" sz="1200" b="0" u="sng">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薄緑色：様式において表のカラム名等を示すセルに適用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薄灰色：様式において定義済みの不変箇所であり、数式等誤って壊さないよう明示するセルに適用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薄黄色：</a:t>
            </a:r>
            <a:r>
              <a:rPr kumimoji="1" lang="en-US" altLang="ja-JP" sz="1000" b="0" u="none">
                <a:solidFill>
                  <a:sysClr val="windowText" lastClr="000000"/>
                </a:solidFill>
                <a:latin typeface="Meiryo UI" panose="020B0604030504040204" pitchFamily="50" charset="-128"/>
                <a:ea typeface="Meiryo UI" panose="020B0604030504040204" pitchFamily="50" charset="-128"/>
              </a:rPr>
              <a:t>CS</a:t>
            </a:r>
            <a:r>
              <a:rPr kumimoji="1" lang="ja-JP" altLang="en-US" sz="1000" b="0" u="none">
                <a:solidFill>
                  <a:sysClr val="windowText" lastClr="000000"/>
                </a:solidFill>
                <a:latin typeface="Meiryo UI" panose="020B0604030504040204" pitchFamily="50" charset="-128"/>
                <a:ea typeface="Meiryo UI" panose="020B0604030504040204" pitchFamily="50" charset="-128"/>
              </a:rPr>
              <a:t>作成時</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原本作成時</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に作成者によって値設定が必要なセルに適用。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また工事準備及び当日に作業実施者によって設定確認が必要なセルに適用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濃黄色：工事準備及び当日に作業実施者によって設定が必要なセルに適用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薄青色：条件分岐によって実施有無が変化する手順範囲に適用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薄橙色：可読性を上げる目的で繰返し工程の始点～終点の範囲に適用</a:t>
            </a:r>
            <a:r>
              <a:rPr kumimoji="1" lang="en-US" altLang="ja-JP" sz="1000" b="0" u="none">
                <a:solidFill>
                  <a:sysClr val="windowText" lastClr="000000"/>
                </a:solidFill>
                <a:latin typeface="Meiryo UI" panose="020B0604030504040204" pitchFamily="50" charset="-128"/>
                <a:ea typeface="Meiryo UI" panose="020B0604030504040204" pitchFamily="50" charset="-128"/>
              </a:rPr>
              <a:t>(2</a:t>
            </a:r>
            <a:r>
              <a:rPr kumimoji="1" lang="ja-JP" altLang="en-US" sz="1000" b="0" u="none">
                <a:solidFill>
                  <a:sysClr val="windowText" lastClr="000000"/>
                </a:solidFill>
                <a:latin typeface="Meiryo UI" panose="020B0604030504040204" pitchFamily="50" charset="-128"/>
                <a:ea typeface="Meiryo UI" panose="020B0604030504040204" pitchFamily="50" charset="-128"/>
              </a:rPr>
              <a:t>色を交互に適用</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濃灰色：実施または確認不要項目などに適用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endParaRPr kumimoji="1" lang="en-US" altLang="ja-JP" sz="11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200" b="0" u="sng">
                <a:solidFill>
                  <a:sysClr val="windowText" lastClr="000000"/>
                </a:solidFill>
                <a:latin typeface="Meiryo UI" panose="020B0604030504040204" pitchFamily="50" charset="-128"/>
                <a:ea typeface="Meiryo UI" panose="020B0604030504040204" pitchFamily="50" charset="-128"/>
              </a:rPr>
              <a:t>②文字フォントについて</a:t>
            </a:r>
            <a:endParaRPr kumimoji="1" lang="en-US" altLang="ja-JP" sz="1200" b="0" u="sng">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・フォント設定は「</a:t>
            </a:r>
            <a:r>
              <a:rPr kumimoji="1" lang="en-US" altLang="ja-JP" sz="1000" b="0" u="sng">
                <a:solidFill>
                  <a:sysClr val="windowText" lastClr="000000"/>
                </a:solidFill>
                <a:latin typeface="Meiryo UI" panose="020B0604030504040204" pitchFamily="50" charset="-128"/>
                <a:ea typeface="Meiryo UI" panose="020B0604030504040204" pitchFamily="50" charset="-128"/>
              </a:rPr>
              <a:t>Meiryo UI</a:t>
            </a:r>
            <a:r>
              <a:rPr kumimoji="1" lang="ja-JP" altLang="en-US" sz="1000" b="0" u="none">
                <a:solidFill>
                  <a:sysClr val="windowText" lastClr="000000"/>
                </a:solidFill>
                <a:latin typeface="Meiryo UI" panose="020B0604030504040204" pitchFamily="50" charset="-128"/>
                <a:ea typeface="Meiryo UI" panose="020B0604030504040204" pitchFamily="50" charset="-128"/>
              </a:rPr>
              <a:t>」とすること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a:t>
            </a:r>
            <a:r>
              <a:rPr kumimoji="1" lang="en-US" altLang="ja-JP" sz="1000" b="0" u="none">
                <a:solidFill>
                  <a:sysClr val="windowText" lastClr="000000"/>
                </a:solidFill>
                <a:latin typeface="Meiryo UI" panose="020B0604030504040204" pitchFamily="50" charset="-128"/>
                <a:ea typeface="Meiryo UI" panose="020B0604030504040204" pitchFamily="50" charset="-128"/>
              </a:rPr>
              <a:t>I(</a:t>
            </a:r>
            <a:r>
              <a:rPr kumimoji="1" lang="ja-JP" altLang="en-US" sz="1000" b="0" u="none">
                <a:solidFill>
                  <a:sysClr val="windowText" lastClr="000000"/>
                </a:solidFill>
                <a:latin typeface="Meiryo UI" panose="020B0604030504040204" pitchFamily="50" charset="-128"/>
                <a:ea typeface="Meiryo UI" panose="020B0604030504040204" pitchFamily="50" charset="-128"/>
              </a:rPr>
              <a:t>アイ</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l(</a:t>
            </a:r>
            <a:r>
              <a:rPr kumimoji="1" lang="ja-JP" altLang="en-US" sz="1000" b="0" u="none">
                <a:solidFill>
                  <a:sysClr val="windowText" lastClr="000000"/>
                </a:solidFill>
                <a:latin typeface="Meiryo UI" panose="020B0604030504040204" pitchFamily="50" charset="-128"/>
                <a:ea typeface="Meiryo UI" panose="020B0604030504040204" pitchFamily="50" charset="-128"/>
              </a:rPr>
              <a:t>エル</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1(</a:t>
            </a:r>
            <a:r>
              <a:rPr kumimoji="1" lang="ja-JP" altLang="en-US" sz="1000" b="0" u="none">
                <a:solidFill>
                  <a:sysClr val="windowText" lastClr="000000"/>
                </a:solidFill>
                <a:latin typeface="Meiryo UI" panose="020B0604030504040204" pitchFamily="50" charset="-128"/>
                <a:ea typeface="Meiryo UI" panose="020B0604030504040204" pitchFamily="50" charset="-128"/>
              </a:rPr>
              <a:t>いち</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a:t>
            </a:r>
            <a:r>
              <a:rPr kumimoji="1" lang="en-US" altLang="ja-JP" sz="1000" b="0" u="none">
                <a:solidFill>
                  <a:sysClr val="windowText" lastClr="000000"/>
                </a:solidFill>
                <a:latin typeface="Meiryo UI" panose="020B0604030504040204" pitchFamily="50" charset="-128"/>
                <a:ea typeface="Meiryo UI" panose="020B0604030504040204" pitchFamily="50" charset="-128"/>
              </a:rPr>
              <a:t>0(</a:t>
            </a:r>
            <a:r>
              <a:rPr kumimoji="1" lang="ja-JP" altLang="en-US" sz="1000" b="0" u="none">
                <a:solidFill>
                  <a:sysClr val="windowText" lastClr="000000"/>
                </a:solidFill>
                <a:latin typeface="Meiryo UI" panose="020B0604030504040204" pitchFamily="50" charset="-128"/>
                <a:ea typeface="Meiryo UI" panose="020B0604030504040204" pitchFamily="50" charset="-128"/>
              </a:rPr>
              <a:t>ゼロ</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O(</a:t>
            </a:r>
            <a:r>
              <a:rPr kumimoji="1" lang="ja-JP" altLang="en-US" sz="1000" b="0" u="none">
                <a:solidFill>
                  <a:sysClr val="windowText" lastClr="000000"/>
                </a:solidFill>
                <a:latin typeface="Meiryo UI" panose="020B0604030504040204" pitchFamily="50" charset="-128"/>
                <a:ea typeface="Meiryo UI" panose="020B0604030504040204" pitchFamily="50" charset="-128"/>
              </a:rPr>
              <a:t>オー</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」のような識別困難文字対策のため</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・フォントサイズは最小「</a:t>
            </a:r>
            <a:r>
              <a:rPr kumimoji="1" lang="en-US" altLang="ja-JP" sz="1000" b="0" u="none">
                <a:solidFill>
                  <a:sysClr val="windowText" lastClr="000000"/>
                </a:solidFill>
                <a:latin typeface="Meiryo UI" panose="020B0604030504040204" pitchFamily="50" charset="-128"/>
                <a:ea typeface="Meiryo UI" panose="020B0604030504040204" pitchFamily="50" charset="-128"/>
              </a:rPr>
              <a:t>10pt</a:t>
            </a:r>
            <a:r>
              <a:rPr kumimoji="1" lang="ja-JP" altLang="en-US" sz="1000" b="0" u="none">
                <a:solidFill>
                  <a:sysClr val="windowText" lastClr="000000"/>
                </a:solidFill>
                <a:latin typeface="Meiryo UI" panose="020B0604030504040204" pitchFamily="50" charset="-128"/>
                <a:ea typeface="Meiryo UI" panose="020B0604030504040204" pitchFamily="50" charset="-128"/>
              </a:rPr>
              <a:t>」以上を推奨する。</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200" b="0" u="sng">
                <a:solidFill>
                  <a:sysClr val="windowText" lastClr="000000"/>
                </a:solidFill>
                <a:latin typeface="Meiryo UI" panose="020B0604030504040204" pitchFamily="50" charset="-128"/>
                <a:ea typeface="Meiryo UI" panose="020B0604030504040204" pitchFamily="50" charset="-128"/>
              </a:rPr>
              <a:t>③文字色について</a:t>
            </a:r>
            <a:endParaRPr kumimoji="1" lang="en-US" altLang="ja-JP" sz="1200" b="0" u="sng">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黒色：基本色であり、他条件に当てはまらない場合に適用。</a:t>
            </a: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ja-JP" altLang="en-US" sz="1000" b="0" u="none">
                <a:solidFill>
                  <a:srgbClr val="3333FF"/>
                </a:solidFill>
                <a:latin typeface="Meiryo UI" panose="020B0604030504040204" pitchFamily="50" charset="-128"/>
                <a:ea typeface="Meiryo UI" panose="020B0604030504040204" pitchFamily="50" charset="-128"/>
              </a:rPr>
              <a:t>青色</a:t>
            </a:r>
            <a:r>
              <a:rPr kumimoji="1" lang="ja-JP" altLang="en-US" sz="1000" b="0" u="none">
                <a:solidFill>
                  <a:sysClr val="windowText" lastClr="000000"/>
                </a:solidFill>
                <a:latin typeface="Meiryo UI" panose="020B0604030504040204" pitchFamily="50" charset="-128"/>
                <a:ea typeface="Meiryo UI" panose="020B0604030504040204" pitchFamily="50" charset="-128"/>
              </a:rPr>
              <a:t>：数式を代入しているセルに適用</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明確化しておくことで修正時に想定外の改変を防ぎ保守性を高める</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endParaRPr kumimoji="1" lang="ja-JP" altLang="en-US"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ja-JP" altLang="en-US" sz="1000" b="0" u="none">
                <a:solidFill>
                  <a:srgbClr val="FF0000"/>
                </a:solidFill>
                <a:latin typeface="Meiryo UI" panose="020B0604030504040204" pitchFamily="50" charset="-128"/>
                <a:ea typeface="Meiryo UI" panose="020B0604030504040204" pitchFamily="50" charset="-128"/>
              </a:rPr>
              <a:t>赤色</a:t>
            </a:r>
            <a:r>
              <a:rPr kumimoji="1" lang="ja-JP" altLang="en-US" sz="1000" b="0" u="none">
                <a:solidFill>
                  <a:sysClr val="windowText" lastClr="000000"/>
                </a:solidFill>
                <a:latin typeface="Meiryo UI" panose="020B0604030504040204" pitchFamily="50" charset="-128"/>
                <a:ea typeface="Meiryo UI" panose="020B0604030504040204" pitchFamily="50" charset="-128"/>
              </a:rPr>
              <a:t>：最重点確認事項や、視覚的誤認を与えやすい箇所にのみ適用</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効果が薄れるためむやみに使用しない</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p>
          <a:p>
            <a:pPr algn="l"/>
            <a:r>
              <a:rPr kumimoji="1" lang="ja-JP" altLang="en-US" sz="1200" b="0" u="sng">
                <a:solidFill>
                  <a:sysClr val="windowText" lastClr="000000"/>
                </a:solidFill>
                <a:latin typeface="Meiryo UI" panose="020B0604030504040204" pitchFamily="50" charset="-128"/>
                <a:ea typeface="Meiryo UI" panose="020B0604030504040204" pitchFamily="50" charset="-128"/>
              </a:rPr>
              <a:t>④文字書式について</a:t>
            </a:r>
            <a:endParaRPr kumimoji="1" lang="en-US" altLang="ja-JP" sz="1200" b="0" u="sng">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ja-JP" altLang="en-US" sz="1000" b="1" u="none">
                <a:solidFill>
                  <a:sysClr val="windowText" lastClr="000000"/>
                </a:solidFill>
                <a:latin typeface="Meiryo UI" panose="020B0604030504040204" pitchFamily="50" charset="-128"/>
                <a:ea typeface="Meiryo UI" panose="020B0604030504040204" pitchFamily="50" charset="-128"/>
              </a:rPr>
              <a:t>太字</a:t>
            </a:r>
            <a:r>
              <a:rPr kumimoji="1" lang="ja-JP" altLang="en-US" sz="1000" b="0" u="none">
                <a:solidFill>
                  <a:sysClr val="windowText" lastClr="000000"/>
                </a:solidFill>
                <a:latin typeface="Meiryo UI" panose="020B0604030504040204" pitchFamily="50" charset="-128"/>
                <a:ea typeface="Meiryo UI" panose="020B0604030504040204" pitchFamily="50" charset="-128"/>
              </a:rPr>
              <a:t>：手動入力項目、投入手順、投入コマンドに可読性を上げるために適用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ja-JP" altLang="en-US" sz="1000" b="0" u="sng">
                <a:solidFill>
                  <a:sysClr val="windowText" lastClr="000000"/>
                </a:solidFill>
                <a:latin typeface="Meiryo UI" panose="020B0604030504040204" pitchFamily="50" charset="-128"/>
                <a:ea typeface="Meiryo UI" panose="020B0604030504040204" pitchFamily="50" charset="-128"/>
              </a:rPr>
              <a:t>下線</a:t>
            </a:r>
            <a:r>
              <a:rPr kumimoji="1" lang="ja-JP" altLang="en-US" sz="1000" b="0" u="none">
                <a:solidFill>
                  <a:sysClr val="windowText" lastClr="000000"/>
                </a:solidFill>
                <a:latin typeface="Meiryo UI" panose="020B0604030504040204" pitchFamily="50" charset="-128"/>
                <a:ea typeface="Meiryo UI" panose="020B0604030504040204" pitchFamily="50" charset="-128"/>
              </a:rPr>
              <a:t>：注意を促したい箇所等に当該箇所を強調し可読性を上げるために適用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ja-JP" altLang="en-US" sz="1000" b="0" i="1" u="none">
                <a:solidFill>
                  <a:sysClr val="windowText" lastClr="000000"/>
                </a:solidFill>
                <a:latin typeface="Meiryo UI" panose="020B0604030504040204" pitchFamily="50" charset="-128"/>
                <a:ea typeface="Meiryo UI" panose="020B0604030504040204" pitchFamily="50" charset="-128"/>
              </a:rPr>
              <a:t>斜体</a:t>
            </a:r>
            <a:r>
              <a:rPr kumimoji="1" lang="ja-JP" altLang="en-US" sz="1000" b="0" u="none">
                <a:solidFill>
                  <a:sysClr val="windowText" lastClr="000000"/>
                </a:solidFill>
                <a:latin typeface="Meiryo UI" panose="020B0604030504040204" pitchFamily="50" charset="-128"/>
                <a:ea typeface="Meiryo UI" panose="020B0604030504040204" pitchFamily="50" charset="-128"/>
              </a:rPr>
              <a:t>：コマンド実行結果例の引用表示の際等に適用</a:t>
            </a:r>
          </a:p>
        </xdr:txBody>
      </xdr:sp>
      <xdr:sp macro="" textlink="">
        <xdr:nvSpPr>
          <xdr:cNvPr id="11" name="正方形/長方形 10">
            <a:extLst>
              <a:ext uri="{FF2B5EF4-FFF2-40B4-BE49-F238E27FC236}">
                <a16:creationId xmlns:a16="http://schemas.microsoft.com/office/drawing/2014/main" id="{9D428779-9F68-7D64-5D10-3F9439069F03}"/>
              </a:ext>
            </a:extLst>
          </xdr:cNvPr>
          <xdr:cNvSpPr/>
        </xdr:nvSpPr>
        <xdr:spPr>
          <a:xfrm>
            <a:off x="9974858" y="764322"/>
            <a:ext cx="508790" cy="175261"/>
          </a:xfrm>
          <a:prstGeom prst="rect">
            <a:avLst/>
          </a:prstGeom>
          <a:solidFill>
            <a:schemeClr val="accent6">
              <a:lumMod val="20000"/>
              <a:lumOff val="8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800">
                <a:solidFill>
                  <a:sysClr val="windowText" lastClr="000000"/>
                </a:solidFill>
              </a:rPr>
              <a:t>薄緑色</a:t>
            </a:r>
          </a:p>
        </xdr:txBody>
      </xdr:sp>
      <xdr:sp macro="" textlink="">
        <xdr:nvSpPr>
          <xdr:cNvPr id="12" name="正方形/長方形 11">
            <a:extLst>
              <a:ext uri="{FF2B5EF4-FFF2-40B4-BE49-F238E27FC236}">
                <a16:creationId xmlns:a16="http://schemas.microsoft.com/office/drawing/2014/main" id="{081AD8F4-ABC3-B58B-7191-0AB3D120C22C}"/>
              </a:ext>
            </a:extLst>
          </xdr:cNvPr>
          <xdr:cNvSpPr/>
        </xdr:nvSpPr>
        <xdr:spPr>
          <a:xfrm>
            <a:off x="9971669" y="944871"/>
            <a:ext cx="515170" cy="188596"/>
          </a:xfrm>
          <a:prstGeom prst="rect">
            <a:avLst/>
          </a:prstGeom>
          <a:solidFill>
            <a:schemeClr val="bg1">
              <a:lumMod val="95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800">
                <a:solidFill>
                  <a:sysClr val="windowText" lastClr="000000"/>
                </a:solidFill>
              </a:rPr>
              <a:t>薄灰色</a:t>
            </a:r>
          </a:p>
        </xdr:txBody>
      </xdr:sp>
      <xdr:sp macro="" textlink="">
        <xdr:nvSpPr>
          <xdr:cNvPr id="13" name="正方形/長方形 12">
            <a:extLst>
              <a:ext uri="{FF2B5EF4-FFF2-40B4-BE49-F238E27FC236}">
                <a16:creationId xmlns:a16="http://schemas.microsoft.com/office/drawing/2014/main" id="{0178871A-7995-82F6-B678-8669A6587514}"/>
              </a:ext>
            </a:extLst>
          </xdr:cNvPr>
          <xdr:cNvSpPr/>
        </xdr:nvSpPr>
        <xdr:spPr>
          <a:xfrm>
            <a:off x="9971933" y="1160464"/>
            <a:ext cx="499400" cy="166537"/>
          </a:xfrm>
          <a:prstGeom prst="rect">
            <a:avLst/>
          </a:prstGeom>
          <a:solidFill>
            <a:srgbClr val="FFFFCC"/>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800">
                <a:solidFill>
                  <a:sysClr val="windowText" lastClr="000000"/>
                </a:solidFill>
              </a:rPr>
              <a:t>薄黄色</a:t>
            </a:r>
          </a:p>
        </xdr:txBody>
      </xdr:sp>
      <xdr:sp macro="" textlink="">
        <xdr:nvSpPr>
          <xdr:cNvPr id="14" name="正方形/長方形 13">
            <a:extLst>
              <a:ext uri="{FF2B5EF4-FFF2-40B4-BE49-F238E27FC236}">
                <a16:creationId xmlns:a16="http://schemas.microsoft.com/office/drawing/2014/main" id="{23122C0E-18CF-7D5B-A8DE-EECF6D2A8E70}"/>
              </a:ext>
            </a:extLst>
          </xdr:cNvPr>
          <xdr:cNvSpPr/>
        </xdr:nvSpPr>
        <xdr:spPr>
          <a:xfrm>
            <a:off x="9973088" y="1519680"/>
            <a:ext cx="512352" cy="162216"/>
          </a:xfrm>
          <a:prstGeom prst="rect">
            <a:avLst/>
          </a:prstGeom>
          <a:solidFill>
            <a:srgbClr val="FFFF00"/>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800">
                <a:solidFill>
                  <a:sysClr val="windowText" lastClr="000000"/>
                </a:solidFill>
              </a:rPr>
              <a:t>濃黄色</a:t>
            </a:r>
          </a:p>
        </xdr:txBody>
      </xdr:sp>
      <xdr:sp macro="" textlink="">
        <xdr:nvSpPr>
          <xdr:cNvPr id="15" name="正方形/長方形 14">
            <a:extLst>
              <a:ext uri="{FF2B5EF4-FFF2-40B4-BE49-F238E27FC236}">
                <a16:creationId xmlns:a16="http://schemas.microsoft.com/office/drawing/2014/main" id="{3F480A98-3A72-56E0-D06B-4EBE3CE4F73B}"/>
              </a:ext>
            </a:extLst>
          </xdr:cNvPr>
          <xdr:cNvSpPr/>
        </xdr:nvSpPr>
        <xdr:spPr>
          <a:xfrm>
            <a:off x="9961527" y="1721892"/>
            <a:ext cx="512606" cy="177945"/>
          </a:xfrm>
          <a:prstGeom prst="rect">
            <a:avLst/>
          </a:prstGeom>
          <a:solidFill>
            <a:schemeClr val="accent5">
              <a:lumMod val="20000"/>
              <a:lumOff val="8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800">
                <a:solidFill>
                  <a:sysClr val="windowText" lastClr="000000"/>
                </a:solidFill>
              </a:rPr>
              <a:t>薄青色</a:t>
            </a:r>
          </a:p>
        </xdr:txBody>
      </xdr:sp>
      <xdr:grpSp>
        <xdr:nvGrpSpPr>
          <xdr:cNvPr id="16" name="グループ化 15">
            <a:extLst>
              <a:ext uri="{FF2B5EF4-FFF2-40B4-BE49-F238E27FC236}">
                <a16:creationId xmlns:a16="http://schemas.microsoft.com/office/drawing/2014/main" id="{48E3FA7B-F886-197E-4AD6-8CEC58983256}"/>
              </a:ext>
            </a:extLst>
          </xdr:cNvPr>
          <xdr:cNvGrpSpPr/>
        </xdr:nvGrpSpPr>
        <xdr:grpSpPr>
          <a:xfrm>
            <a:off x="9954930" y="1918655"/>
            <a:ext cx="491440" cy="189676"/>
            <a:chOff x="9477633" y="1800654"/>
            <a:chExt cx="504512" cy="184852"/>
          </a:xfrm>
        </xdr:grpSpPr>
        <xdr:sp macro="" textlink="">
          <xdr:nvSpPr>
            <xdr:cNvPr id="18" name="正方形/長方形 17">
              <a:extLst>
                <a:ext uri="{FF2B5EF4-FFF2-40B4-BE49-F238E27FC236}">
                  <a16:creationId xmlns:a16="http://schemas.microsoft.com/office/drawing/2014/main" id="{12430D19-B0AC-7785-71A2-D2A4FAA9BA3F}"/>
                </a:ext>
              </a:extLst>
            </xdr:cNvPr>
            <xdr:cNvSpPr/>
          </xdr:nvSpPr>
          <xdr:spPr>
            <a:xfrm>
              <a:off x="9732327" y="1800654"/>
              <a:ext cx="249818" cy="179084"/>
            </a:xfrm>
            <a:prstGeom prst="rect">
              <a:avLst/>
            </a:prstGeom>
            <a:solidFill>
              <a:schemeClr val="accent2">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lstStyle/>
            <a:p>
              <a:pPr algn="ctr"/>
              <a:endParaRPr kumimoji="1" lang="ja-JP" altLang="en-US" sz="800">
                <a:solidFill>
                  <a:sysClr val="windowText" lastClr="000000"/>
                </a:solidFill>
              </a:endParaRPr>
            </a:p>
          </xdr:txBody>
        </xdr:sp>
        <xdr:sp macro="" textlink="">
          <xdr:nvSpPr>
            <xdr:cNvPr id="19" name="正方形/長方形 18">
              <a:extLst>
                <a:ext uri="{FF2B5EF4-FFF2-40B4-BE49-F238E27FC236}">
                  <a16:creationId xmlns:a16="http://schemas.microsoft.com/office/drawing/2014/main" id="{F3C07307-3F4F-57C5-1A4D-11C4A0BFD5A8}"/>
                </a:ext>
              </a:extLst>
            </xdr:cNvPr>
            <xdr:cNvSpPr/>
          </xdr:nvSpPr>
          <xdr:spPr>
            <a:xfrm>
              <a:off x="9477633" y="1806960"/>
              <a:ext cx="252319" cy="178546"/>
            </a:xfrm>
            <a:prstGeom prst="rect">
              <a:avLst/>
            </a:prstGeom>
            <a:solidFill>
              <a:schemeClr val="accent2">
                <a:lumMod val="20000"/>
                <a:lumOff val="8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lstStyle/>
            <a:p>
              <a:pPr algn="l"/>
              <a:r>
                <a:rPr kumimoji="1" lang="ja-JP" altLang="en-US" sz="800">
                  <a:solidFill>
                    <a:sysClr val="windowText" lastClr="000000"/>
                  </a:solidFill>
                </a:rPr>
                <a:t>薄橙色</a:t>
              </a:r>
            </a:p>
          </xdr:txBody>
        </xdr:sp>
      </xdr:grpSp>
      <xdr:sp macro="" textlink="">
        <xdr:nvSpPr>
          <xdr:cNvPr id="17" name="正方形/長方形 16">
            <a:extLst>
              <a:ext uri="{FF2B5EF4-FFF2-40B4-BE49-F238E27FC236}">
                <a16:creationId xmlns:a16="http://schemas.microsoft.com/office/drawing/2014/main" id="{AB001572-DEDA-672D-BE9D-8E88A2A6B7F8}"/>
              </a:ext>
            </a:extLst>
          </xdr:cNvPr>
          <xdr:cNvSpPr/>
        </xdr:nvSpPr>
        <xdr:spPr>
          <a:xfrm>
            <a:off x="9947564" y="2123221"/>
            <a:ext cx="514396" cy="172007"/>
          </a:xfrm>
          <a:prstGeom prst="rect">
            <a:avLst/>
          </a:prstGeom>
          <a:solidFill>
            <a:schemeClr val="bg1">
              <a:lumMod val="5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800">
                <a:solidFill>
                  <a:schemeClr val="bg1"/>
                </a:solidFill>
              </a:rPr>
              <a:t>濃灰色</a:t>
            </a:r>
          </a:p>
        </xdr:txBody>
      </xdr:sp>
    </xdr:grpSp>
    <xdr:clientData/>
  </xdr:twoCellAnchor>
  <xdr:twoCellAnchor>
    <xdr:from>
      <xdr:col>2</xdr:col>
      <xdr:colOff>630555</xdr:colOff>
      <xdr:row>39</xdr:row>
      <xdr:rowOff>215265</xdr:rowOff>
    </xdr:from>
    <xdr:to>
      <xdr:col>7</xdr:col>
      <xdr:colOff>706755</xdr:colOff>
      <xdr:row>52</xdr:row>
      <xdr:rowOff>160020</xdr:rowOff>
    </xdr:to>
    <xdr:sp macro="" textlink="">
      <xdr:nvSpPr>
        <xdr:cNvPr id="20" name="四角形: 角を丸くする 19">
          <a:extLst>
            <a:ext uri="{FF2B5EF4-FFF2-40B4-BE49-F238E27FC236}">
              <a16:creationId xmlns:a16="http://schemas.microsoft.com/office/drawing/2014/main" id="{90823555-2C9D-4566-838B-14033D0028B0}"/>
            </a:ext>
          </a:extLst>
        </xdr:cNvPr>
        <xdr:cNvSpPr/>
      </xdr:nvSpPr>
      <xdr:spPr>
        <a:xfrm>
          <a:off x="6436995" y="7631430"/>
          <a:ext cx="8210550" cy="2798445"/>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b="1">
              <a:solidFill>
                <a:sysClr val="windowText" lastClr="000000"/>
              </a:solidFill>
            </a:rPr>
            <a:t>作業</a:t>
          </a:r>
          <a:r>
            <a:rPr kumimoji="1" lang="en-US" altLang="ja-JP" sz="2800" b="1">
              <a:solidFill>
                <a:sysClr val="windowText" lastClr="000000"/>
              </a:solidFill>
            </a:rPr>
            <a:t>CS</a:t>
          </a:r>
          <a:r>
            <a:rPr kumimoji="1" lang="ja-JP" altLang="en-US" sz="2800" b="1">
              <a:solidFill>
                <a:sysClr val="windowText" lastClr="000000"/>
              </a:solidFill>
            </a:rPr>
            <a:t>でホスト名、</a:t>
          </a:r>
          <a:r>
            <a:rPr kumimoji="1" lang="en-US" altLang="ja-JP" sz="2800" b="1">
              <a:solidFill>
                <a:sysClr val="windowText" lastClr="000000"/>
              </a:solidFill>
            </a:rPr>
            <a:t>IP</a:t>
          </a:r>
          <a:r>
            <a:rPr kumimoji="1" lang="ja-JP" altLang="en-US" sz="2800" b="1">
              <a:solidFill>
                <a:sysClr val="windowText" lastClr="000000"/>
              </a:solidFill>
            </a:rPr>
            <a:t>アドレスを使用する際は</a:t>
          </a:r>
          <a:br>
            <a:rPr kumimoji="1" lang="en-US" altLang="ja-JP" sz="2800" b="1">
              <a:solidFill>
                <a:sysClr val="windowText" lastClr="000000"/>
              </a:solidFill>
            </a:rPr>
          </a:br>
          <a:r>
            <a:rPr kumimoji="1" lang="ja-JP" altLang="en-US" sz="2800" b="1">
              <a:solidFill>
                <a:sysClr val="windowText" lastClr="000000"/>
              </a:solidFill>
            </a:rPr>
            <a:t>以下から参照してください</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2</xdr:row>
          <xdr:rowOff>196850</xdr:rowOff>
        </xdr:from>
        <xdr:to>
          <xdr:col>3</xdr:col>
          <xdr:colOff>82550</xdr:colOff>
          <xdr:row>4</xdr:row>
          <xdr:rowOff>12700</xdr:rowOff>
        </xdr:to>
        <xdr:sp macro="" textlink="">
          <xdr:nvSpPr>
            <xdr:cNvPr id="5122" name="Button 2" descr="採番実行"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採番実行</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44823</xdr:colOff>
      <xdr:row>85</xdr:row>
      <xdr:rowOff>92448</xdr:rowOff>
    </xdr:from>
    <xdr:to>
      <xdr:col>8</xdr:col>
      <xdr:colOff>878189</xdr:colOff>
      <xdr:row>86</xdr:row>
      <xdr:rowOff>135929</xdr:rowOff>
    </xdr:to>
    <xdr:pic>
      <xdr:nvPicPr>
        <xdr:cNvPr id="24" name="図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1"/>
        <a:stretch>
          <a:fillRect/>
        </a:stretch>
      </xdr:blipFill>
      <xdr:spPr>
        <a:xfrm>
          <a:off x="2549898" y="19180548"/>
          <a:ext cx="5510141" cy="279066"/>
        </a:xfrm>
        <a:prstGeom prst="rect">
          <a:avLst/>
        </a:prstGeom>
      </xdr:spPr>
    </xdr:pic>
    <xdr:clientData/>
  </xdr:twoCellAnchor>
  <xdr:twoCellAnchor>
    <xdr:from>
      <xdr:col>7</xdr:col>
      <xdr:colOff>2095500</xdr:colOff>
      <xdr:row>85</xdr:row>
      <xdr:rowOff>85725</xdr:rowOff>
    </xdr:from>
    <xdr:to>
      <xdr:col>7</xdr:col>
      <xdr:colOff>2362200</xdr:colOff>
      <xdr:row>86</xdr:row>
      <xdr:rowOff>114300</xdr:rowOff>
    </xdr:to>
    <xdr:sp macro="" textlink="">
      <xdr:nvSpPr>
        <xdr:cNvPr id="25" name="正方形/長方形 24">
          <a:extLst>
            <a:ext uri="{FF2B5EF4-FFF2-40B4-BE49-F238E27FC236}">
              <a16:creationId xmlns:a16="http://schemas.microsoft.com/office/drawing/2014/main" id="{00000000-0008-0000-0300-000019000000}"/>
            </a:ext>
          </a:extLst>
        </xdr:cNvPr>
        <xdr:cNvSpPr/>
      </xdr:nvSpPr>
      <xdr:spPr>
        <a:xfrm>
          <a:off x="5076825" y="19173825"/>
          <a:ext cx="266700" cy="266700"/>
        </a:xfrm>
        <a:prstGeom prst="rect">
          <a:avLst/>
        </a:prstGeom>
        <a:noFill/>
        <a:ln w="254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5</xdr:col>
      <xdr:colOff>44823</xdr:colOff>
      <xdr:row>100</xdr:row>
      <xdr:rowOff>121023</xdr:rowOff>
    </xdr:from>
    <xdr:to>
      <xdr:col>8</xdr:col>
      <xdr:colOff>878189</xdr:colOff>
      <xdr:row>101</xdr:row>
      <xdr:rowOff>160694</xdr:rowOff>
    </xdr:to>
    <xdr:pic>
      <xdr:nvPicPr>
        <xdr:cNvPr id="26" name="図 25">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1"/>
        <a:stretch>
          <a:fillRect/>
        </a:stretch>
      </xdr:blipFill>
      <xdr:spPr>
        <a:xfrm>
          <a:off x="2549898" y="23733498"/>
          <a:ext cx="5510141" cy="279066"/>
        </a:xfrm>
        <a:prstGeom prst="rect">
          <a:avLst/>
        </a:prstGeom>
      </xdr:spPr>
    </xdr:pic>
    <xdr:clientData/>
  </xdr:twoCellAnchor>
  <xdr:twoCellAnchor>
    <xdr:from>
      <xdr:col>7</xdr:col>
      <xdr:colOff>323850</xdr:colOff>
      <xdr:row>100</xdr:row>
      <xdr:rowOff>123825</xdr:rowOff>
    </xdr:from>
    <xdr:to>
      <xdr:col>7</xdr:col>
      <xdr:colOff>590550</xdr:colOff>
      <xdr:row>101</xdr:row>
      <xdr:rowOff>152400</xdr:rowOff>
    </xdr:to>
    <xdr:sp macro="" textlink="">
      <xdr:nvSpPr>
        <xdr:cNvPr id="27" name="正方形/長方形 26">
          <a:extLst>
            <a:ext uri="{FF2B5EF4-FFF2-40B4-BE49-F238E27FC236}">
              <a16:creationId xmlns:a16="http://schemas.microsoft.com/office/drawing/2014/main" id="{00000000-0008-0000-0300-00001B000000}"/>
            </a:ext>
          </a:extLst>
        </xdr:cNvPr>
        <xdr:cNvSpPr/>
      </xdr:nvSpPr>
      <xdr:spPr>
        <a:xfrm>
          <a:off x="3305175" y="23736300"/>
          <a:ext cx="266700" cy="266700"/>
        </a:xfrm>
        <a:prstGeom prst="rect">
          <a:avLst/>
        </a:prstGeom>
        <a:noFill/>
        <a:ln w="254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5</xdr:col>
      <xdr:colOff>47625</xdr:colOff>
      <xdr:row>89</xdr:row>
      <xdr:rowOff>123825</xdr:rowOff>
    </xdr:from>
    <xdr:to>
      <xdr:col>8</xdr:col>
      <xdr:colOff>866906</xdr:colOff>
      <xdr:row>90</xdr:row>
      <xdr:rowOff>135925</xdr:rowOff>
    </xdr:to>
    <xdr:pic>
      <xdr:nvPicPr>
        <xdr:cNvPr id="28" name="図 27">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2"/>
        <a:stretch>
          <a:fillRect/>
        </a:stretch>
      </xdr:blipFill>
      <xdr:spPr>
        <a:xfrm>
          <a:off x="2552700" y="20164425"/>
          <a:ext cx="5487166" cy="247685"/>
        </a:xfrm>
        <a:prstGeom prst="rect">
          <a:avLst/>
        </a:prstGeom>
      </xdr:spPr>
    </xdr:pic>
    <xdr:clientData/>
  </xdr:twoCellAnchor>
  <xdr:twoCellAnchor>
    <xdr:from>
      <xdr:col>7</xdr:col>
      <xdr:colOff>552450</xdr:colOff>
      <xdr:row>89</xdr:row>
      <xdr:rowOff>114300</xdr:rowOff>
    </xdr:from>
    <xdr:to>
      <xdr:col>7</xdr:col>
      <xdr:colOff>819150</xdr:colOff>
      <xdr:row>90</xdr:row>
      <xdr:rowOff>142875</xdr:rowOff>
    </xdr:to>
    <xdr:sp macro="" textlink="">
      <xdr:nvSpPr>
        <xdr:cNvPr id="29" name="正方形/長方形 28">
          <a:extLst>
            <a:ext uri="{FF2B5EF4-FFF2-40B4-BE49-F238E27FC236}">
              <a16:creationId xmlns:a16="http://schemas.microsoft.com/office/drawing/2014/main" id="{00000000-0008-0000-0300-00001D000000}"/>
            </a:ext>
          </a:extLst>
        </xdr:cNvPr>
        <xdr:cNvSpPr/>
      </xdr:nvSpPr>
      <xdr:spPr>
        <a:xfrm>
          <a:off x="3533775" y="20154900"/>
          <a:ext cx="266700" cy="266700"/>
        </a:xfrm>
        <a:prstGeom prst="rect">
          <a:avLst/>
        </a:prstGeom>
        <a:noFill/>
        <a:ln w="254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5</xdr:col>
      <xdr:colOff>44823</xdr:colOff>
      <xdr:row>96</xdr:row>
      <xdr:rowOff>92448</xdr:rowOff>
    </xdr:from>
    <xdr:ext cx="5510141" cy="279066"/>
    <xdr:pic>
      <xdr:nvPicPr>
        <xdr:cNvPr id="30" name="図 29">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1"/>
        <a:stretch>
          <a:fillRect/>
        </a:stretch>
      </xdr:blipFill>
      <xdr:spPr>
        <a:xfrm>
          <a:off x="2549898" y="19180548"/>
          <a:ext cx="5510141" cy="279066"/>
        </a:xfrm>
        <a:prstGeom prst="rect">
          <a:avLst/>
        </a:prstGeom>
      </xdr:spPr>
    </xdr:pic>
    <xdr:clientData/>
  </xdr:oneCellAnchor>
  <xdr:twoCellAnchor>
    <xdr:from>
      <xdr:col>7</xdr:col>
      <xdr:colOff>2095500</xdr:colOff>
      <xdr:row>96</xdr:row>
      <xdr:rowOff>85725</xdr:rowOff>
    </xdr:from>
    <xdr:to>
      <xdr:col>7</xdr:col>
      <xdr:colOff>2362200</xdr:colOff>
      <xdr:row>97</xdr:row>
      <xdr:rowOff>114300</xdr:rowOff>
    </xdr:to>
    <xdr:sp macro="" textlink="">
      <xdr:nvSpPr>
        <xdr:cNvPr id="31" name="正方形/長方形 30">
          <a:extLst>
            <a:ext uri="{FF2B5EF4-FFF2-40B4-BE49-F238E27FC236}">
              <a16:creationId xmlns:a16="http://schemas.microsoft.com/office/drawing/2014/main" id="{00000000-0008-0000-0300-00001F000000}"/>
            </a:ext>
          </a:extLst>
        </xdr:cNvPr>
        <xdr:cNvSpPr/>
      </xdr:nvSpPr>
      <xdr:spPr>
        <a:xfrm>
          <a:off x="5076825" y="19173825"/>
          <a:ext cx="266700" cy="266700"/>
        </a:xfrm>
        <a:prstGeom prst="rect">
          <a:avLst/>
        </a:prstGeom>
        <a:noFill/>
        <a:ln w="254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95250</xdr:colOff>
      <xdr:row>0</xdr:row>
      <xdr:rowOff>85725</xdr:rowOff>
    </xdr:from>
    <xdr:to>
      <xdr:col>25</xdr:col>
      <xdr:colOff>104854</xdr:colOff>
      <xdr:row>43</xdr:row>
      <xdr:rowOff>126067</xdr:rowOff>
    </xdr:to>
    <xdr:sp macro="" textlink="">
      <xdr:nvSpPr>
        <xdr:cNvPr id="2" name="吹き出し: 線 (枠付き、強調線付き) 1">
          <a:extLst>
            <a:ext uri="{FF2B5EF4-FFF2-40B4-BE49-F238E27FC236}">
              <a16:creationId xmlns:a16="http://schemas.microsoft.com/office/drawing/2014/main" id="{00000000-0008-0000-0300-000002000000}"/>
            </a:ext>
          </a:extLst>
        </xdr:cNvPr>
        <xdr:cNvSpPr/>
      </xdr:nvSpPr>
      <xdr:spPr>
        <a:xfrm>
          <a:off x="18164175" y="85725"/>
          <a:ext cx="6867604" cy="10079692"/>
        </a:xfrm>
        <a:prstGeom prst="accentBorderCallout1">
          <a:avLst>
            <a:gd name="adj1" fmla="val 22025"/>
            <a:gd name="adj2" fmla="val -228"/>
            <a:gd name="adj3" fmla="val 45910"/>
            <a:gd name="adj4" fmla="val -51"/>
          </a:avLst>
        </a:prstGeom>
        <a:solidFill>
          <a:schemeClr val="accent4">
            <a:lumMod val="20000"/>
            <a:lumOff val="80000"/>
          </a:schemeClr>
        </a:solidFill>
        <a:ln w="19050">
          <a:solidFill>
            <a:schemeClr val="tx1"/>
          </a:solidFill>
          <a:prstDash val="solid"/>
        </a:ln>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wrap="square" rtlCol="0" anchor="t"/>
        <a:lstStyle/>
        <a:p>
          <a:pPr algn="l"/>
          <a:r>
            <a:rPr kumimoji="1" lang="ja-JP" altLang="en-US" sz="1400" b="1" u="sng">
              <a:solidFill>
                <a:sysClr val="windowText" lastClr="000000"/>
              </a:solidFill>
              <a:latin typeface="Meiryo UI" panose="020B0604030504040204" pitchFamily="50" charset="-128"/>
              <a:ea typeface="Meiryo UI" panose="020B0604030504040204" pitchFamily="50" charset="-128"/>
            </a:rPr>
            <a:t>標準化フォーマットルール</a:t>
          </a:r>
          <a:r>
            <a:rPr kumimoji="1" lang="en-US" altLang="ja-JP" sz="1400" b="1" u="sng">
              <a:solidFill>
                <a:sysClr val="windowText" lastClr="000000"/>
              </a:solidFill>
              <a:latin typeface="Meiryo UI" panose="020B0604030504040204" pitchFamily="50" charset="-128"/>
              <a:ea typeface="Meiryo UI" panose="020B0604030504040204" pitchFamily="50" charset="-128"/>
            </a:rPr>
            <a:t>(</a:t>
          </a:r>
          <a:r>
            <a:rPr kumimoji="1" lang="ja-JP" altLang="en-US" sz="1400" b="1" u="sng">
              <a:solidFill>
                <a:sysClr val="windowText" lastClr="000000"/>
              </a:solidFill>
              <a:latin typeface="Meiryo UI" panose="020B0604030504040204" pitchFamily="50" charset="-128"/>
              <a:ea typeface="Meiryo UI" panose="020B0604030504040204" pitchFamily="50" charset="-128"/>
            </a:rPr>
            <a:t>手順書シート固有</a:t>
          </a:r>
          <a:r>
            <a:rPr kumimoji="1" lang="en-US" altLang="ja-JP" sz="1400" b="1" u="sng">
              <a:solidFill>
                <a:sysClr val="windowText" lastClr="000000"/>
              </a:solidFill>
              <a:latin typeface="Meiryo UI" panose="020B0604030504040204" pitchFamily="50" charset="-128"/>
              <a:ea typeface="Meiryo UI" panose="020B0604030504040204" pitchFamily="50" charset="-128"/>
            </a:rPr>
            <a:t>)</a:t>
          </a:r>
        </a:p>
        <a:p>
          <a:pPr algn="l"/>
          <a:r>
            <a:rPr kumimoji="1" lang="ja-JP" altLang="en-US" sz="1200" b="0" u="sng">
              <a:solidFill>
                <a:sysClr val="windowText" lastClr="000000"/>
              </a:solidFill>
              <a:latin typeface="Meiryo UI" panose="020B0604030504040204" pitchFamily="50" charset="-128"/>
              <a:ea typeface="Meiryo UI" panose="020B0604030504040204" pitchFamily="50" charset="-128"/>
            </a:rPr>
            <a:t>①項番の付与ポリシー</a:t>
          </a:r>
          <a:endParaRPr kumimoji="1" lang="en-US" altLang="ja-JP" sz="1200" b="0" u="sng">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A~C</a:t>
          </a:r>
          <a:r>
            <a:rPr kumimoji="1" lang="ja-JP" altLang="en-US" sz="1000" b="0" u="none">
              <a:solidFill>
                <a:sysClr val="windowText" lastClr="000000"/>
              </a:solidFill>
              <a:latin typeface="Meiryo UI" panose="020B0604030504040204" pitchFamily="50" charset="-128"/>
              <a:ea typeface="Meiryo UI" panose="020B0604030504040204" pitchFamily="50" charset="-128"/>
            </a:rPr>
            <a:t>列に項番を設定する。項番は「作業</a:t>
          </a:r>
          <a:r>
            <a:rPr kumimoji="1" lang="en-US" altLang="ja-JP" sz="1000" b="0" u="none">
              <a:solidFill>
                <a:sysClr val="windowText" lastClr="000000"/>
              </a:solidFill>
              <a:latin typeface="Meiryo UI" panose="020B0604030504040204" pitchFamily="50" charset="-128"/>
              <a:ea typeface="Meiryo UI" panose="020B0604030504040204" pitchFamily="50" charset="-128"/>
            </a:rPr>
            <a:t>or</a:t>
          </a:r>
          <a:r>
            <a:rPr kumimoji="1" lang="ja-JP" altLang="en-US" sz="1000" b="0" u="none">
              <a:solidFill>
                <a:sysClr val="windowText" lastClr="000000"/>
              </a:solidFill>
              <a:latin typeface="Meiryo UI" panose="020B0604030504040204" pitchFamily="50" charset="-128"/>
              <a:ea typeface="Meiryo UI" panose="020B0604030504040204" pitchFamily="50" charset="-128"/>
            </a:rPr>
            <a:t>コマンド」単位に付与し、重複のないよう設定すること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問題が生じたとき等に具体的にどの手順のどの箇所のコマンドかを容易に特定するため</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200" b="0" u="sng">
              <a:solidFill>
                <a:sysClr val="windowText" lastClr="000000"/>
              </a:solidFill>
              <a:latin typeface="Meiryo UI" panose="020B0604030504040204" pitchFamily="50" charset="-128"/>
              <a:ea typeface="Meiryo UI" panose="020B0604030504040204" pitchFamily="50" charset="-128"/>
            </a:rPr>
            <a:t>②技術資料情報の記載ポリシー</a:t>
          </a:r>
          <a:endParaRPr kumimoji="1" lang="en-US" altLang="ja-JP" sz="1200" b="0" u="sng">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D</a:t>
          </a:r>
          <a:r>
            <a:rPr kumimoji="1" lang="ja-JP" altLang="en-US" sz="1000" b="0" u="none">
              <a:solidFill>
                <a:sysClr val="windowText" lastClr="000000"/>
              </a:solidFill>
              <a:latin typeface="Meiryo UI" panose="020B0604030504040204" pitchFamily="50" charset="-128"/>
              <a:ea typeface="Meiryo UI" panose="020B0604030504040204" pitchFamily="50" charset="-128"/>
            </a:rPr>
            <a:t>列に引用元技術資料情報を設定する。</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技術資料情報の記載は、万が一作業</a:t>
          </a:r>
          <a:r>
            <a:rPr kumimoji="1" lang="en-US" altLang="ja-JP" sz="1000" b="0" u="none">
              <a:solidFill>
                <a:sysClr val="windowText" lastClr="000000"/>
              </a:solidFill>
              <a:latin typeface="Meiryo UI" panose="020B0604030504040204" pitchFamily="50" charset="-128"/>
              <a:ea typeface="Meiryo UI" panose="020B0604030504040204" pitchFamily="50" charset="-128"/>
            </a:rPr>
            <a:t>CS</a:t>
          </a:r>
          <a:r>
            <a:rPr kumimoji="1" lang="ja-JP" altLang="en-US" sz="1000" b="0" u="none">
              <a:solidFill>
                <a:sysClr val="windowText" lastClr="000000"/>
              </a:solidFill>
              <a:latin typeface="Meiryo UI" panose="020B0604030504040204" pitchFamily="50" charset="-128"/>
              <a:ea typeface="Meiryo UI" panose="020B0604030504040204" pitchFamily="50" charset="-128"/>
            </a:rPr>
            <a:t>に不備や記載漏れがあった際に、</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容易に原典となる技術資料項番を参照できるようにする目的で記載する。</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そのため最低でも技術資料における見出し項番単位には付与することを推奨する。</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200" b="0" u="sng">
              <a:solidFill>
                <a:sysClr val="windowText" lastClr="000000"/>
              </a:solidFill>
              <a:latin typeface="Meiryo UI" panose="020B0604030504040204" pitchFamily="50" charset="-128"/>
              <a:ea typeface="Meiryo UI" panose="020B0604030504040204" pitchFamily="50" charset="-128"/>
            </a:rPr>
            <a:t>③作業内容の記載ポリシー</a:t>
          </a:r>
          <a:endParaRPr kumimoji="1" lang="en-US" altLang="ja-JP" sz="1200" b="0" u="sng">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E</a:t>
          </a:r>
          <a:r>
            <a:rPr kumimoji="1" lang="ja-JP" altLang="en-US" sz="1000" b="0" u="none">
              <a:solidFill>
                <a:sysClr val="windowText" lastClr="000000"/>
              </a:solidFill>
              <a:latin typeface="Meiryo UI" panose="020B0604030504040204" pitchFamily="50" charset="-128"/>
              <a:ea typeface="Meiryo UI" panose="020B0604030504040204" pitchFamily="50" charset="-128"/>
            </a:rPr>
            <a:t>列に作業内容を太字で記載する。</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F~H</a:t>
          </a:r>
          <a:r>
            <a:rPr kumimoji="1" lang="ja-JP" altLang="en-US" sz="1000" b="0" u="none">
              <a:solidFill>
                <a:sysClr val="windowText" lastClr="000000"/>
              </a:solidFill>
              <a:latin typeface="Meiryo UI" panose="020B0604030504040204" pitchFamily="50" charset="-128"/>
              <a:ea typeface="Meiryo UI" panose="020B0604030504040204" pitchFamily="50" charset="-128"/>
            </a:rPr>
            <a:t>列は可読性向上の為、インデントを設ける際に使用する。</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200" b="0" u="sng">
              <a:solidFill>
                <a:sysClr val="windowText" lastClr="000000"/>
              </a:solidFill>
              <a:latin typeface="Meiryo UI" panose="020B0604030504040204" pitchFamily="50" charset="-128"/>
              <a:ea typeface="Meiryo UI" panose="020B0604030504040204" pitchFamily="50" charset="-128"/>
            </a:rPr>
            <a:t>④確認事項、項目の記載ポリシー</a:t>
          </a:r>
          <a:endParaRPr kumimoji="1" lang="en-US" altLang="ja-JP" sz="1200" b="0" u="sng">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I</a:t>
          </a:r>
          <a:r>
            <a:rPr kumimoji="1" lang="ja-JP" altLang="en-US" sz="1000" b="0" u="none">
              <a:solidFill>
                <a:sysClr val="windowText" lastClr="000000"/>
              </a:solidFill>
              <a:latin typeface="Meiryo UI" panose="020B0604030504040204" pitchFamily="50" charset="-128"/>
              <a:ea typeface="Meiryo UI" panose="020B0604030504040204" pitchFamily="50" charset="-128"/>
            </a:rPr>
            <a:t>列に確認事項は左寄せ、項目は右寄せで記載する。</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200" b="0" u="sng">
              <a:solidFill>
                <a:sysClr val="windowText" lastClr="000000"/>
              </a:solidFill>
              <a:latin typeface="Meiryo UI" panose="020B0604030504040204" pitchFamily="50" charset="-128"/>
              <a:ea typeface="Meiryo UI" panose="020B0604030504040204" pitchFamily="50" charset="-128"/>
            </a:rPr>
            <a:t>⑤チェックボックス</a:t>
          </a:r>
          <a:r>
            <a:rPr kumimoji="1" lang="en-US" altLang="ja-JP" sz="1200" b="0" u="sng">
              <a:solidFill>
                <a:sysClr val="windowText" lastClr="000000"/>
              </a:solidFill>
              <a:latin typeface="Meiryo UI" panose="020B0604030504040204" pitchFamily="50" charset="-128"/>
              <a:ea typeface="Meiryo UI" panose="020B0604030504040204" pitchFamily="50" charset="-128"/>
            </a:rPr>
            <a:t>(</a:t>
          </a:r>
          <a:r>
            <a:rPr kumimoji="1" lang="ja-JP" altLang="en-US" sz="1200" b="0" u="sng">
              <a:solidFill>
                <a:sysClr val="windowText" lastClr="000000"/>
              </a:solidFill>
              <a:latin typeface="Meiryo UI" panose="020B0604030504040204" pitchFamily="50" charset="-128"/>
              <a:ea typeface="Meiryo UI" panose="020B0604030504040204" pitchFamily="50" charset="-128"/>
            </a:rPr>
            <a:t>時刻</a:t>
          </a:r>
          <a:r>
            <a:rPr kumimoji="1" lang="en-US" altLang="ja-JP" sz="1200" b="0" u="sng">
              <a:solidFill>
                <a:sysClr val="windowText" lastClr="000000"/>
              </a:solidFill>
              <a:latin typeface="Meiryo UI" panose="020B0604030504040204" pitchFamily="50" charset="-128"/>
              <a:ea typeface="Meiryo UI" panose="020B0604030504040204" pitchFamily="50" charset="-128"/>
            </a:rPr>
            <a:t>)</a:t>
          </a:r>
          <a:r>
            <a:rPr kumimoji="1" lang="ja-JP" altLang="en-US" sz="1200" b="0" u="sng">
              <a:solidFill>
                <a:sysClr val="windowText" lastClr="000000"/>
              </a:solidFill>
              <a:latin typeface="Meiryo UI" panose="020B0604030504040204" pitchFamily="50" charset="-128"/>
              <a:ea typeface="Meiryo UI" panose="020B0604030504040204" pitchFamily="50" charset="-128"/>
            </a:rPr>
            <a:t>の付与ポリシー</a:t>
          </a:r>
          <a:endParaRPr kumimoji="1" lang="en-US" altLang="ja-JP" sz="1200" b="0" u="sng">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J</a:t>
          </a:r>
          <a:r>
            <a:rPr kumimoji="1" lang="ja-JP" altLang="en-US" sz="1000" b="0" u="none">
              <a:solidFill>
                <a:sysClr val="windowText" lastClr="000000"/>
              </a:solidFill>
              <a:latin typeface="Meiryo UI" panose="020B0604030504040204" pitchFamily="50" charset="-128"/>
              <a:ea typeface="Meiryo UI" panose="020B0604030504040204" pitchFamily="50" charset="-128"/>
            </a:rPr>
            <a:t>列に作業進捗管理のためのチェックボックスを設定する。</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作成の際は実作業や確認伴う行にのみチェックボックスを設定すること。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また使用時は進捗状況の確認のためチェックボックスを実施時刻に置き換えて記録していくこと。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200" b="0" u="sng">
              <a:solidFill>
                <a:sysClr val="windowText" lastClr="000000"/>
              </a:solidFill>
              <a:latin typeface="Meiryo UI" panose="020B0604030504040204" pitchFamily="50" charset="-128"/>
              <a:ea typeface="Meiryo UI" panose="020B0604030504040204" pitchFamily="50" charset="-128"/>
            </a:rPr>
            <a:t>⑥プロンプト情報の記載ポリシー</a:t>
          </a:r>
          <a:endParaRPr kumimoji="1" lang="en-US" altLang="ja-JP" sz="1200" b="0" u="sng">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K</a:t>
          </a:r>
          <a:r>
            <a:rPr kumimoji="1" lang="ja-JP" altLang="en-US" sz="1000" b="0" u="none">
              <a:solidFill>
                <a:sysClr val="windowText" lastClr="000000"/>
              </a:solidFill>
              <a:latin typeface="Meiryo UI" panose="020B0604030504040204" pitchFamily="50" charset="-128"/>
              <a:ea typeface="Meiryo UI" panose="020B0604030504040204" pitchFamily="50" charset="-128"/>
            </a:rPr>
            <a:t>列にプロンプト情報を設定する。</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標準的なプロンプトはプルダウンから選択可能ですので活用ください。</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直接入力も可能</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標準的なプロンプトは「プロンプト」シートに用途と合わせてまとめていますので参照ください。</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200" b="0" u="sng">
              <a:solidFill>
                <a:sysClr val="windowText" lastClr="000000"/>
              </a:solidFill>
              <a:latin typeface="Meiryo UI" panose="020B0604030504040204" pitchFamily="50" charset="-128"/>
              <a:ea typeface="Meiryo UI" panose="020B0604030504040204" pitchFamily="50" charset="-128"/>
            </a:rPr>
            <a:t>⑦コマンドの記載ポリシー</a:t>
          </a:r>
          <a:endParaRPr kumimoji="1" lang="en-US" altLang="ja-JP" sz="1200" b="0" u="sng">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L</a:t>
          </a:r>
          <a:r>
            <a:rPr kumimoji="1" lang="ja-JP" altLang="en-US" sz="1000" b="0" u="none">
              <a:solidFill>
                <a:sysClr val="windowText" lastClr="000000"/>
              </a:solidFill>
              <a:latin typeface="Meiryo UI" panose="020B0604030504040204" pitchFamily="50" charset="-128"/>
              <a:ea typeface="Meiryo UI" panose="020B0604030504040204" pitchFamily="50" charset="-128"/>
            </a:rPr>
            <a:t>列にコマンドや確認すべき文字列等を設定する。</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記載の際は実作業時のことを想定し、コピペで実施可能となるよう余分な情報は書かないようにしてください。</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200" b="0" u="sng">
              <a:solidFill>
                <a:sysClr val="windowText" lastClr="000000"/>
              </a:solidFill>
              <a:latin typeface="Meiryo UI" panose="020B0604030504040204" pitchFamily="50" charset="-128"/>
              <a:ea typeface="Meiryo UI" panose="020B0604030504040204" pitchFamily="50" charset="-128"/>
            </a:rPr>
            <a:t>⑧装置情報の記載ポリシー</a:t>
          </a:r>
          <a:endParaRPr kumimoji="1" lang="en-US" altLang="ja-JP" sz="1200" b="0" u="sng">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a:t>
          </a:r>
          <a:r>
            <a:rPr kumimoji="1" lang="en-US" altLang="ja-JP" sz="1000" b="0" u="none">
              <a:solidFill>
                <a:sysClr val="windowText" lastClr="000000"/>
              </a:solidFill>
              <a:latin typeface="Meiryo UI" panose="020B0604030504040204" pitchFamily="50" charset="-128"/>
              <a:ea typeface="Meiryo UI" panose="020B0604030504040204" pitchFamily="50" charset="-128"/>
            </a:rPr>
            <a:t>J5</a:t>
          </a:r>
          <a:r>
            <a:rPr kumimoji="1" lang="ja-JP" altLang="en-US" sz="1000" b="0" u="none">
              <a:solidFill>
                <a:sysClr val="windowText" lastClr="000000"/>
              </a:solidFill>
              <a:latin typeface="Meiryo UI" panose="020B0604030504040204" pitchFamily="50" charset="-128"/>
              <a:ea typeface="Meiryo UI" panose="020B0604030504040204" pitchFamily="50" charset="-128"/>
            </a:rPr>
            <a:t>セルに作業対象装置</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ログイン対象装置、操作対象装置</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を記載する。</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・別装置を踏み台に多段接続となる場合は下詰めでセルを使用し、上から接続順に記載する。</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・複数の装置で並列して作業を行う際は</a:t>
          </a:r>
          <a:r>
            <a:rPr kumimoji="1" lang="en-US" altLang="ja-JP" sz="1000" b="0" u="none">
              <a:solidFill>
                <a:sysClr val="windowText" lastClr="000000"/>
              </a:solidFill>
              <a:latin typeface="Meiryo UI" panose="020B0604030504040204" pitchFamily="50" charset="-128"/>
              <a:ea typeface="Meiryo UI" panose="020B0604030504040204" pitchFamily="50" charset="-128"/>
            </a:rPr>
            <a:t>J~L</a:t>
          </a:r>
          <a:r>
            <a:rPr kumimoji="1" lang="ja-JP" altLang="en-US" sz="1000" b="0" u="none">
              <a:solidFill>
                <a:sysClr val="windowText" lastClr="000000"/>
              </a:solidFill>
              <a:latin typeface="Meiryo UI" panose="020B0604030504040204" pitchFamily="50" charset="-128"/>
              <a:ea typeface="Meiryo UI" panose="020B0604030504040204" pitchFamily="50" charset="-128"/>
            </a:rPr>
            <a:t>列をコピーし、並列数分だけ</a:t>
          </a:r>
          <a:r>
            <a:rPr kumimoji="1" lang="en-US" altLang="ja-JP" sz="1000" b="0" u="none">
              <a:solidFill>
                <a:sysClr val="windowText" lastClr="000000"/>
              </a:solidFill>
              <a:latin typeface="Meiryo UI" panose="020B0604030504040204" pitchFamily="50" charset="-128"/>
              <a:ea typeface="Meiryo UI" panose="020B0604030504040204" pitchFamily="50" charset="-128"/>
            </a:rPr>
            <a:t>M</a:t>
          </a:r>
          <a:r>
            <a:rPr kumimoji="1" lang="ja-JP" altLang="en-US" sz="1000" b="0" u="none">
              <a:solidFill>
                <a:sysClr val="windowText" lastClr="000000"/>
              </a:solidFill>
              <a:latin typeface="Meiryo UI" panose="020B0604030504040204" pitchFamily="50" charset="-128"/>
              <a:ea typeface="Meiryo UI" panose="020B0604030504040204" pitchFamily="50" charset="-128"/>
            </a:rPr>
            <a:t>列以降に貼り付けて使用する。</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200" b="0" u="sng">
              <a:solidFill>
                <a:sysClr val="windowText" lastClr="000000"/>
              </a:solidFill>
              <a:latin typeface="Meiryo UI" panose="020B0604030504040204" pitchFamily="50" charset="-128"/>
              <a:ea typeface="Meiryo UI" panose="020B0604030504040204" pitchFamily="50" charset="-128"/>
            </a:rPr>
            <a:t>⑨条件分岐工程の記載ポリシー</a:t>
          </a:r>
          <a:endParaRPr kumimoji="1" lang="en-US" altLang="ja-JP" sz="1200" b="0" u="sng">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条件分岐</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場合によっては実施する</a:t>
          </a:r>
          <a:r>
            <a:rPr kumimoji="1" lang="en-US" altLang="ja-JP" sz="1000" b="0" u="none">
              <a:solidFill>
                <a:sysClr val="windowText" lastClr="000000"/>
              </a:solidFill>
              <a:latin typeface="Meiryo UI" panose="020B0604030504040204" pitchFamily="50" charset="-128"/>
              <a:ea typeface="Meiryo UI" panose="020B0604030504040204" pitchFamily="50" charset="-128"/>
            </a:rPr>
            <a:t>)</a:t>
          </a:r>
          <a:r>
            <a:rPr kumimoji="1" lang="ja-JP" altLang="en-US" sz="1000" b="0" u="none">
              <a:solidFill>
                <a:sysClr val="windowText" lastClr="000000"/>
              </a:solidFill>
              <a:latin typeface="Meiryo UI" panose="020B0604030504040204" pitchFamily="50" charset="-128"/>
              <a:ea typeface="Meiryo UI" panose="020B0604030504040204" pitchFamily="50" charset="-128"/>
            </a:rPr>
            <a:t>工程は以下に示す通り、当該工程を囲って表現すること。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また始点には実施条件を記載すること。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200" b="0" u="sng">
              <a:solidFill>
                <a:sysClr val="windowText" lastClr="000000"/>
              </a:solidFill>
              <a:latin typeface="Meiryo UI" panose="020B0604030504040204" pitchFamily="50" charset="-128"/>
              <a:ea typeface="Meiryo UI" panose="020B0604030504040204" pitchFamily="50" charset="-128"/>
            </a:rPr>
            <a:t>⑩繰返し工程の記載ポリシー</a:t>
          </a:r>
          <a:endParaRPr kumimoji="1" lang="en-US" altLang="ja-JP" sz="1200" b="0" u="sng">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繰り返し工程は可読性を上げる目的で以下の通り、当該工程を囲って表現することを推奨する。</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b="0" u="none">
              <a:solidFill>
                <a:sysClr val="windowText" lastClr="000000"/>
              </a:solidFill>
              <a:latin typeface="Meiryo UI" panose="020B0604030504040204" pitchFamily="50" charset="-128"/>
              <a:ea typeface="Meiryo UI" panose="020B0604030504040204" pitchFamily="50" charset="-128"/>
            </a:rPr>
            <a:t>　また始点には繰返し単位を記載すること。</a:t>
          </a:r>
          <a:endParaRPr kumimoji="1" lang="en-US" altLang="ja-JP" sz="1000" b="0" u="none">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xdr:from>
      <xdr:col>18</xdr:col>
      <xdr:colOff>556034</xdr:colOff>
      <xdr:row>30</xdr:row>
      <xdr:rowOff>204107</xdr:rowOff>
    </xdr:from>
    <xdr:to>
      <xdr:col>21</xdr:col>
      <xdr:colOff>209828</xdr:colOff>
      <xdr:row>31</xdr:row>
      <xdr:rowOff>154167</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20682359" y="7147832"/>
          <a:ext cx="1711194" cy="188185"/>
        </a:xfrm>
        <a:prstGeom prst="rect">
          <a:avLst/>
        </a:prstGeom>
        <a:solidFill>
          <a:schemeClr val="accent5">
            <a:lumMod val="20000"/>
            <a:lumOff val="8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0" rIns="0" bIns="0" rtlCol="0" anchor="ctr"/>
        <a:lstStyle/>
        <a:p>
          <a:pPr algn="l"/>
          <a:r>
            <a:rPr kumimoji="1" lang="ja-JP" altLang="en-US" sz="800">
              <a:solidFill>
                <a:sysClr val="windowText" lastClr="000000"/>
              </a:solidFill>
            </a:rPr>
            <a:t>状態が●●の場合実施　</a:t>
          </a:r>
          <a:r>
            <a:rPr kumimoji="1" lang="en-US" altLang="ja-JP" sz="800">
              <a:solidFill>
                <a:sysClr val="windowText" lastClr="000000"/>
              </a:solidFill>
            </a:rPr>
            <a:t>(</a:t>
          </a:r>
          <a:r>
            <a:rPr kumimoji="1" lang="ja-JP" altLang="en-US" sz="800">
              <a:solidFill>
                <a:sysClr val="windowText" lastClr="000000"/>
              </a:solidFill>
            </a:rPr>
            <a:t>始点</a:t>
          </a:r>
          <a:r>
            <a:rPr kumimoji="1" lang="en-US" altLang="ja-JP" sz="800">
              <a:solidFill>
                <a:sysClr val="windowText" lastClr="000000"/>
              </a:solidFill>
            </a:rPr>
            <a:t>)</a:t>
          </a:r>
          <a:endParaRPr kumimoji="1" lang="ja-JP" altLang="en-US" sz="800">
            <a:solidFill>
              <a:sysClr val="windowText" lastClr="000000"/>
            </a:solidFill>
          </a:endParaRPr>
        </a:p>
      </xdr:txBody>
    </xdr:sp>
    <xdr:clientData/>
  </xdr:twoCellAnchor>
  <xdr:twoCellAnchor>
    <xdr:from>
      <xdr:col>18</xdr:col>
      <xdr:colOff>556034</xdr:colOff>
      <xdr:row>32</xdr:row>
      <xdr:rowOff>52391</xdr:rowOff>
    </xdr:from>
    <xdr:to>
      <xdr:col>21</xdr:col>
      <xdr:colOff>209828</xdr:colOff>
      <xdr:row>32</xdr:row>
      <xdr:rowOff>233444</xdr:rowOff>
    </xdr:to>
    <xdr:sp macro="" textlink="">
      <xdr:nvSpPr>
        <xdr:cNvPr id="4" name="正方形/長方形 3">
          <a:extLst>
            <a:ext uri="{FF2B5EF4-FFF2-40B4-BE49-F238E27FC236}">
              <a16:creationId xmlns:a16="http://schemas.microsoft.com/office/drawing/2014/main" id="{00000000-0008-0000-0300-000004000000}"/>
            </a:ext>
          </a:extLst>
        </xdr:cNvPr>
        <xdr:cNvSpPr/>
      </xdr:nvSpPr>
      <xdr:spPr>
        <a:xfrm>
          <a:off x="20682359" y="7472366"/>
          <a:ext cx="1711194" cy="181053"/>
        </a:xfrm>
        <a:prstGeom prst="rect">
          <a:avLst/>
        </a:prstGeom>
        <a:solidFill>
          <a:schemeClr val="accent5">
            <a:lumMod val="20000"/>
            <a:lumOff val="8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0" rIns="0" bIns="0" rtlCol="0" anchor="ctr"/>
        <a:lstStyle/>
        <a:p>
          <a:pPr algn="l"/>
          <a:r>
            <a:rPr kumimoji="1" lang="en-US" altLang="ja-JP" sz="800">
              <a:solidFill>
                <a:sysClr val="windowText" lastClr="000000"/>
              </a:solidFill>
            </a:rPr>
            <a:t>(</a:t>
          </a:r>
          <a:r>
            <a:rPr kumimoji="1" lang="ja-JP" altLang="en-US" sz="800">
              <a:solidFill>
                <a:sysClr val="windowText" lastClr="000000"/>
              </a:solidFill>
            </a:rPr>
            <a:t>終点</a:t>
          </a:r>
          <a:r>
            <a:rPr kumimoji="1" lang="en-US" altLang="ja-JP" sz="800">
              <a:solidFill>
                <a:sysClr val="windowText" lastClr="000000"/>
              </a:solidFill>
            </a:rPr>
            <a:t>)</a:t>
          </a:r>
          <a:endParaRPr kumimoji="1" lang="ja-JP" altLang="en-US" sz="800">
            <a:solidFill>
              <a:sysClr val="windowText" lastClr="000000"/>
            </a:solidFill>
          </a:endParaRPr>
        </a:p>
      </xdr:txBody>
    </xdr:sp>
    <xdr:clientData/>
  </xdr:twoCellAnchor>
  <xdr:twoCellAnchor>
    <xdr:from>
      <xdr:col>18</xdr:col>
      <xdr:colOff>556035</xdr:colOff>
      <xdr:row>31</xdr:row>
      <xdr:rowOff>123128</xdr:rowOff>
    </xdr:from>
    <xdr:to>
      <xdr:col>19</xdr:col>
      <xdr:colOff>36720</xdr:colOff>
      <xdr:row>32</xdr:row>
      <xdr:rowOff>64431</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20682360" y="7304978"/>
          <a:ext cx="166485" cy="179428"/>
        </a:xfrm>
        <a:prstGeom prst="rect">
          <a:avLst/>
        </a:prstGeom>
        <a:solidFill>
          <a:schemeClr val="accent5">
            <a:lumMod val="20000"/>
            <a:lumOff val="8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endParaRPr kumimoji="1" lang="ja-JP" altLang="en-US" sz="800">
            <a:solidFill>
              <a:sysClr val="windowText" lastClr="000000"/>
            </a:solidFill>
          </a:endParaRPr>
        </a:p>
      </xdr:txBody>
    </xdr:sp>
    <xdr:clientData/>
  </xdr:twoCellAnchor>
  <xdr:twoCellAnchor>
    <xdr:from>
      <xdr:col>18</xdr:col>
      <xdr:colOff>533286</xdr:colOff>
      <xdr:row>36</xdr:row>
      <xdr:rowOff>26689</xdr:rowOff>
    </xdr:from>
    <xdr:to>
      <xdr:col>21</xdr:col>
      <xdr:colOff>187080</xdr:colOff>
      <xdr:row>36</xdr:row>
      <xdr:rowOff>207742</xdr:rowOff>
    </xdr:to>
    <xdr:sp macro="" textlink="">
      <xdr:nvSpPr>
        <xdr:cNvPr id="6" name="正方形/長方形 5">
          <a:extLst>
            <a:ext uri="{FF2B5EF4-FFF2-40B4-BE49-F238E27FC236}">
              <a16:creationId xmlns:a16="http://schemas.microsoft.com/office/drawing/2014/main" id="{00000000-0008-0000-0300-000006000000}"/>
            </a:ext>
          </a:extLst>
        </xdr:cNvPr>
        <xdr:cNvSpPr/>
      </xdr:nvSpPr>
      <xdr:spPr>
        <a:xfrm>
          <a:off x="20659611" y="8399164"/>
          <a:ext cx="1711194" cy="181053"/>
        </a:xfrm>
        <a:prstGeom prst="rect">
          <a:avLst/>
        </a:prstGeom>
        <a:solidFill>
          <a:schemeClr val="accent2">
            <a:lumMod val="20000"/>
            <a:lumOff val="8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0" rIns="0" bIns="0" rtlCol="0" anchor="ctr"/>
        <a:lstStyle/>
        <a:p>
          <a:pPr algn="l"/>
          <a:r>
            <a:rPr kumimoji="1" lang="ja-JP" altLang="en-US" sz="800">
              <a:solidFill>
                <a:sysClr val="windowText" lastClr="000000"/>
              </a:solidFill>
            </a:rPr>
            <a:t>繰返し①　</a:t>
          </a:r>
          <a:r>
            <a:rPr kumimoji="1" lang="en-US" altLang="ja-JP" sz="800">
              <a:solidFill>
                <a:sysClr val="windowText" lastClr="000000"/>
              </a:solidFill>
            </a:rPr>
            <a:t>(</a:t>
          </a:r>
          <a:r>
            <a:rPr kumimoji="1" lang="ja-JP" altLang="en-US" sz="800">
              <a:solidFill>
                <a:sysClr val="windowText" lastClr="000000"/>
              </a:solidFill>
            </a:rPr>
            <a:t>始点</a:t>
          </a:r>
          <a:r>
            <a:rPr kumimoji="1" lang="en-US" altLang="ja-JP" sz="800">
              <a:solidFill>
                <a:sysClr val="windowText" lastClr="000000"/>
              </a:solidFill>
            </a:rPr>
            <a:t>)</a:t>
          </a:r>
          <a:endParaRPr kumimoji="1" lang="ja-JP" altLang="en-US" sz="800">
            <a:solidFill>
              <a:sysClr val="windowText" lastClr="000000"/>
            </a:solidFill>
          </a:endParaRPr>
        </a:p>
      </xdr:txBody>
    </xdr:sp>
    <xdr:clientData/>
  </xdr:twoCellAnchor>
  <xdr:twoCellAnchor>
    <xdr:from>
      <xdr:col>18</xdr:col>
      <xdr:colOff>533286</xdr:colOff>
      <xdr:row>37</xdr:row>
      <xdr:rowOff>121473</xdr:rowOff>
    </xdr:from>
    <xdr:to>
      <xdr:col>21</xdr:col>
      <xdr:colOff>187080</xdr:colOff>
      <xdr:row>38</xdr:row>
      <xdr:rowOff>64790</xdr:rowOff>
    </xdr:to>
    <xdr:sp macro="" textlink="">
      <xdr:nvSpPr>
        <xdr:cNvPr id="7" name="正方形/長方形 6">
          <a:extLst>
            <a:ext uri="{FF2B5EF4-FFF2-40B4-BE49-F238E27FC236}">
              <a16:creationId xmlns:a16="http://schemas.microsoft.com/office/drawing/2014/main" id="{00000000-0008-0000-0300-000007000000}"/>
            </a:ext>
          </a:extLst>
        </xdr:cNvPr>
        <xdr:cNvSpPr/>
      </xdr:nvSpPr>
      <xdr:spPr>
        <a:xfrm>
          <a:off x="20659611" y="8732073"/>
          <a:ext cx="1711194" cy="181442"/>
        </a:xfrm>
        <a:prstGeom prst="rect">
          <a:avLst/>
        </a:prstGeom>
        <a:solidFill>
          <a:schemeClr val="accent2">
            <a:lumMod val="20000"/>
            <a:lumOff val="8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0" rIns="0" bIns="0" rtlCol="0" anchor="ctr"/>
        <a:lstStyle/>
        <a:p>
          <a:pPr algn="l"/>
          <a:r>
            <a:rPr kumimoji="1" lang="ja-JP" altLang="en-US" sz="800">
              <a:solidFill>
                <a:sysClr val="windowText" lastClr="000000"/>
              </a:solidFill>
            </a:rPr>
            <a:t>繰返し①　</a:t>
          </a:r>
          <a:r>
            <a:rPr kumimoji="1" lang="en-US" altLang="ja-JP" sz="800">
              <a:solidFill>
                <a:sysClr val="windowText" lastClr="000000"/>
              </a:solidFill>
            </a:rPr>
            <a:t>(</a:t>
          </a:r>
          <a:r>
            <a:rPr kumimoji="1" lang="ja-JP" altLang="en-US" sz="800">
              <a:solidFill>
                <a:sysClr val="windowText" lastClr="000000"/>
              </a:solidFill>
            </a:rPr>
            <a:t>終点</a:t>
          </a:r>
          <a:r>
            <a:rPr kumimoji="1" lang="en-US" altLang="ja-JP" sz="800">
              <a:solidFill>
                <a:sysClr val="windowText" lastClr="000000"/>
              </a:solidFill>
            </a:rPr>
            <a:t>)</a:t>
          </a:r>
          <a:endParaRPr kumimoji="1" lang="ja-JP" altLang="en-US" sz="800">
            <a:solidFill>
              <a:sysClr val="windowText" lastClr="000000"/>
            </a:solidFill>
          </a:endParaRPr>
        </a:p>
      </xdr:txBody>
    </xdr:sp>
    <xdr:clientData/>
  </xdr:twoCellAnchor>
  <xdr:twoCellAnchor>
    <xdr:from>
      <xdr:col>18</xdr:col>
      <xdr:colOff>538627</xdr:colOff>
      <xdr:row>36</xdr:row>
      <xdr:rowOff>187097</xdr:rowOff>
    </xdr:from>
    <xdr:to>
      <xdr:col>19</xdr:col>
      <xdr:colOff>19312</xdr:colOff>
      <xdr:row>37</xdr:row>
      <xdr:rowOff>137156</xdr:rowOff>
    </xdr:to>
    <xdr:sp macro="" textlink="">
      <xdr:nvSpPr>
        <xdr:cNvPr id="8" name="正方形/長方形 7">
          <a:extLst>
            <a:ext uri="{FF2B5EF4-FFF2-40B4-BE49-F238E27FC236}">
              <a16:creationId xmlns:a16="http://schemas.microsoft.com/office/drawing/2014/main" id="{00000000-0008-0000-0300-000008000000}"/>
            </a:ext>
          </a:extLst>
        </xdr:cNvPr>
        <xdr:cNvSpPr/>
      </xdr:nvSpPr>
      <xdr:spPr>
        <a:xfrm>
          <a:off x="20664952" y="8559572"/>
          <a:ext cx="166485" cy="188184"/>
        </a:xfrm>
        <a:prstGeom prst="rect">
          <a:avLst/>
        </a:prstGeom>
        <a:solidFill>
          <a:schemeClr val="accent2">
            <a:lumMod val="20000"/>
            <a:lumOff val="8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endParaRPr kumimoji="1" lang="ja-JP" altLang="en-US" sz="800">
            <a:solidFill>
              <a:sysClr val="windowText" lastClr="000000"/>
            </a:solidFill>
          </a:endParaRPr>
        </a:p>
      </xdr:txBody>
    </xdr:sp>
    <xdr:clientData/>
  </xdr:twoCellAnchor>
  <xdr:twoCellAnchor>
    <xdr:from>
      <xdr:col>18</xdr:col>
      <xdr:colOff>533286</xdr:colOff>
      <xdr:row>38</xdr:row>
      <xdr:rowOff>63093</xdr:rowOff>
    </xdr:from>
    <xdr:to>
      <xdr:col>21</xdr:col>
      <xdr:colOff>187080</xdr:colOff>
      <xdr:row>39</xdr:row>
      <xdr:rowOff>11526</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20659611" y="8911818"/>
          <a:ext cx="1711194" cy="186558"/>
        </a:xfrm>
        <a:prstGeom prst="rect">
          <a:avLst/>
        </a:prstGeom>
        <a:solidFill>
          <a:schemeClr val="accent2">
            <a:lumMod val="40000"/>
            <a:lumOff val="6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0" rIns="0" bIns="0" rtlCol="0" anchor="ctr"/>
        <a:lstStyle/>
        <a:p>
          <a:pPr algn="l"/>
          <a:r>
            <a:rPr kumimoji="1" lang="ja-JP" altLang="en-US" sz="800">
              <a:solidFill>
                <a:sysClr val="windowText" lastClr="000000"/>
              </a:solidFill>
            </a:rPr>
            <a:t>繰返し②　</a:t>
          </a:r>
          <a:r>
            <a:rPr kumimoji="1" lang="en-US" altLang="ja-JP" sz="800">
              <a:solidFill>
                <a:sysClr val="windowText" lastClr="000000"/>
              </a:solidFill>
            </a:rPr>
            <a:t>(</a:t>
          </a:r>
          <a:r>
            <a:rPr kumimoji="1" lang="ja-JP" altLang="en-US" sz="800">
              <a:solidFill>
                <a:sysClr val="windowText" lastClr="000000"/>
              </a:solidFill>
            </a:rPr>
            <a:t>始点</a:t>
          </a:r>
          <a:r>
            <a:rPr kumimoji="1" lang="en-US" altLang="ja-JP" sz="800">
              <a:solidFill>
                <a:sysClr val="windowText" lastClr="000000"/>
              </a:solidFill>
            </a:rPr>
            <a:t>)</a:t>
          </a:r>
          <a:endParaRPr kumimoji="1" lang="ja-JP" altLang="en-US" sz="800">
            <a:solidFill>
              <a:sysClr val="windowText" lastClr="000000"/>
            </a:solidFill>
          </a:endParaRPr>
        </a:p>
      </xdr:txBody>
    </xdr:sp>
    <xdr:clientData/>
  </xdr:twoCellAnchor>
  <xdr:twoCellAnchor>
    <xdr:from>
      <xdr:col>18</xdr:col>
      <xdr:colOff>533286</xdr:colOff>
      <xdr:row>39</xdr:row>
      <xdr:rowOff>159080</xdr:rowOff>
    </xdr:from>
    <xdr:to>
      <xdr:col>21</xdr:col>
      <xdr:colOff>187080</xdr:colOff>
      <xdr:row>40</xdr:row>
      <xdr:rowOff>93638</xdr:rowOff>
    </xdr:to>
    <xdr:sp macro="" textlink="">
      <xdr:nvSpPr>
        <xdr:cNvPr id="10" name="正方形/長方形 9">
          <a:extLst>
            <a:ext uri="{FF2B5EF4-FFF2-40B4-BE49-F238E27FC236}">
              <a16:creationId xmlns:a16="http://schemas.microsoft.com/office/drawing/2014/main" id="{00000000-0008-0000-0300-00000A000000}"/>
            </a:ext>
          </a:extLst>
        </xdr:cNvPr>
        <xdr:cNvSpPr/>
      </xdr:nvSpPr>
      <xdr:spPr>
        <a:xfrm>
          <a:off x="20659611" y="9245930"/>
          <a:ext cx="1711194" cy="172683"/>
        </a:xfrm>
        <a:prstGeom prst="rect">
          <a:avLst/>
        </a:prstGeom>
        <a:solidFill>
          <a:schemeClr val="accent2">
            <a:lumMod val="40000"/>
            <a:lumOff val="6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0" rIns="0" bIns="0" rtlCol="0" anchor="ctr"/>
        <a:lstStyle/>
        <a:p>
          <a:pPr algn="l"/>
          <a:r>
            <a:rPr kumimoji="1" lang="ja-JP" altLang="en-US" sz="800">
              <a:solidFill>
                <a:sysClr val="windowText" lastClr="000000"/>
              </a:solidFill>
            </a:rPr>
            <a:t>繰返し②　</a:t>
          </a:r>
          <a:r>
            <a:rPr kumimoji="1" lang="en-US" altLang="ja-JP" sz="800">
              <a:solidFill>
                <a:sysClr val="windowText" lastClr="000000"/>
              </a:solidFill>
            </a:rPr>
            <a:t>(</a:t>
          </a:r>
          <a:r>
            <a:rPr kumimoji="1" lang="ja-JP" altLang="en-US" sz="800">
              <a:solidFill>
                <a:sysClr val="windowText" lastClr="000000"/>
              </a:solidFill>
            </a:rPr>
            <a:t>終点</a:t>
          </a:r>
          <a:r>
            <a:rPr kumimoji="1" lang="en-US" altLang="ja-JP" sz="800">
              <a:solidFill>
                <a:sysClr val="windowText" lastClr="000000"/>
              </a:solidFill>
            </a:rPr>
            <a:t>)</a:t>
          </a:r>
          <a:endParaRPr kumimoji="1" lang="ja-JP" altLang="en-US" sz="800">
            <a:solidFill>
              <a:sysClr val="windowText" lastClr="000000"/>
            </a:solidFill>
          </a:endParaRPr>
        </a:p>
      </xdr:txBody>
    </xdr:sp>
    <xdr:clientData/>
  </xdr:twoCellAnchor>
  <xdr:twoCellAnchor>
    <xdr:from>
      <xdr:col>18</xdr:col>
      <xdr:colOff>533287</xdr:colOff>
      <xdr:row>38</xdr:row>
      <xdr:rowOff>225354</xdr:rowOff>
    </xdr:from>
    <xdr:to>
      <xdr:col>19</xdr:col>
      <xdr:colOff>13972</xdr:colOff>
      <xdr:row>39</xdr:row>
      <xdr:rowOff>171116</xdr:rowOff>
    </xdr:to>
    <xdr:sp macro="" textlink="">
      <xdr:nvSpPr>
        <xdr:cNvPr id="11" name="正方形/長方形 10">
          <a:extLst>
            <a:ext uri="{FF2B5EF4-FFF2-40B4-BE49-F238E27FC236}">
              <a16:creationId xmlns:a16="http://schemas.microsoft.com/office/drawing/2014/main" id="{00000000-0008-0000-0300-00000B000000}"/>
            </a:ext>
          </a:extLst>
        </xdr:cNvPr>
        <xdr:cNvSpPr/>
      </xdr:nvSpPr>
      <xdr:spPr>
        <a:xfrm>
          <a:off x="20659612" y="9074079"/>
          <a:ext cx="166485" cy="183887"/>
        </a:xfrm>
        <a:prstGeom prst="rect">
          <a:avLst/>
        </a:prstGeom>
        <a:solidFill>
          <a:schemeClr val="accent2">
            <a:lumMod val="40000"/>
            <a:lumOff val="6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endParaRPr kumimoji="1" lang="ja-JP" altLang="en-US" sz="800">
            <a:solidFill>
              <a:sysClr val="windowText" lastClr="000000"/>
            </a:solidFill>
          </a:endParaRPr>
        </a:p>
      </xdr:txBody>
    </xdr:sp>
    <xdr:clientData/>
  </xdr:twoCellAnchor>
  <xdr:twoCellAnchor>
    <xdr:from>
      <xdr:col>18</xdr:col>
      <xdr:colOff>533286</xdr:colOff>
      <xdr:row>40</xdr:row>
      <xdr:rowOff>85426</xdr:rowOff>
    </xdr:from>
    <xdr:to>
      <xdr:col>21</xdr:col>
      <xdr:colOff>187080</xdr:colOff>
      <xdr:row>41</xdr:row>
      <xdr:rowOff>22461</xdr:rowOff>
    </xdr:to>
    <xdr:sp macro="" textlink="">
      <xdr:nvSpPr>
        <xdr:cNvPr id="12" name="正方形/長方形 11">
          <a:extLst>
            <a:ext uri="{FF2B5EF4-FFF2-40B4-BE49-F238E27FC236}">
              <a16:creationId xmlns:a16="http://schemas.microsoft.com/office/drawing/2014/main" id="{00000000-0008-0000-0300-00000C000000}"/>
            </a:ext>
          </a:extLst>
        </xdr:cNvPr>
        <xdr:cNvSpPr/>
      </xdr:nvSpPr>
      <xdr:spPr>
        <a:xfrm>
          <a:off x="20659611" y="9410401"/>
          <a:ext cx="1711194" cy="175160"/>
        </a:xfrm>
        <a:prstGeom prst="rect">
          <a:avLst/>
        </a:prstGeom>
        <a:solidFill>
          <a:schemeClr val="accent2">
            <a:lumMod val="20000"/>
            <a:lumOff val="8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0" rIns="0" bIns="0" rtlCol="0" anchor="ctr"/>
        <a:lstStyle/>
        <a:p>
          <a:pPr algn="l"/>
          <a:r>
            <a:rPr kumimoji="1" lang="ja-JP" altLang="en-US" sz="800">
              <a:solidFill>
                <a:sysClr val="windowText" lastClr="000000"/>
              </a:solidFill>
            </a:rPr>
            <a:t>繰返し③　</a:t>
          </a:r>
          <a:r>
            <a:rPr kumimoji="1" lang="en-US" altLang="ja-JP" sz="800">
              <a:solidFill>
                <a:sysClr val="windowText" lastClr="000000"/>
              </a:solidFill>
            </a:rPr>
            <a:t>(</a:t>
          </a:r>
          <a:r>
            <a:rPr kumimoji="1" lang="ja-JP" altLang="en-US" sz="800">
              <a:solidFill>
                <a:sysClr val="windowText" lastClr="000000"/>
              </a:solidFill>
            </a:rPr>
            <a:t>始点</a:t>
          </a:r>
          <a:r>
            <a:rPr kumimoji="1" lang="en-US" altLang="ja-JP" sz="800">
              <a:solidFill>
                <a:sysClr val="windowText" lastClr="000000"/>
              </a:solidFill>
            </a:rPr>
            <a:t>)</a:t>
          </a:r>
          <a:endParaRPr kumimoji="1" lang="ja-JP" altLang="en-US" sz="800">
            <a:solidFill>
              <a:sysClr val="windowText" lastClr="000000"/>
            </a:solidFill>
          </a:endParaRPr>
        </a:p>
      </xdr:txBody>
    </xdr:sp>
    <xdr:clientData/>
  </xdr:twoCellAnchor>
  <xdr:twoCellAnchor>
    <xdr:from>
      <xdr:col>19</xdr:col>
      <xdr:colOff>432883</xdr:colOff>
      <xdr:row>41</xdr:row>
      <xdr:rowOff>18221</xdr:rowOff>
    </xdr:from>
    <xdr:to>
      <xdr:col>19</xdr:col>
      <xdr:colOff>587598</xdr:colOff>
      <xdr:row>43</xdr:row>
      <xdr:rowOff>61678</xdr:rowOff>
    </xdr:to>
    <xdr:sp macro="" textlink="">
      <xdr:nvSpPr>
        <xdr:cNvPr id="13" name="テキスト ボックス 12">
          <a:extLst>
            <a:ext uri="{FF2B5EF4-FFF2-40B4-BE49-F238E27FC236}">
              <a16:creationId xmlns:a16="http://schemas.microsoft.com/office/drawing/2014/main" id="{00000000-0008-0000-0300-00000D000000}"/>
            </a:ext>
          </a:extLst>
        </xdr:cNvPr>
        <xdr:cNvSpPr txBox="1"/>
      </xdr:nvSpPr>
      <xdr:spPr>
        <a:xfrm>
          <a:off x="21245008" y="9581321"/>
          <a:ext cx="154715" cy="5197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wordArtVertRtl" wrap="square" lIns="0" tIns="0" rIns="0" bIns="0" rtlCol="0" anchor="t">
          <a:noAutofit/>
        </a:bodyPr>
        <a:lstStyle/>
        <a:p>
          <a:r>
            <a:rPr kumimoji="1" lang="ja-JP" altLang="en-US" sz="800">
              <a:latin typeface="Meiryo UI" panose="020B0604030504040204" pitchFamily="50" charset="-128"/>
              <a:ea typeface="Meiryo UI" panose="020B0604030504040204" pitchFamily="50" charset="-128"/>
            </a:rPr>
            <a:t>・・・</a:t>
          </a:r>
        </a:p>
      </xdr:txBody>
    </xdr:sp>
    <xdr:clientData/>
  </xdr:twoCellAnchor>
  <xdr:twoCellAnchor>
    <xdr:from>
      <xdr:col>21</xdr:col>
      <xdr:colOff>43500</xdr:colOff>
      <xdr:row>31</xdr:row>
      <xdr:rowOff>123128</xdr:rowOff>
    </xdr:from>
    <xdr:to>
      <xdr:col>21</xdr:col>
      <xdr:colOff>209599</xdr:colOff>
      <xdr:row>32</xdr:row>
      <xdr:rowOff>64431</xdr:rowOff>
    </xdr:to>
    <xdr:sp macro="" textlink="">
      <xdr:nvSpPr>
        <xdr:cNvPr id="14" name="正方形/長方形 13">
          <a:extLst>
            <a:ext uri="{FF2B5EF4-FFF2-40B4-BE49-F238E27FC236}">
              <a16:creationId xmlns:a16="http://schemas.microsoft.com/office/drawing/2014/main" id="{00000000-0008-0000-0300-00000E000000}"/>
            </a:ext>
          </a:extLst>
        </xdr:cNvPr>
        <xdr:cNvSpPr/>
      </xdr:nvSpPr>
      <xdr:spPr>
        <a:xfrm>
          <a:off x="22227225" y="7304978"/>
          <a:ext cx="166099" cy="179428"/>
        </a:xfrm>
        <a:prstGeom prst="rect">
          <a:avLst/>
        </a:prstGeom>
        <a:solidFill>
          <a:schemeClr val="accent5">
            <a:lumMod val="20000"/>
            <a:lumOff val="8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endParaRPr kumimoji="1" lang="ja-JP" altLang="en-US" sz="800">
            <a:solidFill>
              <a:sysClr val="windowText" lastClr="000000"/>
            </a:solidFill>
          </a:endParaRPr>
        </a:p>
      </xdr:txBody>
    </xdr:sp>
    <xdr:clientData/>
  </xdr:twoCellAnchor>
  <xdr:twoCellAnchor>
    <xdr:from>
      <xdr:col>21</xdr:col>
      <xdr:colOff>26092</xdr:colOff>
      <xdr:row>36</xdr:row>
      <xdr:rowOff>187097</xdr:rowOff>
    </xdr:from>
    <xdr:to>
      <xdr:col>21</xdr:col>
      <xdr:colOff>192191</xdr:colOff>
      <xdr:row>37</xdr:row>
      <xdr:rowOff>137156</xdr:rowOff>
    </xdr:to>
    <xdr:sp macro="" textlink="">
      <xdr:nvSpPr>
        <xdr:cNvPr id="15" name="正方形/長方形 14">
          <a:extLst>
            <a:ext uri="{FF2B5EF4-FFF2-40B4-BE49-F238E27FC236}">
              <a16:creationId xmlns:a16="http://schemas.microsoft.com/office/drawing/2014/main" id="{00000000-0008-0000-0300-00000F000000}"/>
            </a:ext>
          </a:extLst>
        </xdr:cNvPr>
        <xdr:cNvSpPr/>
      </xdr:nvSpPr>
      <xdr:spPr>
        <a:xfrm>
          <a:off x="22209817" y="8559572"/>
          <a:ext cx="166099" cy="188184"/>
        </a:xfrm>
        <a:prstGeom prst="rect">
          <a:avLst/>
        </a:prstGeom>
        <a:solidFill>
          <a:schemeClr val="accent2">
            <a:lumMod val="20000"/>
            <a:lumOff val="8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endParaRPr kumimoji="1" lang="ja-JP" altLang="en-US" sz="800">
            <a:solidFill>
              <a:sysClr val="windowText" lastClr="000000"/>
            </a:solidFill>
          </a:endParaRPr>
        </a:p>
      </xdr:txBody>
    </xdr:sp>
    <xdr:clientData/>
  </xdr:twoCellAnchor>
  <xdr:twoCellAnchor>
    <xdr:from>
      <xdr:col>21</xdr:col>
      <xdr:colOff>20752</xdr:colOff>
      <xdr:row>38</xdr:row>
      <xdr:rowOff>225354</xdr:rowOff>
    </xdr:from>
    <xdr:to>
      <xdr:col>21</xdr:col>
      <xdr:colOff>186851</xdr:colOff>
      <xdr:row>39</xdr:row>
      <xdr:rowOff>171116</xdr:rowOff>
    </xdr:to>
    <xdr:sp macro="" textlink="">
      <xdr:nvSpPr>
        <xdr:cNvPr id="16" name="正方形/長方形 15">
          <a:extLst>
            <a:ext uri="{FF2B5EF4-FFF2-40B4-BE49-F238E27FC236}">
              <a16:creationId xmlns:a16="http://schemas.microsoft.com/office/drawing/2014/main" id="{00000000-0008-0000-0300-000010000000}"/>
            </a:ext>
          </a:extLst>
        </xdr:cNvPr>
        <xdr:cNvSpPr/>
      </xdr:nvSpPr>
      <xdr:spPr>
        <a:xfrm>
          <a:off x="22204477" y="9074079"/>
          <a:ext cx="166099" cy="183887"/>
        </a:xfrm>
        <a:prstGeom prst="rect">
          <a:avLst/>
        </a:prstGeom>
        <a:solidFill>
          <a:schemeClr val="accent2">
            <a:lumMod val="40000"/>
            <a:lumOff val="6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endParaRPr kumimoji="1" lang="ja-JP" altLang="en-US" sz="800">
            <a:solidFill>
              <a:sysClr val="windowText" lastClr="000000"/>
            </a:solidFill>
          </a:endParaRPr>
        </a:p>
      </xdr:txBody>
    </xdr:sp>
    <xdr:clientData/>
  </xdr:twoCellAnchor>
  <xdr:twoCellAnchor>
    <xdr:from>
      <xdr:col>3</xdr:col>
      <xdr:colOff>666750</xdr:colOff>
      <xdr:row>0</xdr:row>
      <xdr:rowOff>57150</xdr:rowOff>
    </xdr:from>
    <xdr:to>
      <xdr:col>3</xdr:col>
      <xdr:colOff>1238250</xdr:colOff>
      <xdr:row>3</xdr:row>
      <xdr:rowOff>46776</xdr:rowOff>
    </xdr:to>
    <xdr:pic>
      <xdr:nvPicPr>
        <xdr:cNvPr id="17" name="Picture 185" descr="check_l_c">
          <a:extLst>
            <a:ext uri="{FF2B5EF4-FFF2-40B4-BE49-F238E27FC236}">
              <a16:creationId xmlns:a16="http://schemas.microsoft.com/office/drawing/2014/main" id="{491C36C3-5118-4402-A314-5E5EB64F93C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bwMode="auto">
        <a:xfrm>
          <a:off x="1504950" y="57150"/>
          <a:ext cx="571500" cy="713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126453</xdr:colOff>
      <xdr:row>0</xdr:row>
      <xdr:rowOff>89309</xdr:rowOff>
    </xdr:from>
    <xdr:to>
      <xdr:col>7</xdr:col>
      <xdr:colOff>483461</xdr:colOff>
      <xdr:row>3</xdr:row>
      <xdr:rowOff>10806</xdr:rowOff>
    </xdr:to>
    <xdr:pic>
      <xdr:nvPicPr>
        <xdr:cNvPr id="18" name="Picture 5" descr="attention_l_c">
          <a:extLst>
            <a:ext uri="{FF2B5EF4-FFF2-40B4-BE49-F238E27FC236}">
              <a16:creationId xmlns:a16="http://schemas.microsoft.com/office/drawing/2014/main" id="{53FC3FC7-DF65-4D35-B2A8-58EFF925337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869653" y="89309"/>
          <a:ext cx="595133" cy="64539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1355868</xdr:colOff>
      <xdr:row>0</xdr:row>
      <xdr:rowOff>89312</xdr:rowOff>
    </xdr:from>
    <xdr:ext cx="567968" cy="670954"/>
    <xdr:pic>
      <xdr:nvPicPr>
        <xdr:cNvPr id="19" name="Picture 121" descr="caution_l_c">
          <a:extLst>
            <a:ext uri="{FF2B5EF4-FFF2-40B4-BE49-F238E27FC236}">
              <a16:creationId xmlns:a16="http://schemas.microsoft.com/office/drawing/2014/main" id="{64370FC7-22AF-4710-B414-4C12C52E722F}"/>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bwMode="auto">
        <a:xfrm>
          <a:off x="2194068" y="89312"/>
          <a:ext cx="567968" cy="6709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8</xdr:col>
      <xdr:colOff>1997961</xdr:colOff>
      <xdr:row>0</xdr:row>
      <xdr:rowOff>130099</xdr:rowOff>
    </xdr:from>
    <xdr:to>
      <xdr:col>8</xdr:col>
      <xdr:colOff>3398262</xdr:colOff>
      <xdr:row>3</xdr:row>
      <xdr:rowOff>6659</xdr:rowOff>
    </xdr:to>
    <xdr:grpSp>
      <xdr:nvGrpSpPr>
        <xdr:cNvPr id="20" name="グループ化 19">
          <a:extLst>
            <a:ext uri="{FF2B5EF4-FFF2-40B4-BE49-F238E27FC236}">
              <a16:creationId xmlns:a16="http://schemas.microsoft.com/office/drawing/2014/main" id="{7C3508D0-0526-4DE8-BD88-D572BD052C82}"/>
            </a:ext>
          </a:extLst>
        </xdr:cNvPr>
        <xdr:cNvGrpSpPr/>
      </xdr:nvGrpSpPr>
      <xdr:grpSpPr>
        <a:xfrm>
          <a:off x="9132373" y="130099"/>
          <a:ext cx="1400301" cy="623619"/>
          <a:chOff x="22847113" y="168087"/>
          <a:chExt cx="1402206" cy="584948"/>
        </a:xfrm>
      </xdr:grpSpPr>
      <xdr:sp macro="" textlink="">
        <xdr:nvSpPr>
          <xdr:cNvPr id="21" name="吹き出し: 線 (枠付き、強調線付き) 20">
            <a:extLst>
              <a:ext uri="{FF2B5EF4-FFF2-40B4-BE49-F238E27FC236}">
                <a16:creationId xmlns:a16="http://schemas.microsoft.com/office/drawing/2014/main" id="{72C8DE94-65E7-9F0D-C3E3-CD955803D50E}"/>
              </a:ext>
            </a:extLst>
          </xdr:cNvPr>
          <xdr:cNvSpPr/>
        </xdr:nvSpPr>
        <xdr:spPr>
          <a:xfrm>
            <a:off x="22847113" y="168087"/>
            <a:ext cx="1402206" cy="584948"/>
          </a:xfrm>
          <a:prstGeom prst="accentBorderCallout1">
            <a:avLst>
              <a:gd name="adj1" fmla="val 73018"/>
              <a:gd name="adj2" fmla="val 355"/>
              <a:gd name="adj3" fmla="val 73873"/>
              <a:gd name="adj4" fmla="val -15685"/>
            </a:avLst>
          </a:prstGeom>
          <a:solidFill>
            <a:srgbClr val="FF0000"/>
          </a:solidFill>
          <a:ln>
            <a:solidFill>
              <a:schemeClr val="tx1"/>
            </a:solidFill>
          </a:ln>
        </xdr:spPr>
        <xdr:style>
          <a:lnRef idx="2">
            <a:schemeClr val="accent4">
              <a:shade val="15000"/>
            </a:schemeClr>
          </a:lnRef>
          <a:fillRef idx="1">
            <a:schemeClr val="accent4"/>
          </a:fillRef>
          <a:effectRef idx="0">
            <a:schemeClr val="accent4"/>
          </a:effectRef>
          <a:fontRef idx="minor">
            <a:schemeClr val="lt1"/>
          </a:fontRef>
        </xdr:style>
        <xdr:txBody>
          <a:bodyPr vertOverflow="overflow" horzOverflow="overflow" lIns="540000" tIns="0" rIns="0" bIns="0" rtlCol="0" anchor="ctr"/>
          <a:lstStyle/>
          <a:p>
            <a:pPr algn="l"/>
            <a:r>
              <a:rPr kumimoji="1" lang="ja-JP" altLang="en-US" sz="1100" b="1">
                <a:solidFill>
                  <a:schemeClr val="bg1"/>
                </a:solidFill>
              </a:rPr>
              <a:t>サンプル</a:t>
            </a:r>
            <a:endParaRPr kumimoji="1" lang="en-US" altLang="ja-JP" sz="1100" b="1">
              <a:solidFill>
                <a:schemeClr val="bg1"/>
              </a:solidFill>
            </a:endParaRPr>
          </a:p>
        </xdr:txBody>
      </xdr:sp>
      <xdr:pic>
        <xdr:nvPicPr>
          <xdr:cNvPr id="22" name="Picture 121" descr="caution_l_c">
            <a:extLst>
              <a:ext uri="{FF2B5EF4-FFF2-40B4-BE49-F238E27FC236}">
                <a16:creationId xmlns:a16="http://schemas.microsoft.com/office/drawing/2014/main" id="{693C2119-6FBA-F1EC-0A92-E93104BF011C}"/>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bwMode="auto">
          <a:xfrm>
            <a:off x="22939239" y="255270"/>
            <a:ext cx="388921" cy="459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1202742</xdr:colOff>
      <xdr:row>0</xdr:row>
      <xdr:rowOff>130324</xdr:rowOff>
    </xdr:from>
    <xdr:to>
      <xdr:col>7</xdr:col>
      <xdr:colOff>2611000</xdr:colOff>
      <xdr:row>3</xdr:row>
      <xdr:rowOff>6884</xdr:rowOff>
    </xdr:to>
    <xdr:grpSp>
      <xdr:nvGrpSpPr>
        <xdr:cNvPr id="23" name="グループ化 22">
          <a:extLst>
            <a:ext uri="{FF2B5EF4-FFF2-40B4-BE49-F238E27FC236}">
              <a16:creationId xmlns:a16="http://schemas.microsoft.com/office/drawing/2014/main" id="{D73C65A3-565A-4575-B849-313A30DA6A8A}"/>
            </a:ext>
          </a:extLst>
        </xdr:cNvPr>
        <xdr:cNvGrpSpPr/>
      </xdr:nvGrpSpPr>
      <xdr:grpSpPr>
        <a:xfrm>
          <a:off x="4138683" y="130324"/>
          <a:ext cx="1408258" cy="623619"/>
          <a:chOff x="17857356" y="160692"/>
          <a:chExt cx="1408258" cy="584948"/>
        </a:xfrm>
      </xdr:grpSpPr>
      <xdr:sp macro="" textlink="">
        <xdr:nvSpPr>
          <xdr:cNvPr id="32" name="吹き出し: 線 (枠付き、強調線付き) 31">
            <a:extLst>
              <a:ext uri="{FF2B5EF4-FFF2-40B4-BE49-F238E27FC236}">
                <a16:creationId xmlns:a16="http://schemas.microsoft.com/office/drawing/2014/main" id="{1B2681F1-42CF-8EFA-57A3-F1CBA0BCCA25}"/>
              </a:ext>
            </a:extLst>
          </xdr:cNvPr>
          <xdr:cNvSpPr/>
        </xdr:nvSpPr>
        <xdr:spPr>
          <a:xfrm>
            <a:off x="17857356" y="160692"/>
            <a:ext cx="1408258" cy="584948"/>
          </a:xfrm>
          <a:prstGeom prst="accentBorderCallout1">
            <a:avLst>
              <a:gd name="adj1" fmla="val 73018"/>
              <a:gd name="adj2" fmla="val 355"/>
              <a:gd name="adj3" fmla="val 83497"/>
              <a:gd name="adj4" fmla="val -16489"/>
            </a:avLst>
          </a:prstGeom>
          <a:solidFill>
            <a:srgbClr val="00B0F0"/>
          </a:solidFill>
          <a:ln>
            <a:solidFill>
              <a:schemeClr val="tx1"/>
            </a:solidFill>
          </a:ln>
        </xdr:spPr>
        <xdr:style>
          <a:lnRef idx="2">
            <a:schemeClr val="accent4">
              <a:shade val="15000"/>
            </a:schemeClr>
          </a:lnRef>
          <a:fillRef idx="1">
            <a:schemeClr val="accent4"/>
          </a:fillRef>
          <a:effectRef idx="0">
            <a:schemeClr val="accent4"/>
          </a:effectRef>
          <a:fontRef idx="minor">
            <a:schemeClr val="lt1"/>
          </a:fontRef>
        </xdr:style>
        <xdr:txBody>
          <a:bodyPr vertOverflow="overflow" horzOverflow="overflow" lIns="540000" tIns="0" rIns="0" bIns="0" rtlCol="0" anchor="ctr"/>
          <a:lstStyle/>
          <a:p>
            <a:pPr algn="l"/>
            <a:r>
              <a:rPr kumimoji="1" lang="ja-JP" altLang="en-US" sz="1100" b="1">
                <a:solidFill>
                  <a:schemeClr val="bg1"/>
                </a:solidFill>
              </a:rPr>
              <a:t>サンプル</a:t>
            </a:r>
            <a:endParaRPr kumimoji="1" lang="en-US" altLang="ja-JP" sz="1100" b="1">
              <a:solidFill>
                <a:schemeClr val="bg1"/>
              </a:solidFill>
            </a:endParaRPr>
          </a:p>
        </xdr:txBody>
      </xdr:sp>
      <xdr:pic>
        <xdr:nvPicPr>
          <xdr:cNvPr id="33" name="グラフィックス 32" descr="情報 単色塗りつぶし">
            <a:extLst>
              <a:ext uri="{FF2B5EF4-FFF2-40B4-BE49-F238E27FC236}">
                <a16:creationId xmlns:a16="http://schemas.microsoft.com/office/drawing/2014/main" id="{216FDFB0-2FEC-A87A-8198-9EFBCFF7F1B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7929538" y="255274"/>
            <a:ext cx="378991" cy="376403"/>
          </a:xfrm>
          <a:prstGeom prst="rect">
            <a:avLst/>
          </a:prstGeom>
        </xdr:spPr>
      </xdr:pic>
    </xdr:grpSp>
    <xdr:clientData/>
  </xdr:twoCellAnchor>
  <xdr:twoCellAnchor>
    <xdr:from>
      <xdr:col>7</xdr:col>
      <xdr:colOff>2841716</xdr:colOff>
      <xdr:row>0</xdr:row>
      <xdr:rowOff>135813</xdr:rowOff>
    </xdr:from>
    <xdr:to>
      <xdr:col>8</xdr:col>
      <xdr:colOff>51289</xdr:colOff>
      <xdr:row>3</xdr:row>
      <xdr:rowOff>10468</xdr:rowOff>
    </xdr:to>
    <xdr:grpSp>
      <xdr:nvGrpSpPr>
        <xdr:cNvPr id="34" name="グループ化 33">
          <a:extLst>
            <a:ext uri="{FF2B5EF4-FFF2-40B4-BE49-F238E27FC236}">
              <a16:creationId xmlns:a16="http://schemas.microsoft.com/office/drawing/2014/main" id="{6E484111-99DC-49FF-B004-CB7B50DE4009}"/>
            </a:ext>
          </a:extLst>
        </xdr:cNvPr>
        <xdr:cNvGrpSpPr/>
      </xdr:nvGrpSpPr>
      <xdr:grpSpPr>
        <a:xfrm>
          <a:off x="5777657" y="135813"/>
          <a:ext cx="1408044" cy="621714"/>
          <a:chOff x="19505855" y="171896"/>
          <a:chExt cx="1404111" cy="577328"/>
        </a:xfrm>
      </xdr:grpSpPr>
      <xdr:sp macro="" textlink="">
        <xdr:nvSpPr>
          <xdr:cNvPr id="35" name="吹き出し: 線 (枠付き、強調線付き) 34">
            <a:extLst>
              <a:ext uri="{FF2B5EF4-FFF2-40B4-BE49-F238E27FC236}">
                <a16:creationId xmlns:a16="http://schemas.microsoft.com/office/drawing/2014/main" id="{CEB780AC-985B-166D-843F-D3620A792FAC}"/>
              </a:ext>
            </a:extLst>
          </xdr:cNvPr>
          <xdr:cNvSpPr/>
        </xdr:nvSpPr>
        <xdr:spPr>
          <a:xfrm>
            <a:off x="19505855" y="171896"/>
            <a:ext cx="1404111" cy="577328"/>
          </a:xfrm>
          <a:prstGeom prst="accentBorderCallout1">
            <a:avLst>
              <a:gd name="adj1" fmla="val 73018"/>
              <a:gd name="adj2" fmla="val 355"/>
              <a:gd name="adj3" fmla="val 79648"/>
              <a:gd name="adj4" fmla="val -16489"/>
            </a:avLst>
          </a:prstGeom>
          <a:solidFill>
            <a:srgbClr val="92D050"/>
          </a:solidFill>
          <a:ln>
            <a:solidFill>
              <a:schemeClr val="tx1"/>
            </a:solidFill>
          </a:ln>
        </xdr:spPr>
        <xdr:style>
          <a:lnRef idx="2">
            <a:schemeClr val="accent4">
              <a:shade val="15000"/>
            </a:schemeClr>
          </a:lnRef>
          <a:fillRef idx="1">
            <a:schemeClr val="accent4"/>
          </a:fillRef>
          <a:effectRef idx="0">
            <a:schemeClr val="accent4"/>
          </a:effectRef>
          <a:fontRef idx="minor">
            <a:schemeClr val="lt1"/>
          </a:fontRef>
        </xdr:style>
        <xdr:txBody>
          <a:bodyPr vertOverflow="overflow" horzOverflow="overflow" lIns="540000" tIns="0" rIns="0" bIns="0" rtlCol="0" anchor="ctr"/>
          <a:lstStyle/>
          <a:p>
            <a:pPr algn="l"/>
            <a:r>
              <a:rPr kumimoji="1" lang="ja-JP" altLang="en-US" sz="1100" b="1">
                <a:solidFill>
                  <a:sysClr val="windowText" lastClr="000000"/>
                </a:solidFill>
              </a:rPr>
              <a:t>サンプル</a:t>
            </a:r>
            <a:endParaRPr kumimoji="1" lang="en-US" altLang="ja-JP" sz="1100" b="1">
              <a:solidFill>
                <a:sysClr val="windowText" lastClr="000000"/>
              </a:solidFill>
            </a:endParaRPr>
          </a:p>
        </xdr:txBody>
      </xdr:sp>
      <xdr:pic>
        <xdr:nvPicPr>
          <xdr:cNvPr id="36" name="Picture 186" descr="attention_l_c">
            <a:extLst>
              <a:ext uri="{FF2B5EF4-FFF2-40B4-BE49-F238E27FC236}">
                <a16:creationId xmlns:a16="http://schemas.microsoft.com/office/drawing/2014/main" id="{3422136A-5750-B95E-17C7-65F254462A11}"/>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9572646" y="235736"/>
            <a:ext cx="403496" cy="4678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8</xdr:col>
      <xdr:colOff>308001</xdr:colOff>
      <xdr:row>0</xdr:row>
      <xdr:rowOff>135813</xdr:rowOff>
    </xdr:from>
    <xdr:to>
      <xdr:col>8</xdr:col>
      <xdr:colOff>1723542</xdr:colOff>
      <xdr:row>3</xdr:row>
      <xdr:rowOff>10468</xdr:rowOff>
    </xdr:to>
    <xdr:grpSp>
      <xdr:nvGrpSpPr>
        <xdr:cNvPr id="37" name="グループ化 36">
          <a:extLst>
            <a:ext uri="{FF2B5EF4-FFF2-40B4-BE49-F238E27FC236}">
              <a16:creationId xmlns:a16="http://schemas.microsoft.com/office/drawing/2014/main" id="{3A8C6C12-EE19-43F5-8FD1-4A6AEFB39E3A}"/>
            </a:ext>
          </a:extLst>
        </xdr:cNvPr>
        <xdr:cNvGrpSpPr/>
      </xdr:nvGrpSpPr>
      <xdr:grpSpPr>
        <a:xfrm>
          <a:off x="7442413" y="135813"/>
          <a:ext cx="1415541" cy="621714"/>
          <a:chOff x="21180013" y="171896"/>
          <a:chExt cx="1404111" cy="577328"/>
        </a:xfrm>
      </xdr:grpSpPr>
      <xdr:sp macro="" textlink="">
        <xdr:nvSpPr>
          <xdr:cNvPr id="38" name="吹き出し: 線 (枠付き、強調線付き) 37">
            <a:extLst>
              <a:ext uri="{FF2B5EF4-FFF2-40B4-BE49-F238E27FC236}">
                <a16:creationId xmlns:a16="http://schemas.microsoft.com/office/drawing/2014/main" id="{C5CF4E99-5268-BD87-AEE4-D907E5D9FDAF}"/>
              </a:ext>
            </a:extLst>
          </xdr:cNvPr>
          <xdr:cNvSpPr/>
        </xdr:nvSpPr>
        <xdr:spPr>
          <a:xfrm>
            <a:off x="21180013" y="171896"/>
            <a:ext cx="1404111" cy="577328"/>
          </a:xfrm>
          <a:prstGeom prst="accentBorderCallout1">
            <a:avLst>
              <a:gd name="adj1" fmla="val 73018"/>
              <a:gd name="adj2" fmla="val 355"/>
              <a:gd name="adj3" fmla="val 79648"/>
              <a:gd name="adj4" fmla="val -13273"/>
            </a:avLst>
          </a:prstGeom>
          <a:solidFill>
            <a:srgbClr val="FFC000"/>
          </a:solidFill>
          <a:ln>
            <a:solidFill>
              <a:schemeClr val="tx1"/>
            </a:solidFill>
          </a:ln>
        </xdr:spPr>
        <xdr:style>
          <a:lnRef idx="2">
            <a:schemeClr val="accent4">
              <a:shade val="15000"/>
            </a:schemeClr>
          </a:lnRef>
          <a:fillRef idx="1">
            <a:schemeClr val="accent4"/>
          </a:fillRef>
          <a:effectRef idx="0">
            <a:schemeClr val="accent4"/>
          </a:effectRef>
          <a:fontRef idx="minor">
            <a:schemeClr val="lt1"/>
          </a:fontRef>
        </xdr:style>
        <xdr:txBody>
          <a:bodyPr vertOverflow="overflow" horzOverflow="overflow" lIns="540000" tIns="0" rIns="0" bIns="0" rtlCol="0" anchor="ctr"/>
          <a:lstStyle/>
          <a:p>
            <a:pPr algn="l"/>
            <a:r>
              <a:rPr kumimoji="1" lang="ja-JP" altLang="en-US" sz="1100" b="1">
                <a:solidFill>
                  <a:sysClr val="windowText" lastClr="000000"/>
                </a:solidFill>
              </a:rPr>
              <a:t>サンプル</a:t>
            </a:r>
            <a:endParaRPr kumimoji="1" lang="en-US" altLang="ja-JP" sz="1100" b="1">
              <a:solidFill>
                <a:sysClr val="windowText" lastClr="000000"/>
              </a:solidFill>
            </a:endParaRPr>
          </a:p>
        </xdr:txBody>
      </xdr:sp>
      <xdr:pic>
        <xdr:nvPicPr>
          <xdr:cNvPr id="39" name="Picture 185" descr="check_l_c">
            <a:extLst>
              <a:ext uri="{FF2B5EF4-FFF2-40B4-BE49-F238E27FC236}">
                <a16:creationId xmlns:a16="http://schemas.microsoft.com/office/drawing/2014/main" id="{753403DF-677C-B4F8-B4D3-C7452DFD5CA1}"/>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bwMode="auto">
          <a:xfrm>
            <a:off x="21249729" y="221653"/>
            <a:ext cx="399433" cy="4753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3124200</xdr:colOff>
          <xdr:row>0</xdr:row>
          <xdr:rowOff>50800</xdr:rowOff>
        </xdr:from>
        <xdr:to>
          <xdr:col>12</xdr:col>
          <xdr:colOff>25400</xdr:colOff>
          <xdr:row>1</xdr:row>
          <xdr:rowOff>260350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E00-000001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1" i="0" u="none" strike="noStrike" baseline="0">
                  <a:solidFill>
                    <a:srgbClr val="000000"/>
                  </a:solidFill>
                  <a:latin typeface="Meiryo UI"/>
                  <a:ea typeface="Meiryo UI"/>
                </a:rPr>
                <a:t>CD Creater起動</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10.79.26.240\10_&#23616;&#24314;\25-K-xxx_SSC&#26356;&#25913;_GUI,FS,SSC&#23616;&#24314;(&#38306;&#35199;1,&#38306;&#35199;2)\02_&#24037;&#31243;&#34920;_&#25163;&#38918;&#26360;\02_&#25163;&#38918;&#26360;\xx_&#26032;&#12501;&#12457;&#12540;&#12510;&#12483;&#12488;&#20206;\03_A_SSC&#26032;&#35215;&#23616;&#24314;\&#12304;&#21407;&#26412;&#12305;02_&#12452;&#12531;&#12473;&#12488;&#12540;&#12523;&#21069;&#20316;&#26989;_&#20316;&#26989;CS_20250805.xlsm" TargetMode="External"/><Relationship Id="rId1" Type="http://schemas.openxmlformats.org/officeDocument/2006/relationships/externalLinkPath" Target="file:///\\10.79.26.240\10_&#23616;&#24314;\25-K-xxx_SSC&#26356;&#25913;_GUI,FS,SSC&#23616;&#24314;(&#38306;&#35199;1,&#38306;&#35199;2)\02_&#24037;&#31243;&#34920;_&#25163;&#38918;&#26360;\02_&#25163;&#38918;&#26360;\xx_&#26032;&#12501;&#12457;&#12540;&#12510;&#12483;&#12488;&#20206;\03_A_SSC&#26032;&#35215;&#23616;&#24314;\&#12304;&#21407;&#26412;&#12305;02_&#12452;&#12531;&#12473;&#12488;&#12540;&#12523;&#21069;&#20316;&#26989;_&#20316;&#26989;CS_20250805.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10.79.26.240\80_&#20491;&#20154;&#12501;&#12457;&#12523;&#12480;\chiba_&#21315;&#33865;\CDCreator\3.UI\&#12304;&#21407;&#26412;&#12305;02_&#12452;&#12531;&#12473;&#12488;&#12540;&#12523;&#21069;&#20316;&#26989;_CD_20250806.xlsx" TargetMode="External"/><Relationship Id="rId1" Type="http://schemas.openxmlformats.org/officeDocument/2006/relationships/externalLinkPath" Target="/chiba_&#21315;&#33865;/CDCreator/3.UI/&#12304;&#21407;&#26412;&#12305;02_&#12452;&#12531;&#12473;&#12488;&#12540;&#12523;&#21069;&#20316;&#26989;_CD_20250806.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10.79.26.240\80_&#20491;&#20154;&#12501;&#12457;&#12523;&#12480;\chiba_&#21315;&#33865;\CDCreator\3.UI\&#12304;Sample&#12305;&#20316;&#26989;CS.xlsm" TargetMode="External"/><Relationship Id="rId1" Type="http://schemas.openxmlformats.org/officeDocument/2006/relationships/externalLinkPath" Target="/chiba_&#21315;&#33865;/CDCreator/3.UI/&#12304;Sample&#12305;&#20316;&#26989;CS.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10.79.26.240\80_&#20491;&#20154;&#12501;&#12457;&#12523;&#12480;\chiba_&#21315;&#33865;\CDCreator\5.test\02_A_FS&#26032;&#35215;&#23616;&#24314;\&#12304;test&#12305;02_&#12452;&#12531;&#12473;&#12488;&#12540;&#12523;&#21069;&#20316;&#26989;_&#20316;&#26989;CS_20251208.xlsm" TargetMode="External"/><Relationship Id="rId1" Type="http://schemas.openxmlformats.org/officeDocument/2006/relationships/externalLinkPath" Target="/chiba_&#21315;&#33865;/CDCreator/5.test/02_A_FS&#26032;&#35215;&#23616;&#24314;/&#12304;test&#12305;02_&#12452;&#12531;&#12473;&#12488;&#12540;&#12523;&#21069;&#20316;&#26989;_&#20316;&#26989;CS_202512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工事情報入力シート_FS"/>
      <sheetName val="01_インストール前作業"/>
      <sheetName val="CD_L_01_インストール前作業"/>
      <sheetName val="CD_O_01_インストール前作業"/>
      <sheetName val="CD_R_01_インストール前作業"/>
      <sheetName val="CD_U_01_インストール前作業"/>
      <sheetName val="アラームリスト"/>
      <sheetName val="手順書パーツ"/>
      <sheetName val="ユニット構成"/>
      <sheetName val="SCCE"/>
      <sheetName val="SBC"/>
      <sheetName val="RAID"/>
      <sheetName val="MSW"/>
      <sheetName val="HSS"/>
      <sheetName val="HFS"/>
      <sheetName val="GUI"/>
      <sheetName val="FS"/>
      <sheetName val="プロンプト"/>
    </sheetNames>
    <sheetDataSet>
      <sheetData sheetId="0"/>
      <sheetData sheetId="1">
        <row r="2">
          <cell r="P2" t="str">
            <v>w26kmssc-0100ac</v>
          </cell>
        </row>
      </sheetData>
      <sheetData sheetId="2"/>
      <sheetData sheetId="3"/>
      <sheetData sheetId="4"/>
      <sheetData sheetId="5"/>
      <sheetData sheetId="6"/>
      <sheetData sheetId="7"/>
      <sheetData sheetId="8">
        <row r="2">
          <cell r="A2" t="str">
            <v>e01s2-fs-020ss</v>
          </cell>
          <cell r="B2" t="str">
            <v>検証M</v>
          </cell>
        </row>
        <row r="3">
          <cell r="A3" t="str">
            <v>e01s2-fs-021ss</v>
          </cell>
          <cell r="B3" t="str">
            <v>検証M</v>
          </cell>
        </row>
        <row r="4">
          <cell r="A4" t="str">
            <v>w0cfi-fs-020ss</v>
          </cell>
          <cell r="B4" t="str">
            <v>検証C</v>
          </cell>
        </row>
        <row r="5">
          <cell r="A5" t="str">
            <v>w0dfi-fs-011ss</v>
          </cell>
          <cell r="B5" t="str">
            <v>検証C</v>
          </cell>
        </row>
        <row r="6">
          <cell r="A6" t="str">
            <v>w23sh-fs-011is</v>
          </cell>
          <cell r="B6" t="str">
            <v>東海</v>
          </cell>
        </row>
        <row r="7">
          <cell r="A7" t="str">
            <v>w23sh-fs-012ss</v>
          </cell>
          <cell r="B7" t="str">
            <v>東海</v>
          </cell>
        </row>
        <row r="8">
          <cell r="A8" t="str">
            <v>w23sh-fs-041ss</v>
          </cell>
          <cell r="B8" t="str">
            <v>東海</v>
          </cell>
        </row>
        <row r="9">
          <cell r="A9" t="str">
            <v>w23sh-fs-070ss</v>
          </cell>
          <cell r="B9" t="str">
            <v>東海</v>
          </cell>
        </row>
        <row r="10">
          <cell r="A10" t="str">
            <v>w23sh-fs-a20is</v>
          </cell>
          <cell r="B10" t="str">
            <v>東海</v>
          </cell>
        </row>
        <row r="11">
          <cell r="A11" t="str">
            <v>w23sh-fs-a30is</v>
          </cell>
          <cell r="B11" t="str">
            <v>東海</v>
          </cell>
        </row>
        <row r="12">
          <cell r="A12" t="str">
            <v>w23sh-fs-a40is</v>
          </cell>
          <cell r="B12" t="str">
            <v>東海</v>
          </cell>
        </row>
        <row r="13">
          <cell r="A13" t="str">
            <v>w23sh-fs-a50ss</v>
          </cell>
          <cell r="B13" t="str">
            <v>東海</v>
          </cell>
        </row>
        <row r="14">
          <cell r="A14" t="str">
            <v>w23sh-fs-a51ss</v>
          </cell>
          <cell r="B14" t="str">
            <v>東海</v>
          </cell>
        </row>
        <row r="15">
          <cell r="A15" t="str">
            <v>w23sh-fs-a60ss</v>
          </cell>
          <cell r="B15" t="str">
            <v>東海</v>
          </cell>
        </row>
        <row r="16">
          <cell r="A16" t="str">
            <v>w26km-fs-010ss</v>
          </cell>
          <cell r="B16" t="str">
            <v>関西1</v>
          </cell>
        </row>
        <row r="17">
          <cell r="A17" t="str">
            <v>w27on-fs-010ss</v>
          </cell>
          <cell r="B17" t="str">
            <v>関西1</v>
          </cell>
        </row>
        <row r="18">
          <cell r="A18" t="str">
            <v>w27os-fs-031is</v>
          </cell>
          <cell r="B18" t="str">
            <v>関西1</v>
          </cell>
        </row>
        <row r="19">
          <cell r="A19" t="str">
            <v>w27os-fs-032ss</v>
          </cell>
          <cell r="B19" t="str">
            <v>関西1</v>
          </cell>
        </row>
        <row r="20">
          <cell r="A20" t="str">
            <v>w27os-fs-040is</v>
          </cell>
          <cell r="B20" t="str">
            <v>関西1</v>
          </cell>
        </row>
        <row r="21">
          <cell r="A21" t="str">
            <v>w27os-fs-041ss</v>
          </cell>
          <cell r="B21" t="str">
            <v>関西1</v>
          </cell>
        </row>
        <row r="22">
          <cell r="A22" t="str">
            <v>w27os-fs-050ss</v>
          </cell>
          <cell r="B22" t="str">
            <v>関西1</v>
          </cell>
        </row>
        <row r="23">
          <cell r="A23" t="str">
            <v>w27os-fs-051ss</v>
          </cell>
          <cell r="B23" t="str">
            <v>関西1</v>
          </cell>
        </row>
        <row r="24">
          <cell r="A24" t="str">
            <v>w27os-fs-a60ss</v>
          </cell>
          <cell r="B24" t="str">
            <v>関西1</v>
          </cell>
        </row>
        <row r="25">
          <cell r="A25" t="str">
            <v>w27os-fs-a61ss</v>
          </cell>
          <cell r="B25" t="str">
            <v>関西1</v>
          </cell>
        </row>
        <row r="26">
          <cell r="A26" t="str">
            <v>w28dk-fs-010is</v>
          </cell>
          <cell r="B26" t="str">
            <v>関西2</v>
          </cell>
        </row>
        <row r="27">
          <cell r="A27" t="str">
            <v>w28dk-fs-011ss</v>
          </cell>
          <cell r="B27" t="str">
            <v>関西2</v>
          </cell>
        </row>
        <row r="28">
          <cell r="A28" t="str">
            <v>w28dk-fs-012ss</v>
          </cell>
          <cell r="B28" t="str">
            <v>関西2</v>
          </cell>
        </row>
        <row r="29">
          <cell r="A29" t="str">
            <v>w28dk-fs-a20is</v>
          </cell>
          <cell r="B29" t="str">
            <v>関西2</v>
          </cell>
        </row>
        <row r="30">
          <cell r="A30" t="str">
            <v>w28kc-fs-010ss</v>
          </cell>
          <cell r="B30" t="str">
            <v>関西2</v>
          </cell>
        </row>
        <row r="31">
          <cell r="A31" t="str">
            <v>w28sg-fs-010ss</v>
          </cell>
          <cell r="B31" t="str">
            <v>関西2</v>
          </cell>
        </row>
        <row r="32">
          <cell r="A32" t="str">
            <v>w34mm-fs-010is</v>
          </cell>
          <cell r="B32" t="str">
            <v>中国・四国</v>
          </cell>
        </row>
        <row r="33">
          <cell r="A33" t="str">
            <v>w34mm-fs-011ss</v>
          </cell>
          <cell r="B33" t="str">
            <v>中国・四国</v>
          </cell>
        </row>
        <row r="34">
          <cell r="A34" t="str">
            <v>w34mm-fs-012ss</v>
          </cell>
          <cell r="B34" t="str">
            <v>中国・四国</v>
          </cell>
        </row>
        <row r="35">
          <cell r="A35" t="str">
            <v>w34mm-fs-a20is</v>
          </cell>
          <cell r="B35" t="str">
            <v>中国・四国</v>
          </cell>
        </row>
        <row r="36">
          <cell r="A36" t="str">
            <v>w34mm-fs-a30ss</v>
          </cell>
          <cell r="B36" t="str">
            <v>中国・四国</v>
          </cell>
        </row>
        <row r="37">
          <cell r="A37" t="str">
            <v>w34mm-fs-a31ss</v>
          </cell>
          <cell r="B37" t="str">
            <v>中国・四国</v>
          </cell>
        </row>
        <row r="38">
          <cell r="A38" t="str">
            <v>w34nh-fs-040ss</v>
          </cell>
          <cell r="B38" t="str">
            <v>中国・四国</v>
          </cell>
        </row>
        <row r="39">
          <cell r="A39" t="str">
            <v>w40ht-fs-040ss</v>
          </cell>
          <cell r="B39" t="str">
            <v>九州</v>
          </cell>
        </row>
        <row r="40">
          <cell r="A40" t="str">
            <v>w40ht-fs-041ss</v>
          </cell>
          <cell r="B40" t="str">
            <v>九州</v>
          </cell>
        </row>
        <row r="41">
          <cell r="A41" t="str">
            <v>w40tj-fs-010is</v>
          </cell>
          <cell r="B41" t="str">
            <v>九州</v>
          </cell>
        </row>
        <row r="42">
          <cell r="A42" t="str">
            <v>w40tj-fs-011ss</v>
          </cell>
          <cell r="B42" t="str">
            <v>九州</v>
          </cell>
        </row>
        <row r="43">
          <cell r="A43" t="str">
            <v>w40tj-fs-012ss</v>
          </cell>
          <cell r="B43" t="str">
            <v>九州</v>
          </cell>
        </row>
        <row r="44">
          <cell r="A44" t="str">
            <v>w40tj-fs-a20is</v>
          </cell>
          <cell r="B44" t="str">
            <v>九州</v>
          </cell>
        </row>
        <row r="45">
          <cell r="A45" t="str">
            <v>w40tj-fs-a30ss</v>
          </cell>
          <cell r="B45" t="str">
            <v>九州</v>
          </cell>
        </row>
        <row r="46">
          <cell r="A46" t="str">
            <v>w40tj-fs-a31ss</v>
          </cell>
          <cell r="B46" t="str">
            <v>九州</v>
          </cell>
        </row>
      </sheetData>
      <sheetData sheetId="9"/>
      <sheetData sheetId="10"/>
      <sheetData sheetId="11"/>
      <sheetData sheetId="12"/>
      <sheetData sheetId="13"/>
      <sheetData sheetId="14"/>
      <sheetData sheetId="15"/>
      <sheetData sheetId="16"/>
      <sheetData sheetId="1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工事情報入力シート_FS"/>
      <sheetName val="command"/>
      <sheetName val="application"/>
      <sheetName val="ユニット構成"/>
      <sheetName val="GUI"/>
      <sheetName val="FS"/>
      <sheetName val="HFS"/>
      <sheetName val="HSS"/>
      <sheetName val="MSW"/>
      <sheetName val="RAID"/>
      <sheetName val="SBC"/>
      <sheetName val="SCCE"/>
    </sheetNames>
    <sheetDataSet>
      <sheetData sheetId="0">
        <row r="4">
          <cell r="B4" t="str">
            <v>関西1</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工事情報入力シート_FS"/>
      <sheetName val="プロンプト"/>
      <sheetName val="TEST_SAMPLE_1_CS"/>
      <sheetName val="TEST_SAMPLE_2_CS"/>
      <sheetName val="Log"/>
      <sheetName val="command_template"/>
    </sheetNames>
    <sheetDataSet>
      <sheetData sheetId="0">
        <row r="4">
          <cell r="B4" t="str">
            <v>中国・四国</v>
          </cell>
        </row>
      </sheetData>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工事情報入力シート_FS"/>
      <sheetName val="01_疎通確認_CS"/>
      <sheetName val="02_EMS(FS)(汎用IA サーバ)の増設_CS"/>
      <sheetName val="03_インストール前作業_CS"/>
      <sheetName val="アラームリスト"/>
      <sheetName val="手順書パーツ"/>
      <sheetName val="ユニット構成"/>
      <sheetName val="SCCE"/>
      <sheetName val="SBC"/>
      <sheetName val="RAID"/>
      <sheetName val="MSW"/>
      <sheetName val="HSS"/>
      <sheetName val="HFS"/>
      <sheetName val="GUI"/>
      <sheetName val="FS"/>
      <sheetName val="プロンプト"/>
      <sheetName val="Log"/>
      <sheetName val="command_template"/>
      <sheetName val="application"/>
      <sheetName val="【test】02_インストール前作業_作業CS_2025120"/>
    </sheetNames>
    <definedNames>
      <definedName name="runCdCreator"/>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9" connectionId="9" xr16:uid="{4D8C9648-BB06-4CCF-A209-7783225F9387}" autoFormatId="20" applyNumberFormats="0" applyBorderFormats="0" applyFontFormats="0" applyPatternFormats="0" applyAlignmentFormats="0" applyWidthHeightFormats="0">
  <queryTableRefresh nextId="61">
    <queryTableFields count="60">
      <queryTableField id="1" name="FSクラスタ名" tableColumnId="1"/>
      <queryTableField id="2" name="ブロック" tableColumnId="2"/>
      <queryTableField id="3" name="装置設置府県" tableColumnId="3"/>
      <queryTableField id="4" name="装置設置ビル" tableColumnId="4"/>
      <queryTableField id="5" name="F更BU_ビル名" tableColumnId="5"/>
      <queryTableField id="6" name="F更BU_ビルコード" tableColumnId="6"/>
      <queryTableField id="7" name="GUI_0系" tableColumnId="7"/>
      <queryTableField id="8" name="GUI_1系" tableColumnId="8"/>
      <queryTableField id="9" name="MSW_0系" tableColumnId="9"/>
      <queryTableField id="10" name="MSW_1系" tableColumnId="10"/>
      <queryTableField id="11" name="RAID_0系" tableColumnId="11"/>
      <queryTableField id="12" name="RAID_1系" tableColumnId="12"/>
      <queryTableField id="13" name="FS_0系" tableColumnId="13"/>
      <queryTableField id="14" name="FS_1系" tableColumnId="14"/>
      <queryTableField id="15" name="HFS_0系" tableColumnId="15"/>
      <queryTableField id="16" name="HFS_1系" tableColumnId="16"/>
      <queryTableField id="17" name="SBC_CL1_0系" tableColumnId="17"/>
      <queryTableField id="18" name="SBC_CL1_1系" tableColumnId="18"/>
      <queryTableField id="19" name="SBC_CL2_0系" tableColumnId="19"/>
      <queryTableField id="20" name="SBC_CL2_1系" tableColumnId="20"/>
      <queryTableField id="21" name="SBC_CL3_0系" tableColumnId="21"/>
      <queryTableField id="22" name="SBC_CL3_1系" tableColumnId="22"/>
      <queryTableField id="23" name="SBC_CL4_0系" tableColumnId="23"/>
      <queryTableField id="24" name="SBC_CL4_1系" tableColumnId="24"/>
      <queryTableField id="25" name="SBC_CL5_0系" tableColumnId="25"/>
      <queryTableField id="26" name="SBC_CL5_1系" tableColumnId="26"/>
      <queryTableField id="27" name="SBC_CL6_0系" tableColumnId="27"/>
      <queryTableField id="28" name="SBC_CL6_1系" tableColumnId="28"/>
      <queryTableField id="29" name="HSS_CL1_0系" tableColumnId="29"/>
      <queryTableField id="30" name="HSS_CL1_1系" tableColumnId="30"/>
      <queryTableField id="31" name="HSS_CL2_0系" tableColumnId="31"/>
      <queryTableField id="32" name="HSS_CL2_1系" tableColumnId="32"/>
      <queryTableField id="33" name="HSS_CL3_0系" tableColumnId="33"/>
      <queryTableField id="34" name="HSS_CL3_1系" tableColumnId="34"/>
      <queryTableField id="35" name="HSS_CL4_0系" tableColumnId="35"/>
      <queryTableField id="36" name="HSS_CL4_1系" tableColumnId="36"/>
      <queryTableField id="37" name="HSS_CL5_0系" tableColumnId="37"/>
      <queryTableField id="38" name="HSS_CL5_1系" tableColumnId="38"/>
      <queryTableField id="39" name="HSS_CL6_0系" tableColumnId="39"/>
      <queryTableField id="40" name="HSS_CL6_1系" tableColumnId="40"/>
      <queryTableField id="41" name="SCCE#1" tableColumnId="41"/>
      <queryTableField id="42" name="SCCE#2" tableColumnId="42"/>
      <queryTableField id="43" name="代表EMS_0系" tableColumnId="43"/>
      <queryTableField id="44" name="代表EMS_1系" tableColumnId="44"/>
      <queryTableField id="45" name="同GUIの他FS_0系" tableColumnId="45"/>
      <queryTableField id="46" name="同GUIの他FS_1系" tableColumnId="46"/>
      <queryTableField id="47" name="同ブロックの他SSC①_0系" tableColumnId="47"/>
      <queryTableField id="48" name="同ブロックの他SSC①_1系" tableColumnId="48"/>
      <queryTableField id="49" name="同ブロックの他SSC②_0系" tableColumnId="49"/>
      <queryTableField id="50" name="同ブロックの他SSC②_1系" tableColumnId="50"/>
      <queryTableField id="51" name="同ブロックの他SSC③_0系" tableColumnId="51"/>
      <queryTableField id="52" name="同ブロックの他SSC③_1系" tableColumnId="52"/>
      <queryTableField id="53" name="同ブロックのISC自P①_0系" tableColumnId="53"/>
      <queryTableField id="54" name="同ブロックのISC自P①_1系" tableColumnId="54"/>
      <queryTableField id="55" name="同ブロックのISC自P②_0系" tableColumnId="55"/>
      <queryTableField id="56" name="同ブロックのISC自P②_1系" tableColumnId="56"/>
      <queryTableField id="57" name="同ブロックのISC他①_0系" tableColumnId="57"/>
      <queryTableField id="58" name="同ブロックのISC他①_1系" tableColumnId="58"/>
      <queryTableField id="59" name="同ブロックのISC他②_0系" tableColumnId="59"/>
      <queryTableField id="60" name="同ブロックのISC他②_1系" tableColumnId="6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8" connectionId="8" xr16:uid="{617F06DB-A436-4A91-B39B-D1470879A394}" autoFormatId="20" applyNumberFormats="0" applyBorderFormats="0" applyFontFormats="0" applyPatternFormats="0" applyAlignmentFormats="0" applyWidthHeightFormats="0">
  <queryTableRefresh nextId="24">
    <queryTableFields count="17">
      <queryTableField id="1" name="ホスト名" tableColumnId="1"/>
      <queryTableField id="2" name="保守・装置監視用" tableColumnId="2"/>
      <queryTableField id="3" name="TTS-Host" tableColumnId="3"/>
      <queryTableField id="4" name="TTS-IP" tableColumnId="4"/>
      <queryTableField id="6" name="TTS-Port" tableColumnId="6"/>
      <queryTableField id="7" name="VLAN「TGEX/0/4」" tableColumnId="7"/>
      <queryTableField id="13" name="VLAN「TGEX/0/6」" tableColumnId="5"/>
      <queryTableField id="8" name="VLAN「TGEX/0/11」" tableColumnId="8"/>
      <queryTableField id="14" name="VLAN「TGEX/0/13」" tableColumnId="13"/>
      <queryTableField id="9" name="VLAN「TGEX/0/18」" tableColumnId="9"/>
      <queryTableField id="15" name="VLAN「TGEX/0/20」" tableColumnId="14"/>
      <queryTableField id="10" name="untagVLAN「TGEX/0/4」" tableColumnId="10"/>
      <queryTableField id="16" name="untagVLAN「TGEX/0/6」" tableColumnId="15"/>
      <queryTableField id="11" name="untagVLAN「TGEX/0/11」" tableColumnId="11"/>
      <queryTableField id="17" name="untagVLAN「TGEX/0/13」" tableColumnId="16"/>
      <queryTableField id="12" name="untagVLAN「TGEX/0/18」" tableColumnId="12"/>
      <queryTableField id="18" name="untagVLAN「TGEX/0/2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7" connectionId="7" xr16:uid="{B7E98D52-E4B0-4261-A9E3-0C3554081D38}" autoFormatId="20" applyNumberFormats="0" applyBorderFormats="0" applyFontFormats="0" applyPatternFormats="0" applyAlignmentFormats="0" applyWidthHeightFormats="0">
  <queryTableRefresh nextId="32">
    <queryTableFields count="31">
      <queryTableField id="1" name="ホスト名" tableColumnId="1"/>
      <queryTableField id="2" name="eth0" tableColumnId="2"/>
      <queryTableField id="3" name="eth1" tableColumnId="3"/>
      <queryTableField id="4" name="eth2" tableColumnId="4"/>
      <queryTableField id="5" name="eth3" tableColumnId="5"/>
      <queryTableField id="6" name="呼処理用フローティングIPアドレス" tableColumnId="6"/>
      <queryTableField id="7" name="呼処理用フローティングIPアドレス（ｖ６）" tableColumnId="7"/>
      <queryTableField id="8" name="SIGTRAN1IPアドレス" tableColumnId="8"/>
      <queryTableField id="9" name="SIGTRAN2IPアドレス" tableColumnId="9"/>
      <queryTableField id="10" name="コマンド用フローティングIPアドレス" tableColumnId="10"/>
      <queryTableField id="11" name="保守アラーム用LANフローティングIPアドレス" tableColumnId="11"/>
      <queryTableField id="12" name="リモートシェルコマンド用フローティングIPアドレス" tableColumnId="12"/>
      <queryTableField id="13" name="NTP向けフローティングIPアドレス" tableColumnId="13"/>
      <queryTableField id="14" name="住所情報装置向けフローティングIPアドレス" tableColumnId="14"/>
      <queryTableField id="15" name="運用データ転送用フローティングIPアドレス" tableColumnId="15"/>
      <queryTableField id="16" name="CL_ID" tableColumnId="16"/>
      <queryTableField id="17" name="CA_ID" tableColumnId="17"/>
      <queryTableField id="18" name="ソフト種別" tableColumnId="18"/>
      <queryTableField id="19" name="冗長ルート切替試験用ポート(ens1f0用)" tableColumnId="19"/>
      <queryTableField id="20" name="冗長ルート切替試験用ポート(ens4f0用)" tableColumnId="20"/>
      <queryTableField id="21" name="冗長ルート切替試験用ポート(ens1f1用)" tableColumnId="21"/>
      <queryTableField id="22" name="冗長ルート切替試験用ポート(ens4f1用)" tableColumnId="22"/>
      <queryTableField id="23" name="冗長ルート切替試験用ポート(eno5用)" tableColumnId="23"/>
      <queryTableField id="24" name="冗長ルート切替試験用ポート(ens2f0用)" tableColumnId="24"/>
      <queryTableField id="25" name="ノードID" tableColumnId="25"/>
      <queryTableField id="26" name="SIP-ID" tableColumnId="26"/>
      <queryTableField id="27" name="AR-ID" tableColumnId="27"/>
      <queryTableField id="28" name="住所情報サーバID" tableColumnId="28"/>
      <queryTableField id="29" name="ISCエリアID" tableColumnId="29"/>
      <queryTableField id="30" name="収容府県" tableColumnId="30"/>
      <queryTableField id="31" name="直収端末番号" tableColumnId="3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6" connectionId="6" xr16:uid="{98EEE8A8-7BFE-4FAE-B9A4-846510936D90}" autoFormatId="20" applyNumberFormats="0" applyBorderFormats="0" applyFontFormats="0" applyPatternFormats="0" applyAlignmentFormats="0" applyWidthHeightFormats="0">
  <queryTableRefresh nextId="7">
    <queryTableFields count="6">
      <queryTableField id="1" name="ホスト名" tableColumnId="1"/>
      <queryTableField id="2" name="保守・装置監視用" tableColumnId="2"/>
      <queryTableField id="3" name="MSW収容ポート番号" tableColumnId="3"/>
      <queryTableField id="4" name="TTS-Host" tableColumnId="4"/>
      <queryTableField id="5" name="TTS-IP" tableColumnId="5"/>
      <queryTableField id="6" name="TTS-Por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E5B5830A-ABA9-4C9E-9BFB-DBA7B99C5E8B}" autoFormatId="20" applyNumberFormats="0" applyBorderFormats="0" applyFontFormats="0" applyPatternFormats="0" applyAlignmentFormats="0" applyWidthHeightFormats="0">
  <queryTableRefresh nextId="6">
    <queryTableFields count="5">
      <queryTableField id="1" name="ホスト名" tableColumnId="1"/>
      <queryTableField id="2" name="保守・装置監視用" tableColumnId="2"/>
      <queryTableField id="3" name="TTS-Host" tableColumnId="3"/>
      <queryTableField id="4" name="TTS-IP" tableColumnId="4"/>
      <queryTableField id="5" name="TTS-Port"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4" xr16:uid="{D6C5DCC3-BB36-4BA0-BDF7-89231439E388}" autoFormatId="20" applyNumberFormats="0" applyBorderFormats="0" applyFontFormats="0" applyPatternFormats="0" applyAlignmentFormats="0" applyWidthHeightFormats="0">
  <queryTableRefresh nextId="12">
    <queryTableFields count="11">
      <queryTableField id="1" name="ホスト名" tableColumnId="1"/>
      <queryTableField id="2" name="装置監視用 IPアドレス" tableColumnId="2"/>
      <queryTableField id="3" name="コマンド投入用 IPアドレス" tableColumnId="3"/>
      <queryTableField id="4" name="NTP向け IPアドレス" tableColumnId="4"/>
      <queryTableField id="5" name="アラーム送信用 IPアドレス" tableColumnId="5"/>
      <queryTableField id="6" name="ホスト-ゲスト用 IPアドレス" tableColumnId="6"/>
      <queryTableField id="7" name="iLO用 IPアドレス" tableColumnId="7"/>
      <queryTableField id="8" name="iLO用DGW" tableColumnId="8"/>
      <queryTableField id="9" name="TTS-Host" tableColumnId="9"/>
      <queryTableField id="10" name="TTS-IP" tableColumnId="10"/>
      <queryTableField id="11" name="TTS-Port" tableColumnId="1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3" xr16:uid="{8AABEDE0-586D-415B-BB78-4A80C8D832A9}" autoFormatId="20" applyNumberFormats="0" applyBorderFormats="0" applyFontFormats="0" applyPatternFormats="0" applyAlignmentFormats="0" applyWidthHeightFormats="0">
  <queryTableRefresh nextId="11">
    <queryTableFields count="10">
      <queryTableField id="1" name="ホスト名" tableColumnId="1"/>
      <queryTableField id="2" name="装置監視用 IPアドレス" tableColumnId="2"/>
      <queryTableField id="3" name="コマンド投入用 IPアドレス" tableColumnId="3"/>
      <queryTableField id="4" name="NTP向け IPアドレス" tableColumnId="4"/>
      <queryTableField id="5" name="アラーム送信用 IPアドレス" tableColumnId="5"/>
      <queryTableField id="6" name="ホスト-ゲスト用 IPアドレス" tableColumnId="6"/>
      <queryTableField id="7" name="iLO用 IPアドレス" tableColumnId="7"/>
      <queryTableField id="8" name="TTS-Host" tableColumnId="8"/>
      <queryTableField id="9" name="TTS-IP" tableColumnId="9"/>
      <queryTableField id="10" name="TTS-Port"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2" xr16:uid="{B37D075C-A19B-448B-B99E-B0EB5E611899}" autoFormatId="20" applyNumberFormats="0" applyBorderFormats="0" applyFontFormats="0" applyPatternFormats="0" applyAlignmentFormats="0" applyWidthHeightFormats="0">
  <queryTableRefresh nextId="13">
    <queryTableFields count="12">
      <queryTableField id="1" name="ホスト名" tableColumnId="1"/>
      <queryTableField id="2" name="EMSコマンド用IPアドレス" tableColumnId="2"/>
      <queryTableField id="3" name="EMSアラーム用IPアドレス" tableColumnId="3"/>
      <queryTableField id="4" name="APL付与のフローティングIPアドレス" tableColumnId="4"/>
      <queryTableField id="5" name="iLO用" tableColumnId="5"/>
      <queryTableField id="6" name="収容形態" tableColumnId="6"/>
      <queryTableField id="7" name="BCR02のIPアドレス(ループバックIPアドレス)" tableColumnId="7"/>
      <queryTableField id="8" name="TTS-Host" tableColumnId="8"/>
      <queryTableField id="9" name="TTS-IP" tableColumnId="9"/>
      <queryTableField id="10" name="TTS-Port" tableColumnId="10"/>
      <queryTableField id="11" name="AGENT_NO" tableColumnId="11"/>
      <queryTableField id="12" name="WEB_DEVICE_NO" tableColumnId="1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F876E645-8B60-4A72-96A3-D2351E093C39}" autoFormatId="20" applyNumberFormats="0" applyBorderFormats="0" applyFontFormats="0" applyPatternFormats="0" applyAlignmentFormats="0" applyWidthHeightFormats="0">
  <queryTableRefresh nextId="14">
    <queryTableFields count="13">
      <queryTableField id="1" name="ホスト名" tableColumnId="1"/>
      <queryTableField id="2" name="eth2" tableColumnId="2"/>
      <queryTableField id="3" name="eth0" tableColumnId="3"/>
      <queryTableField id="4" name="eth3" tableColumnId="4"/>
      <queryTableField id="5" name="eth1" tableColumnId="5"/>
      <queryTableField id="6" name="保守LANフローティングIPアドレス" tableColumnId="6"/>
      <queryTableField id="7" name="リモートシェルコマンド用フローティングIPアドレス" tableColumnId="7"/>
      <queryTableField id="8" name="コマンド用フローティングIPアドレス" tableColumnId="8"/>
      <queryTableField id="9" name="装置監視A用フローティングIPアドレス" tableColumnId="9"/>
      <queryTableField id="10" name="装置監視B用フローティングIPアドレス" tableColumnId="10"/>
      <queryTableField id="11" name="外部EMS一般コマンド用フローティングIPアドレス" tableColumnId="11"/>
      <queryTableField id="12" name="外部EMSアラーム用フローティングIPアドレス" tableColumnId="12"/>
      <queryTableField id="13" name="保守LANフローティングIPアドレス（SBY用）"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64C79F-F487-459D-A08F-8286BC5F8772}" name="ユニット構成" displayName="ユニット構成" ref="A1:BH48" tableType="queryTable" totalsRowShown="0">
  <autoFilter ref="A1:BH48" xr:uid="{9964C79F-F487-459D-A08F-8286BC5F8772}"/>
  <tableColumns count="60">
    <tableColumn id="1" xr3:uid="{4C8002C2-6C90-463C-979B-C9504165BC67}" uniqueName="1" name="FSクラスタ名" queryTableFieldId="1" dataDxfId="186"/>
    <tableColumn id="2" xr3:uid="{045181BA-EF71-463F-AD43-4F3178C5A7E6}" uniqueName="2" name="ブロック" queryTableFieldId="2" dataDxfId="185"/>
    <tableColumn id="3" xr3:uid="{150C0011-FCCA-4F9B-BCF3-45E7F471D311}" uniqueName="3" name="装置設置府県" queryTableFieldId="3" dataDxfId="184"/>
    <tableColumn id="4" xr3:uid="{38ADA5E0-6852-4A79-AEEE-D511609146E5}" uniqueName="4" name="装置設置ビル" queryTableFieldId="4" dataDxfId="183"/>
    <tableColumn id="5" xr3:uid="{B3AE93CB-50DA-407E-8577-3762FDA95CF1}" uniqueName="5" name="F更BU_ビル名" queryTableFieldId="5" dataDxfId="182"/>
    <tableColumn id="6" xr3:uid="{B27DC1A1-AA15-483D-BAE4-F3BF94BACC99}" uniqueName="6" name="F更BU_ビルコード" queryTableFieldId="6" dataDxfId="181"/>
    <tableColumn id="7" xr3:uid="{A6ECE743-13FA-4979-8811-98C7DA661F4D}" uniqueName="7" name="GUI_0系" queryTableFieldId="7" dataDxfId="180"/>
    <tableColumn id="8" xr3:uid="{8EACD62E-8F35-4840-960E-6B7B13B8178C}" uniqueName="8" name="GUI_1系" queryTableFieldId="8" dataDxfId="179"/>
    <tableColumn id="9" xr3:uid="{AC2381B8-1975-439D-B899-1484CC483E64}" uniqueName="9" name="MSW_0系" queryTableFieldId="9" dataDxfId="178"/>
    <tableColumn id="10" xr3:uid="{751091E7-C51F-47A1-B4BE-E5B80CBD8379}" uniqueName="10" name="MSW_1系" queryTableFieldId="10" dataDxfId="177"/>
    <tableColumn id="11" xr3:uid="{F31A9155-122E-4A43-ADC2-075F9DEA575D}" uniqueName="11" name="RAID_0系" queryTableFieldId="11" dataDxfId="176"/>
    <tableColumn id="12" xr3:uid="{4F213D62-CB52-4EF9-B5F5-9861B4BC5BCB}" uniqueName="12" name="RAID_1系" queryTableFieldId="12" dataDxfId="175"/>
    <tableColumn id="13" xr3:uid="{4C2E4DA3-6AA6-4486-BFEC-9FEAD7A697F9}" uniqueName="13" name="FS_0系" queryTableFieldId="13" dataDxfId="174"/>
    <tableColumn id="14" xr3:uid="{6BEF299E-F5FD-436A-A60E-647A1FB61525}" uniqueName="14" name="FS_1系" queryTableFieldId="14" dataDxfId="173"/>
    <tableColumn id="15" xr3:uid="{08942B32-C734-4266-84DE-048B3C4D70CE}" uniqueName="15" name="HFS_0系" queryTableFieldId="15" dataDxfId="172"/>
    <tableColumn id="16" xr3:uid="{4B37721C-E60A-4A68-8E91-6C680E1E680C}" uniqueName="16" name="HFS_1系" queryTableFieldId="16" dataDxfId="171"/>
    <tableColumn id="17" xr3:uid="{9D6DE419-8295-42F0-9328-FB96B52F6409}" uniqueName="17" name="SBC_CL1_0系" queryTableFieldId="17" dataDxfId="170"/>
    <tableColumn id="18" xr3:uid="{BB85EF1F-E66F-476A-B13A-4D9783AD90EA}" uniqueName="18" name="SBC_CL1_1系" queryTableFieldId="18" dataDxfId="169"/>
    <tableColumn id="19" xr3:uid="{CEB76DFB-7EB9-4D8E-AF3F-DEF1D32E42CD}" uniqueName="19" name="SBC_CL2_0系" queryTableFieldId="19" dataDxfId="168"/>
    <tableColumn id="20" xr3:uid="{C6B4EF53-E1CE-4703-AAF2-A2DDCEB00820}" uniqueName="20" name="SBC_CL2_1系" queryTableFieldId="20" dataDxfId="167"/>
    <tableColumn id="21" xr3:uid="{831D2AB0-C8BD-4A4F-AD75-50E98F3205A4}" uniqueName="21" name="SBC_CL3_0系" queryTableFieldId="21" dataDxfId="166"/>
    <tableColumn id="22" xr3:uid="{F134B06E-4EC7-426D-872D-F937D241A096}" uniqueName="22" name="SBC_CL3_1系" queryTableFieldId="22" dataDxfId="165"/>
    <tableColumn id="23" xr3:uid="{E00BA2B4-3F24-442C-A895-6330A6AECE2D}" uniqueName="23" name="SBC_CL4_0系" queryTableFieldId="23" dataDxfId="164"/>
    <tableColumn id="24" xr3:uid="{476465D3-87E3-4D06-BBF3-46F4DACE0006}" uniqueName="24" name="SBC_CL4_1系" queryTableFieldId="24" dataDxfId="163"/>
    <tableColumn id="25" xr3:uid="{B628D1F2-D472-4066-B3B0-54C6DBB0D1DD}" uniqueName="25" name="SBC_CL5_0系" queryTableFieldId="25" dataDxfId="162"/>
    <tableColumn id="26" xr3:uid="{B242A98E-1547-4553-80A5-4FC357E71F72}" uniqueName="26" name="SBC_CL5_1系" queryTableFieldId="26" dataDxfId="161"/>
    <tableColumn id="27" xr3:uid="{1545775B-3000-427C-B7AE-2110A177E387}" uniqueName="27" name="SBC_CL6_0系" queryTableFieldId="27" dataDxfId="160"/>
    <tableColumn id="28" xr3:uid="{67858147-17D3-4343-A74D-2E5A50F209F4}" uniqueName="28" name="SBC_CL6_1系" queryTableFieldId="28" dataDxfId="159"/>
    <tableColumn id="29" xr3:uid="{6E7190E0-96E3-4C13-8374-67FD2DF28432}" uniqueName="29" name="HSS_CL1_0系" queryTableFieldId="29" dataDxfId="158"/>
    <tableColumn id="30" xr3:uid="{A13485C2-147E-49B3-832D-5E6110553175}" uniqueName="30" name="HSS_CL1_1系" queryTableFieldId="30" dataDxfId="157"/>
    <tableColumn id="31" xr3:uid="{407A661C-D53D-440F-8DF0-9ECB94AFF069}" uniqueName="31" name="HSS_CL2_0系" queryTableFieldId="31" dataDxfId="156"/>
    <tableColumn id="32" xr3:uid="{1F7A5C2E-29F6-4C05-BAE7-9FB50D713339}" uniqueName="32" name="HSS_CL2_1系" queryTableFieldId="32" dataDxfId="155"/>
    <tableColumn id="33" xr3:uid="{927336ED-B194-4FF1-AF32-B395938092EB}" uniqueName="33" name="HSS_CL3_0系" queryTableFieldId="33" dataDxfId="154"/>
    <tableColumn id="34" xr3:uid="{7B020948-3372-4D8E-A09C-99D430D3C3D1}" uniqueName="34" name="HSS_CL3_1系" queryTableFieldId="34" dataDxfId="153"/>
    <tableColumn id="35" xr3:uid="{DC56A736-1F1B-46F0-8273-99DC8A33F280}" uniqueName="35" name="HSS_CL4_0系" queryTableFieldId="35" dataDxfId="152"/>
    <tableColumn id="36" xr3:uid="{635AEDFD-47A8-45EF-8EF8-F642E3CB6785}" uniqueName="36" name="HSS_CL4_1系" queryTableFieldId="36" dataDxfId="151"/>
    <tableColumn id="37" xr3:uid="{9DD700F6-786C-4F32-B6BF-0F692CB99D5B}" uniqueName="37" name="HSS_CL5_0系" queryTableFieldId="37" dataDxfId="150"/>
    <tableColumn id="38" xr3:uid="{D2841CEA-B9C0-4D11-B3B7-AA7347F97A05}" uniqueName="38" name="HSS_CL5_1系" queryTableFieldId="38" dataDxfId="149"/>
    <tableColumn id="39" xr3:uid="{21766418-3E4E-463A-A1D5-E565AE476FFD}" uniqueName="39" name="HSS_CL6_0系" queryTableFieldId="39" dataDxfId="148"/>
    <tableColumn id="40" xr3:uid="{EFFEA04E-D2A4-478C-B20F-33B90868DB7E}" uniqueName="40" name="HSS_CL6_1系" queryTableFieldId="40" dataDxfId="147"/>
    <tableColumn id="41" xr3:uid="{9F500D39-DA98-4E97-8CCF-0D0FC848B2BE}" uniqueName="41" name="SCCE#1" queryTableFieldId="41" dataDxfId="146"/>
    <tableColumn id="42" xr3:uid="{1F822E35-B2D6-4874-8EE7-FB452755CD4F}" uniqueName="42" name="SCCE#2" queryTableFieldId="42" dataDxfId="145"/>
    <tableColumn id="43" xr3:uid="{39C9F329-B860-458D-B2A2-2495854230F6}" uniqueName="43" name="代表EMS_0系" queryTableFieldId="43" dataDxfId="144"/>
    <tableColumn id="44" xr3:uid="{308E21F0-A05A-4B9D-BCDD-FF8A48CB0530}" uniqueName="44" name="代表EMS_1系" queryTableFieldId="44" dataDxfId="143"/>
    <tableColumn id="45" xr3:uid="{29DEED1D-BF1A-4B80-8517-534F9C184319}" uniqueName="45" name="同GUIの他FS_0系" queryTableFieldId="45" dataDxfId="142"/>
    <tableColumn id="46" xr3:uid="{7756DAA3-B722-4C5B-A823-4263219BA807}" uniqueName="46" name="同GUIの他FS_1系" queryTableFieldId="46" dataDxfId="141"/>
    <tableColumn id="47" xr3:uid="{0DE82B78-E3F6-4EE9-B4C0-E2692F85C229}" uniqueName="47" name="同ブロックの他SSC①_0系" queryTableFieldId="47" dataDxfId="140"/>
    <tableColumn id="48" xr3:uid="{4494C3CE-DF0D-4C10-B9ED-7D246B4F3071}" uniqueName="48" name="同ブロックの他SSC①_1系" queryTableFieldId="48" dataDxfId="139"/>
    <tableColumn id="49" xr3:uid="{8AE3F1EF-9462-4FBE-A1CB-803A9DCCA98C}" uniqueName="49" name="同ブロックの他SSC②_0系" queryTableFieldId="49" dataDxfId="138"/>
    <tableColumn id="50" xr3:uid="{39D81F87-D324-429E-83F8-CF1A9EA6A3E3}" uniqueName="50" name="同ブロックの他SSC②_1系" queryTableFieldId="50" dataDxfId="137"/>
    <tableColumn id="51" xr3:uid="{A90B4F53-604C-4B7B-8706-B3A89053D719}" uniqueName="51" name="同ブロックの他SSC③_0系" queryTableFieldId="51" dataDxfId="136"/>
    <tableColumn id="52" xr3:uid="{A5CC65CB-5F51-4088-80E9-5B39DC4240C4}" uniqueName="52" name="同ブロックの他SSC③_1系" queryTableFieldId="52" dataDxfId="135"/>
    <tableColumn id="53" xr3:uid="{AA799611-0FFD-4416-A562-88AA401A1F0E}" uniqueName="53" name="同ブロックのISC自P①_0系" queryTableFieldId="53" dataDxfId="134"/>
    <tableColumn id="54" xr3:uid="{03430745-C7EC-4198-971C-B19FBD5B6AE7}" uniqueName="54" name="同ブロックのISC自P①_1系" queryTableFieldId="54" dataDxfId="133"/>
    <tableColumn id="55" xr3:uid="{3B71D982-EFB9-457D-B594-9F2CCD5779A7}" uniqueName="55" name="同ブロックのISC自P②_0系" queryTableFieldId="55" dataDxfId="132"/>
    <tableColumn id="56" xr3:uid="{EA3B17F2-B60F-488A-935C-E17CB57BADDF}" uniqueName="56" name="同ブロックのISC自P②_1系" queryTableFieldId="56" dataDxfId="131"/>
    <tableColumn id="57" xr3:uid="{E7E3AD4D-0530-4B6A-97C0-3E08EB4A9A9D}" uniqueName="57" name="同ブロックのISC他①_0系" queryTableFieldId="57" dataDxfId="130"/>
    <tableColumn id="58" xr3:uid="{448C9470-A612-4083-A934-77A2BB0A583A}" uniqueName="58" name="同ブロックのISC他①_1系" queryTableFieldId="58" dataDxfId="129"/>
    <tableColumn id="59" xr3:uid="{D36C0307-DEC9-440D-8D0A-2AB17274DDFF}" uniqueName="59" name="同ブロックのISC他②_0系" queryTableFieldId="59" dataDxfId="128"/>
    <tableColumn id="60" xr3:uid="{2AAF2A26-44B3-4A53-88DD-EE77D2533FB7}" uniqueName="60" name="同ブロックのISC他②_1系" queryTableFieldId="60" dataDxfId="12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699B29D-7888-4E07-9A2C-34F3F188BBB3}" name="SCCE" displayName="SCCE" ref="A1:Q26" tableType="queryTable" totalsRowShown="0">
  <autoFilter ref="A1:Q26" xr:uid="{B699B29D-7888-4E07-9A2C-34F3F188BBB3}"/>
  <tableColumns count="17">
    <tableColumn id="1" xr3:uid="{AF9A7B87-3DF7-42A5-8F6E-91B2AA713F5F}" uniqueName="1" name="ホスト名" queryTableFieldId="1" dataDxfId="126"/>
    <tableColumn id="2" xr3:uid="{BAD268B7-F61B-4CF1-9D47-AAE073E4044C}" uniqueName="2" name="保守・装置監視用" queryTableFieldId="2" dataDxfId="125"/>
    <tableColumn id="3" xr3:uid="{436568CA-AC9C-46B1-B4E1-E36C0450119E}" uniqueName="3" name="TTS-Host" queryTableFieldId="3" dataDxfId="124"/>
    <tableColumn id="4" xr3:uid="{8AAADD05-D9A2-4322-8B3E-D25472AB6A7E}" uniqueName="4" name="TTS-IP" queryTableFieldId="4" dataDxfId="123"/>
    <tableColumn id="6" xr3:uid="{1BA63906-9143-45AF-A5E1-CAAF99750BA5}" uniqueName="6" name="TTS-Port" queryTableFieldId="6" dataDxfId="122"/>
    <tableColumn id="7" xr3:uid="{D99C465E-73A7-492F-AE3D-7E40ACD069F8}" uniqueName="7" name="VLAN「TGEX/0/4」" queryTableFieldId="7" dataDxfId="121"/>
    <tableColumn id="5" xr3:uid="{BC950A1C-109A-4DF9-837E-6E3F7B42EE49}" uniqueName="5" name="VLAN「TGEX/0/6」" queryTableFieldId="13" dataDxfId="120"/>
    <tableColumn id="8" xr3:uid="{DC70B30D-2A8F-42ED-82CA-EDF0F51FD416}" uniqueName="8" name="VLAN「TGEX/0/11」" queryTableFieldId="8" dataDxfId="119"/>
    <tableColumn id="13" xr3:uid="{FDEA80D5-52F0-4077-8596-73A832FDC3A7}" uniqueName="13" name="VLAN「TGEX/0/13」" queryTableFieldId="14" dataDxfId="118"/>
    <tableColumn id="9" xr3:uid="{B631F8CB-2C90-463D-B1AA-041952ACB164}" uniqueName="9" name="VLAN「TGEX/0/18」" queryTableFieldId="9" dataDxfId="117"/>
    <tableColumn id="14" xr3:uid="{5C349EF5-F894-4F62-A2A6-5BF6D40DD1CA}" uniqueName="14" name="VLAN「TGEX/0/20」" queryTableFieldId="15" dataDxfId="116"/>
    <tableColumn id="10" xr3:uid="{815AA2CE-EFB1-486D-AB67-3E0FC09253D7}" uniqueName="10" name="untagVLAN「TGEX/0/4」" queryTableFieldId="10" dataDxfId="115"/>
    <tableColumn id="15" xr3:uid="{1DCDCB49-1A20-4DF8-A116-6FA9A0C5AC34}" uniqueName="15" name="untagVLAN「TGEX/0/6」" queryTableFieldId="16" dataDxfId="114"/>
    <tableColumn id="11" xr3:uid="{DCADAE40-816D-4E7B-AEED-243F5330F8F3}" uniqueName="11" name="untagVLAN「TGEX/0/11」" queryTableFieldId="11" dataDxfId="113"/>
    <tableColumn id="16" xr3:uid="{4ADD89BC-40C0-4CDB-B22D-986A99D8108B}" uniqueName="16" name="untagVLAN「TGEX/0/13」" queryTableFieldId="17" dataDxfId="112"/>
    <tableColumn id="12" xr3:uid="{CBEEF65B-4047-4B9B-9588-9E9AE857F087}" uniqueName="12" name="untagVLAN「TGEX/0/18」" queryTableFieldId="12" dataDxfId="111"/>
    <tableColumn id="17" xr3:uid="{ACFC6B2B-631A-462A-A0ED-039088BF7A80}" uniqueName="17" name="untagVLAN「TGEX/0/20」" queryTableFieldId="18" dataDxfId="1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D74AE74-4CB9-41C1-92E0-FC501BB1F961}" name="SBC" displayName="SBC" ref="A1:AE362" tableType="queryTable" totalsRowShown="0">
  <autoFilter ref="A1:AE362" xr:uid="{1D74AE74-4CB9-41C1-92E0-FC501BB1F961}"/>
  <tableColumns count="31">
    <tableColumn id="1" xr3:uid="{947D439F-2396-4C3E-BE35-32DE731B0B7A}" uniqueName="1" name="ホスト名" queryTableFieldId="1" dataDxfId="109"/>
    <tableColumn id="2" xr3:uid="{8FDD55FA-555F-4ADC-94E4-DEF3E165ADE0}" uniqueName="2" name="eth0" queryTableFieldId="2" dataDxfId="108"/>
    <tableColumn id="3" xr3:uid="{93A63069-3749-4F3B-B433-BAB4820F0E3F}" uniqueName="3" name="eth1" queryTableFieldId="3" dataDxfId="107"/>
    <tableColumn id="4" xr3:uid="{1A80A2DB-618E-434C-95FB-5AECF56D19C1}" uniqueName="4" name="eth2" queryTableFieldId="4" dataDxfId="106"/>
    <tableColumn id="5" xr3:uid="{1EB30AEA-4788-4E40-94EA-D7BF6B9F58D9}" uniqueName="5" name="eth3" queryTableFieldId="5" dataDxfId="105"/>
    <tableColumn id="6" xr3:uid="{FC1EF92E-9107-4F10-9D85-D088B62E97B4}" uniqueName="6" name="呼処理用フローティングIPアドレス" queryTableFieldId="6" dataDxfId="104"/>
    <tableColumn id="7" xr3:uid="{BB5B33F5-7EEB-4DD8-8154-DE70C097ED34}" uniqueName="7" name="呼処理用フローティングIPアドレス（ｖ６）" queryTableFieldId="7" dataDxfId="103"/>
    <tableColumn id="8" xr3:uid="{16A6A6B4-FC1C-40A8-B4EE-E2B6AB04B9D2}" uniqueName="8" name="SIGTRAN1IPアドレス" queryTableFieldId="8" dataDxfId="102"/>
    <tableColumn id="9" xr3:uid="{94DA7C86-ADDD-400C-BE47-8786C09DAE20}" uniqueName="9" name="SIGTRAN2IPアドレス" queryTableFieldId="9" dataDxfId="101"/>
    <tableColumn id="10" xr3:uid="{0824B059-7948-40EE-89B8-E607E9C98B5F}" uniqueName="10" name="コマンド用フローティングIPアドレス" queryTableFieldId="10" dataDxfId="100"/>
    <tableColumn id="11" xr3:uid="{5EF71ABB-B4F6-459C-B077-55BE1646D12D}" uniqueName="11" name="保守アラーム用LANフローティングIPアドレス" queryTableFieldId="11" dataDxfId="99"/>
    <tableColumn id="12" xr3:uid="{07F03410-18AA-4080-8A7A-36CDB97571FC}" uniqueName="12" name="リモートシェルコマンド用フローティングIPアドレス" queryTableFieldId="12" dataDxfId="98"/>
    <tableColumn id="13" xr3:uid="{F431B027-E76F-47C8-A610-BC0A7AEECFFC}" uniqueName="13" name="NTP向けフローティングIPアドレス" queryTableFieldId="13" dataDxfId="97"/>
    <tableColumn id="14" xr3:uid="{18073D1A-7990-4078-A619-4CF2472A37D8}" uniqueName="14" name="住所情報装置向けフローティングIPアドレス" queryTableFieldId="14" dataDxfId="96"/>
    <tableColumn id="15" xr3:uid="{3903FBAF-8F67-4C37-BA99-6F0F27B27520}" uniqueName="15" name="運用データ転送用フローティングIPアドレス" queryTableFieldId="15" dataDxfId="95"/>
    <tableColumn id="16" xr3:uid="{76BDF107-ED7A-4E04-BC3B-5B24718ADD6F}" uniqueName="16" name="CL_ID" queryTableFieldId="16" dataDxfId="94"/>
    <tableColumn id="17" xr3:uid="{D18A24FA-41DD-4264-A32F-167192A4967D}" uniqueName="17" name="CA_ID" queryTableFieldId="17" dataDxfId="93"/>
    <tableColumn id="18" xr3:uid="{3C8119E6-5262-4C51-8E44-CC217DB535FB}" uniqueName="18" name="ソフト種別" queryTableFieldId="18" dataDxfId="92"/>
    <tableColumn id="19" xr3:uid="{CC92B02F-9BCD-47E8-992B-C9EC8F05F424}" uniqueName="19" name="冗長ルート切替試験用ポート(ens1f0用)" queryTableFieldId="19" dataDxfId="91"/>
    <tableColumn id="20" xr3:uid="{67B7C2C4-F715-4C81-A854-D1A3173C0F44}" uniqueName="20" name="冗長ルート切替試験用ポート(ens4f0用)" queryTableFieldId="20" dataDxfId="90"/>
    <tableColumn id="21" xr3:uid="{17DE4FA2-F80B-4D47-A8E3-095E5094ED84}" uniqueName="21" name="冗長ルート切替試験用ポート(ens1f1用)" queryTableFieldId="21" dataDxfId="89"/>
    <tableColumn id="22" xr3:uid="{5F8BEDAA-3BB1-4E58-8DB5-6A536B15E8B9}" uniqueName="22" name="冗長ルート切替試験用ポート(ens4f1用)" queryTableFieldId="22" dataDxfId="88"/>
    <tableColumn id="23" xr3:uid="{55D84A55-4D38-411B-BD81-DD8A1B457DCC}" uniqueName="23" name="冗長ルート切替試験用ポート(eno5用)" queryTableFieldId="23" dataDxfId="87"/>
    <tableColumn id="24" xr3:uid="{ECA6D5D2-5525-48B7-9C2A-00892AAEB139}" uniqueName="24" name="冗長ルート切替試験用ポート(ens2f0用)" queryTableFieldId="24" dataDxfId="86"/>
    <tableColumn id="25" xr3:uid="{CE5D0F62-69C7-419C-82AB-881FC182857D}" uniqueName="25" name="ノードID" queryTableFieldId="25" dataDxfId="85"/>
    <tableColumn id="26" xr3:uid="{7A387509-A69F-4BE3-8B96-0255710B7F1E}" uniqueName="26" name="SIP-ID" queryTableFieldId="26" dataDxfId="84"/>
    <tableColumn id="27" xr3:uid="{E61FF09E-390D-4979-9FF1-146AADF3F78E}" uniqueName="27" name="AR-ID" queryTableFieldId="27" dataDxfId="83"/>
    <tableColumn id="28" xr3:uid="{BEBE9C6F-F04D-4915-B910-1E3B66512F2F}" uniqueName="28" name="住所情報サーバID" queryTableFieldId="28" dataDxfId="82"/>
    <tableColumn id="29" xr3:uid="{F7C80B47-2E49-4863-B01D-4323A2B10C1B}" uniqueName="29" name="ISCエリアID" queryTableFieldId="29" dataDxfId="81"/>
    <tableColumn id="30" xr3:uid="{33E4EB22-2004-4F7E-AA87-1CF3DBFC3ADC}" uniqueName="30" name="収容府県" queryTableFieldId="30" dataDxfId="80"/>
    <tableColumn id="31" xr3:uid="{1DA778DB-303E-4505-A8DC-F2FA2DB4FF44}" uniqueName="31" name="直収端末番号" queryTableFieldId="31" dataDxfId="7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382ED3-E33F-402C-ADA4-7644E622539C}" name="RAID" displayName="RAID" ref="A1:F96" tableType="queryTable" totalsRowShown="0">
  <autoFilter ref="A1:F96" xr:uid="{F1382ED3-E33F-402C-ADA4-7644E622539C}"/>
  <tableColumns count="6">
    <tableColumn id="1" xr3:uid="{813CA2A8-5C02-458B-A51F-8A1C117421D1}" uniqueName="1" name="ホスト名" queryTableFieldId="1" dataDxfId="78"/>
    <tableColumn id="2" xr3:uid="{B5D89762-AEE2-41CF-8D7C-94AB46013586}" uniqueName="2" name="保守・装置監視用" queryTableFieldId="2" dataDxfId="77"/>
    <tableColumn id="3" xr3:uid="{75B3478F-A361-4752-906B-F8A3CD30E282}" uniqueName="3" name="MSW収容ポート番号" queryTableFieldId="3" dataDxfId="76"/>
    <tableColumn id="4" xr3:uid="{9FE9490B-3158-4C46-A558-3FE256566FF1}" uniqueName="4" name="TTS-Host" queryTableFieldId="4" dataDxfId="75"/>
    <tableColumn id="5" xr3:uid="{913D01FD-DCEA-4762-9730-8BAAC1323D6A}" uniqueName="5" name="TTS-IP" queryTableFieldId="5" dataDxfId="74"/>
    <tableColumn id="6" xr3:uid="{43D8CA0D-8670-4F3C-871F-B213C187F05D}" uniqueName="6" name="TTS-Port" queryTableFieldId="6" dataDxfId="7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03D83C8-B183-46C7-B7CD-1F92CEF55197}" name="MSW" displayName="MSW" ref="A1:E60" tableType="queryTable" totalsRowShown="0">
  <autoFilter ref="A1:E60" xr:uid="{E03D83C8-B183-46C7-B7CD-1F92CEF55197}"/>
  <tableColumns count="5">
    <tableColumn id="1" xr3:uid="{B27B2860-7CC1-4892-9A41-B8FC181ECA97}" uniqueName="1" name="ホスト名" queryTableFieldId="1" dataDxfId="72"/>
    <tableColumn id="2" xr3:uid="{DD67ED13-118D-4EF0-AAD2-96E8AB03D742}" uniqueName="2" name="保守・装置監視用" queryTableFieldId="2" dataDxfId="71"/>
    <tableColumn id="3" xr3:uid="{4CD35B42-1226-4B29-9D78-122F444D376B}" uniqueName="3" name="TTS-Host" queryTableFieldId="3" dataDxfId="70"/>
    <tableColumn id="4" xr3:uid="{96CD8303-50B1-4095-9F29-840BBB2AC761}" uniqueName="4" name="TTS-IP" queryTableFieldId="4" dataDxfId="69"/>
    <tableColumn id="5" xr3:uid="{09A70BF6-ADFE-4D67-B574-C77FC57C0E8D}" uniqueName="5" name="TTS-Port" queryTableFieldId="5" dataDxfId="6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6321820-7405-4825-ABFA-1F40F7B8B01D}" name="HSS" displayName="HSS" ref="A1:K122" tableType="queryTable" totalsRowShown="0">
  <autoFilter ref="A1:K122" xr:uid="{36321820-7405-4825-ABFA-1F40F7B8B01D}"/>
  <tableColumns count="11">
    <tableColumn id="1" xr3:uid="{EB619139-0E12-4669-9E85-EDABDBFF5685}" uniqueName="1" name="ホスト名" queryTableFieldId="1" dataDxfId="67"/>
    <tableColumn id="2" xr3:uid="{4199EF11-0E49-4ADB-9039-3F77876B72E8}" uniqueName="2" name="装置監視用 IPアドレス" queryTableFieldId="2" dataDxfId="66"/>
    <tableColumn id="3" xr3:uid="{2437EED3-D20E-4917-8F6F-5B441DD9CDE0}" uniqueName="3" name="コマンド投入用 IPアドレス" queryTableFieldId="3" dataDxfId="65"/>
    <tableColumn id="4" xr3:uid="{AA908D1D-2D7B-47C2-AEF5-CB591528A2AE}" uniqueName="4" name="NTP向け IPアドレス" queryTableFieldId="4" dataDxfId="64"/>
    <tableColumn id="5" xr3:uid="{FA76E2D4-9363-4CE0-A7D5-34E01580535A}" uniqueName="5" name="アラーム送信用 IPアドレス" queryTableFieldId="5" dataDxfId="63"/>
    <tableColumn id="6" xr3:uid="{6FD2CDBC-4D0E-4D60-9138-D96288074E2D}" uniqueName="6" name="ホスト-ゲスト用 IPアドレス" queryTableFieldId="6" dataDxfId="62"/>
    <tableColumn id="7" xr3:uid="{2808EC44-7D3C-47B6-B515-084C34E1DBAE}" uniqueName="7" name="iLO用 IPアドレス" queryTableFieldId="7" dataDxfId="61"/>
    <tableColumn id="8" xr3:uid="{A6D82AB1-D005-4458-8ACF-6B12B7629C9D}" uniqueName="8" name="iLO用DGW" queryTableFieldId="8" dataDxfId="60"/>
    <tableColumn id="9" xr3:uid="{818EBF00-0C24-4D91-B259-8F88F73796B3}" uniqueName="9" name="TTS-Host" queryTableFieldId="9" dataDxfId="59"/>
    <tableColumn id="10" xr3:uid="{CAE2D36A-9C73-4BA5-A2DE-635683A3DF33}" uniqueName="10" name="TTS-IP" queryTableFieldId="10" dataDxfId="58"/>
    <tableColumn id="11" xr3:uid="{B3A9B8F4-4508-4855-990A-16358B5C3D55}" uniqueName="11" name="TTS-Port" queryTableFieldId="11" dataDxfId="5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F08CEBE-6015-476F-AF35-C9CB52CB3550}" name="HFS" displayName="HFS" ref="A1:J24" tableType="queryTable" totalsRowShown="0">
  <autoFilter ref="A1:J24" xr:uid="{CF08CEBE-6015-476F-AF35-C9CB52CB3550}"/>
  <tableColumns count="10">
    <tableColumn id="1" xr3:uid="{13E3EDDB-A4B8-4A61-9E8E-ADC3B5F3D3B5}" uniqueName="1" name="ホスト名" queryTableFieldId="1" dataDxfId="56"/>
    <tableColumn id="2" xr3:uid="{57C4338D-04C2-44F2-B4FF-8F5F4CE3DEE6}" uniqueName="2" name="装置監視用 IPアドレス" queryTableFieldId="2" dataDxfId="55"/>
    <tableColumn id="3" xr3:uid="{BD3007B3-6EEE-4FAF-9F68-D23281E20547}" uniqueName="3" name="コマンド投入用 IPアドレス" queryTableFieldId="3" dataDxfId="54"/>
    <tableColumn id="4" xr3:uid="{1AE30F1B-DEC5-4962-B6E2-3C705BF74380}" uniqueName="4" name="NTP向け IPアドレス" queryTableFieldId="4" dataDxfId="53"/>
    <tableColumn id="5" xr3:uid="{291AE191-0CF7-48FA-A02C-4B017FBDCFBF}" uniqueName="5" name="アラーム送信用 IPアドレス" queryTableFieldId="5" dataDxfId="52"/>
    <tableColumn id="6" xr3:uid="{8B66B5DC-9989-4609-BC0C-0E117A580553}" uniqueName="6" name="ホスト-ゲスト用 IPアドレス" queryTableFieldId="6" dataDxfId="51"/>
    <tableColumn id="7" xr3:uid="{E6E4B1CC-EC11-4F76-A76D-6DB29B93ED07}" uniqueName="7" name="iLO用 IPアドレス" queryTableFieldId="7" dataDxfId="50"/>
    <tableColumn id="8" xr3:uid="{56330186-978D-48FD-9A95-94594CB10D95}" uniqueName="8" name="TTS-Host" queryTableFieldId="8" dataDxfId="49"/>
    <tableColumn id="9" xr3:uid="{A750F0E1-BA1E-41C2-A27A-8A914EFEB307}" uniqueName="9" name="TTS-IP" queryTableFieldId="9" dataDxfId="48"/>
    <tableColumn id="10" xr3:uid="{4B4A8CE0-A84E-439B-8305-CF0A51E2639F}" uniqueName="10" name="TTS-Port" queryTableFieldId="10" dataDxfId="4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ABFFE40-E8DC-40D6-A8B9-972BFF6A3EA0}" name="GUI" displayName="GUI" ref="A1:L60" tableType="queryTable" totalsRowShown="0">
  <autoFilter ref="A1:L60" xr:uid="{4ABFFE40-E8DC-40D6-A8B9-972BFF6A3EA0}"/>
  <tableColumns count="12">
    <tableColumn id="1" xr3:uid="{33D6FA87-9B00-455C-9054-9FAB7C709622}" uniqueName="1" name="ホスト名" queryTableFieldId="1" dataDxfId="46"/>
    <tableColumn id="2" xr3:uid="{F4035116-4B38-4BF5-849D-519CD651C678}" uniqueName="2" name="EMSコマンド用IPアドレス" queryTableFieldId="2" dataDxfId="45"/>
    <tableColumn id="3" xr3:uid="{523870B3-4FEE-4477-82AC-0CF76414760B}" uniqueName="3" name="EMSアラーム用IPアドレス" queryTableFieldId="3" dataDxfId="44"/>
    <tableColumn id="4" xr3:uid="{895E71A3-99BD-4E76-AE5E-549FAA1583FB}" uniqueName="4" name="APL付与のフローティングIPアドレス" queryTableFieldId="4" dataDxfId="43"/>
    <tableColumn id="5" xr3:uid="{8E649C21-92BC-47E6-9919-C88F537AF5B4}" uniqueName="5" name="iLO用" queryTableFieldId="5" dataDxfId="42"/>
    <tableColumn id="6" xr3:uid="{EBBC90FC-FAF0-4689-968F-DCF06DF30DF5}" uniqueName="6" name="収容形態" queryTableFieldId="6" dataDxfId="41"/>
    <tableColumn id="7" xr3:uid="{E2EFD9B1-D0F8-4945-A746-5CBE7B50EE44}" uniqueName="7" name="BCR02のIPアドレス(ループバックIPアドレス)" queryTableFieldId="7" dataDxfId="40"/>
    <tableColumn id="8" xr3:uid="{CB031808-9A09-4B67-94CF-9E0C25ADDB9D}" uniqueName="8" name="TTS-Host" queryTableFieldId="8" dataDxfId="39"/>
    <tableColumn id="9" xr3:uid="{E02569B2-C78A-4CE3-BB74-5B57299A4830}" uniqueName="9" name="TTS-IP" queryTableFieldId="9" dataDxfId="38"/>
    <tableColumn id="10" xr3:uid="{CC179E7B-FD25-4E83-BE34-3AEED1C35403}" uniqueName="10" name="TTS-Port" queryTableFieldId="10" dataDxfId="37"/>
    <tableColumn id="11" xr3:uid="{89410111-3594-4B3D-AEAD-C6D94E2591F5}" uniqueName="11" name="AGENT_NO" queryTableFieldId="11" dataDxfId="36"/>
    <tableColumn id="12" xr3:uid="{74B71EAC-04D6-4C9E-8979-BC9B8EA668B7}" uniqueName="12" name="WEB_DEVICE_NO" queryTableFieldId="12" dataDxfId="3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BD8E0DE-9EE4-4EF8-89B0-1D269B866C17}" name="FS" displayName="FS" ref="A1:M96" tableType="queryTable" totalsRowShown="0">
  <autoFilter ref="A1:M96" xr:uid="{FBD8E0DE-9EE4-4EF8-89B0-1D269B866C17}"/>
  <tableColumns count="13">
    <tableColumn id="1" xr3:uid="{03F6AE17-E864-4785-8407-0C14C15B9E7E}" uniqueName="1" name="ホスト名" queryTableFieldId="1" dataDxfId="34"/>
    <tableColumn id="2" xr3:uid="{A92780C0-2B4C-4995-A9C7-6BA6B36395D7}" uniqueName="2" name="eth2" queryTableFieldId="2" dataDxfId="33"/>
    <tableColumn id="3" xr3:uid="{10145436-F177-4FA9-AC94-1C970EFFEC07}" uniqueName="3" name="eth0" queryTableFieldId="3" dataDxfId="32"/>
    <tableColumn id="4" xr3:uid="{035959D8-BC37-426C-9449-DD9F34259A42}" uniqueName="4" name="eth3" queryTableFieldId="4" dataDxfId="31"/>
    <tableColumn id="5" xr3:uid="{CACD6726-B28A-441B-97AC-BA594CA5AA2A}" uniqueName="5" name="eth1" queryTableFieldId="5" dataDxfId="30"/>
    <tableColumn id="6" xr3:uid="{BAF842E2-4DC5-485A-911C-1DF725D4A367}" uniqueName="6" name="保守LANフローティングIPアドレス" queryTableFieldId="6" dataDxfId="29"/>
    <tableColumn id="7" xr3:uid="{1902DA30-0959-421C-9488-765EDCE6004C}" uniqueName="7" name="リモートシェルコマンド用フローティングIPアドレス" queryTableFieldId="7" dataDxfId="28"/>
    <tableColumn id="8" xr3:uid="{A4606CAA-19D8-437D-8113-479702756507}" uniqueName="8" name="コマンド用フローティングIPアドレス" queryTableFieldId="8" dataDxfId="27"/>
    <tableColumn id="9" xr3:uid="{A7199D15-E115-4CB6-A109-8636ED19FE1B}" uniqueName="9" name="装置監視A用フローティングIPアドレス" queryTableFieldId="9" dataDxfId="26"/>
    <tableColumn id="10" xr3:uid="{2F599860-37C0-497F-93DF-08473F2AFFC1}" uniqueName="10" name="装置監視B用フローティングIPアドレス" queryTableFieldId="10" dataDxfId="25"/>
    <tableColumn id="11" xr3:uid="{4AFBDA4F-55CB-4502-B2C7-4DFA087FC714}" uniqueName="11" name="外部EMS一般コマンド用フローティングIPアドレス" queryTableFieldId="11" dataDxfId="24"/>
    <tableColumn id="12" xr3:uid="{9BB14734-10D2-4D8D-BE78-B5BADCF8D0B6}" uniqueName="12" name="外部EMSアラーム用フローティングIPアドレス" queryTableFieldId="12" dataDxfId="23"/>
    <tableColumn id="13" xr3:uid="{51AB9A10-F8F7-4B97-B173-F67EF913F8E1}" uniqueName="13" name="保守LANフローティングIPアドレス（SBY用）" queryTableFieldId="13" dataDxfId="22"/>
  </tableColumns>
  <tableStyleInfo name="TableStyleMedium7"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D2EBC-1B8D-4CEB-9D77-BE052F12FE3F}">
  <sheetPr codeName="Sheet5">
    <tabColor rgb="FFFFFF00"/>
  </sheetPr>
  <dimension ref="A1:N213"/>
  <sheetViews>
    <sheetView zoomScaleNormal="100" workbookViewId="0">
      <selection activeCell="B7" sqref="B7"/>
    </sheetView>
  </sheetViews>
  <sheetFormatPr defaultColWidth="9" defaultRowHeight="17.5" x14ac:dyDescent="0.55000000000000004"/>
  <cols>
    <col min="1" max="1" width="25.08203125" style="213" bestFit="1" customWidth="1"/>
    <col min="2" max="2" width="51.08203125" style="213" bestFit="1" customWidth="1"/>
    <col min="3" max="4" width="20.58203125" style="213" customWidth="1"/>
    <col min="5" max="5" width="24.1640625" style="213" customWidth="1"/>
    <col min="6" max="48" width="20.58203125" style="213" customWidth="1"/>
    <col min="49" max="49" width="5.58203125" style="213" customWidth="1"/>
    <col min="50" max="52" width="20.58203125" style="213" customWidth="1"/>
    <col min="53" max="53" width="5.58203125" style="213" customWidth="1"/>
    <col min="54" max="56" width="20.58203125" style="213" customWidth="1"/>
    <col min="57" max="57" width="5.58203125" style="213" customWidth="1"/>
    <col min="58" max="16384" width="9" style="213"/>
  </cols>
  <sheetData>
    <row r="1" spans="1:8" s="101" customFormat="1" ht="15" x14ac:dyDescent="0.55000000000000004">
      <c r="A1" s="100" t="s">
        <v>2</v>
      </c>
      <c r="B1" s="108" t="s">
        <v>6406</v>
      </c>
    </row>
    <row r="2" spans="1:8" s="101" customFormat="1" ht="15" x14ac:dyDescent="0.55000000000000004">
      <c r="A2" s="210" t="s">
        <v>0</v>
      </c>
      <c r="B2" s="103"/>
    </row>
    <row r="3" spans="1:8" s="101" customFormat="1" ht="15" x14ac:dyDescent="0.55000000000000004">
      <c r="A3" s="102" t="s">
        <v>1</v>
      </c>
      <c r="B3" s="104"/>
      <c r="H3" s="101" t="str" cm="1">
        <f t="array" ref="H3:H12">_xlfn._xlws.FILTER(ユニット構成!$A$2:$A$48, ユニット構成!$B$2:$B$48=$B$4)</f>
        <v>w26km-fs-010ss</v>
      </c>
    </row>
    <row r="4" spans="1:8" x14ac:dyDescent="0.55000000000000004">
      <c r="A4" s="211" t="s">
        <v>5728</v>
      </c>
      <c r="B4" s="212" t="s">
        <v>5824</v>
      </c>
      <c r="H4" s="213" t="str">
        <v>w27on-fs-010ss</v>
      </c>
    </row>
    <row r="5" spans="1:8" x14ac:dyDescent="0.55000000000000004">
      <c r="A5" s="232" t="s">
        <v>5925</v>
      </c>
      <c r="B5" s="230" t="s">
        <v>5829</v>
      </c>
      <c r="H5" s="213" t="str">
        <v>w27os-fs-031is</v>
      </c>
    </row>
    <row r="6" spans="1:8" x14ac:dyDescent="0.55000000000000004">
      <c r="A6" s="235" t="s">
        <v>6409</v>
      </c>
      <c r="B6" s="230">
        <v>1</v>
      </c>
      <c r="H6" s="213" t="str">
        <v>w27os-fs-032ss</v>
      </c>
    </row>
    <row r="7" spans="1:8" ht="18" thickBot="1" x14ac:dyDescent="0.6">
      <c r="A7" s="231" t="s">
        <v>6408</v>
      </c>
      <c r="B7" s="229"/>
      <c r="H7" s="213" t="str">
        <v>w27os-fs-040is</v>
      </c>
    </row>
    <row r="8" spans="1:8" s="101" customFormat="1" ht="15.5" thickBot="1" x14ac:dyDescent="0.6">
      <c r="B8" s="105"/>
      <c r="H8" s="101" t="str">
        <v>w27os-fs-041ss</v>
      </c>
    </row>
    <row r="9" spans="1:8" s="101" customFormat="1" ht="15" x14ac:dyDescent="0.55000000000000004">
      <c r="A9" s="305" t="s">
        <v>16</v>
      </c>
      <c r="B9" s="108"/>
      <c r="H9" s="101" t="str">
        <v>w27os-fs-050ss</v>
      </c>
    </row>
    <row r="10" spans="1:8" s="101" customFormat="1" ht="15" x14ac:dyDescent="0.55000000000000004">
      <c r="A10" s="306"/>
      <c r="B10" s="109"/>
      <c r="H10" s="101" t="str">
        <v>w27os-fs-051ss</v>
      </c>
    </row>
    <row r="11" spans="1:8" s="101" customFormat="1" ht="15" x14ac:dyDescent="0.55000000000000004">
      <c r="A11" s="306"/>
      <c r="B11" s="110"/>
      <c r="H11" s="101" t="str">
        <v>w27os-fs-a60ss</v>
      </c>
    </row>
    <row r="12" spans="1:8" s="101" customFormat="1" ht="15" x14ac:dyDescent="0.55000000000000004">
      <c r="A12" s="306"/>
      <c r="B12" s="110"/>
      <c r="H12" s="101" t="str">
        <v>w27os-fs-a61ss</v>
      </c>
    </row>
    <row r="13" spans="1:8" s="101" customFormat="1" ht="15" x14ac:dyDescent="0.55000000000000004">
      <c r="A13" s="306"/>
      <c r="B13" s="110"/>
    </row>
    <row r="14" spans="1:8" s="101" customFormat="1" ht="15" x14ac:dyDescent="0.55000000000000004">
      <c r="A14" s="306"/>
      <c r="B14" s="110"/>
    </row>
    <row r="15" spans="1:8" s="101" customFormat="1" ht="15" x14ac:dyDescent="0.55000000000000004">
      <c r="A15" s="306"/>
      <c r="B15" s="110"/>
    </row>
    <row r="16" spans="1:8" s="101" customFormat="1" ht="15" x14ac:dyDescent="0.55000000000000004">
      <c r="A16" s="306"/>
      <c r="B16" s="110"/>
    </row>
    <row r="17" spans="1:6" s="101" customFormat="1" ht="15" x14ac:dyDescent="0.55000000000000004">
      <c r="A17" s="306"/>
      <c r="B17" s="110"/>
    </row>
    <row r="18" spans="1:6" s="101" customFormat="1" ht="15.5" thickBot="1" x14ac:dyDescent="0.6">
      <c r="A18" s="307"/>
      <c r="B18" s="114"/>
    </row>
    <row r="19" spans="1:6" s="101" customFormat="1" ht="15.5" thickBot="1" x14ac:dyDescent="0.6">
      <c r="A19" s="214"/>
      <c r="B19" s="215"/>
    </row>
    <row r="20" spans="1:6" s="101" customFormat="1" ht="15" x14ac:dyDescent="0.55000000000000004">
      <c r="A20" s="308" t="s">
        <v>17</v>
      </c>
      <c r="B20" s="216" t="s">
        <v>32</v>
      </c>
      <c r="C20" s="309" t="s">
        <v>33</v>
      </c>
      <c r="D20" s="309"/>
      <c r="E20" s="309"/>
      <c r="F20" s="310"/>
    </row>
    <row r="21" spans="1:6" s="101" customFormat="1" ht="15" x14ac:dyDescent="0.55000000000000004">
      <c r="A21" s="303"/>
      <c r="B21" s="111"/>
      <c r="C21" s="298"/>
      <c r="D21" s="298"/>
      <c r="E21" s="298"/>
      <c r="F21" s="299"/>
    </row>
    <row r="22" spans="1:6" s="101" customFormat="1" ht="15" x14ac:dyDescent="0.55000000000000004">
      <c r="A22" s="303"/>
      <c r="B22" s="111"/>
      <c r="C22" s="298"/>
      <c r="D22" s="298"/>
      <c r="E22" s="298"/>
      <c r="F22" s="299"/>
    </row>
    <row r="23" spans="1:6" s="101" customFormat="1" ht="15" x14ac:dyDescent="0.55000000000000004">
      <c r="A23" s="303"/>
      <c r="B23" s="111"/>
      <c r="C23" s="298"/>
      <c r="D23" s="298"/>
      <c r="E23" s="298"/>
      <c r="F23" s="299"/>
    </row>
    <row r="24" spans="1:6" s="101" customFormat="1" ht="15" x14ac:dyDescent="0.55000000000000004">
      <c r="A24" s="303"/>
      <c r="B24" s="111"/>
      <c r="C24" s="298"/>
      <c r="D24" s="298"/>
      <c r="E24" s="298"/>
      <c r="F24" s="299"/>
    </row>
    <row r="25" spans="1:6" s="101" customFormat="1" ht="15" x14ac:dyDescent="0.55000000000000004">
      <c r="A25" s="303"/>
      <c r="B25" s="111"/>
      <c r="C25" s="298"/>
      <c r="D25" s="298"/>
      <c r="E25" s="298"/>
      <c r="F25" s="299"/>
    </row>
    <row r="26" spans="1:6" s="101" customFormat="1" ht="15" x14ac:dyDescent="0.55000000000000004">
      <c r="A26" s="303"/>
      <c r="B26" s="111"/>
      <c r="C26" s="298"/>
      <c r="D26" s="298"/>
      <c r="E26" s="298"/>
      <c r="F26" s="299"/>
    </row>
    <row r="27" spans="1:6" s="101" customFormat="1" ht="15" x14ac:dyDescent="0.55000000000000004">
      <c r="A27" s="303"/>
      <c r="B27" s="111"/>
      <c r="C27" s="298"/>
      <c r="D27" s="298"/>
      <c r="E27" s="298"/>
      <c r="F27" s="299"/>
    </row>
    <row r="28" spans="1:6" s="101" customFormat="1" ht="15" x14ac:dyDescent="0.55000000000000004">
      <c r="A28" s="303"/>
      <c r="B28" s="111"/>
      <c r="C28" s="298"/>
      <c r="D28" s="298"/>
      <c r="E28" s="298"/>
      <c r="F28" s="299"/>
    </row>
    <row r="29" spans="1:6" s="101" customFormat="1" ht="15" x14ac:dyDescent="0.55000000000000004">
      <c r="A29" s="303"/>
      <c r="B29" s="112"/>
      <c r="C29" s="298"/>
      <c r="D29" s="298"/>
      <c r="E29" s="298"/>
      <c r="F29" s="299"/>
    </row>
    <row r="30" spans="1:6" s="101" customFormat="1" ht="15.5" thickBot="1" x14ac:dyDescent="0.6">
      <c r="A30" s="304"/>
      <c r="B30" s="113"/>
      <c r="C30" s="300"/>
      <c r="D30" s="300"/>
      <c r="E30" s="300"/>
      <c r="F30" s="301"/>
    </row>
    <row r="32" spans="1:6" ht="18" thickBot="1" x14ac:dyDescent="0.6"/>
    <row r="33" spans="1:6" x14ac:dyDescent="0.55000000000000004">
      <c r="A33" s="302" t="s">
        <v>5926</v>
      </c>
      <c r="B33" s="217" t="s">
        <v>5927</v>
      </c>
      <c r="C33" s="218"/>
      <c r="D33" s="218"/>
      <c r="E33" s="218"/>
      <c r="F33" s="218"/>
    </row>
    <row r="34" spans="1:6" x14ac:dyDescent="0.55000000000000004">
      <c r="A34" s="303"/>
      <c r="B34" s="110"/>
      <c r="C34" s="219"/>
      <c r="D34" s="219"/>
      <c r="E34" s="219"/>
      <c r="F34" s="219"/>
    </row>
    <row r="35" spans="1:6" x14ac:dyDescent="0.55000000000000004">
      <c r="A35" s="303"/>
      <c r="B35" s="110"/>
      <c r="C35" s="219"/>
      <c r="D35" s="219"/>
      <c r="E35" s="219"/>
      <c r="F35" s="219"/>
    </row>
    <row r="36" spans="1:6" x14ac:dyDescent="0.55000000000000004">
      <c r="A36" s="303"/>
      <c r="B36" s="110"/>
      <c r="C36" s="219"/>
      <c r="D36" s="219"/>
      <c r="E36" s="219"/>
      <c r="F36" s="219"/>
    </row>
    <row r="37" spans="1:6" x14ac:dyDescent="0.55000000000000004">
      <c r="A37" s="303"/>
      <c r="B37" s="110"/>
      <c r="C37" s="219"/>
      <c r="D37" s="219"/>
      <c r="E37" s="219"/>
      <c r="F37" s="219"/>
    </row>
    <row r="38" spans="1:6" x14ac:dyDescent="0.55000000000000004">
      <c r="A38" s="303"/>
      <c r="B38" s="110"/>
      <c r="C38" s="219"/>
      <c r="D38" s="219"/>
      <c r="E38" s="219"/>
      <c r="F38" s="219"/>
    </row>
    <row r="39" spans="1:6" x14ac:dyDescent="0.55000000000000004">
      <c r="A39" s="303"/>
      <c r="B39" s="110"/>
      <c r="C39" s="219"/>
      <c r="D39" s="219"/>
      <c r="E39" s="219"/>
      <c r="F39" s="219"/>
    </row>
    <row r="40" spans="1:6" x14ac:dyDescent="0.55000000000000004">
      <c r="A40" s="303"/>
      <c r="B40" s="110"/>
      <c r="C40" s="219"/>
      <c r="D40" s="219"/>
      <c r="E40" s="219"/>
      <c r="F40" s="219"/>
    </row>
    <row r="41" spans="1:6" x14ac:dyDescent="0.55000000000000004">
      <c r="A41" s="303"/>
      <c r="B41" s="110"/>
      <c r="C41" s="219"/>
      <c r="D41" s="219"/>
      <c r="E41" s="219"/>
      <c r="F41" s="219"/>
    </row>
    <row r="42" spans="1:6" x14ac:dyDescent="0.55000000000000004">
      <c r="A42" s="303"/>
      <c r="B42" s="110"/>
      <c r="C42" s="219"/>
      <c r="D42" s="219"/>
      <c r="E42" s="219"/>
      <c r="F42" s="219"/>
    </row>
    <row r="43" spans="1:6" x14ac:dyDescent="0.55000000000000004">
      <c r="A43" s="303"/>
      <c r="B43" s="110"/>
      <c r="C43" s="219"/>
      <c r="D43" s="219"/>
      <c r="E43" s="219"/>
      <c r="F43" s="219"/>
    </row>
    <row r="44" spans="1:6" x14ac:dyDescent="0.55000000000000004">
      <c r="A44" s="303"/>
      <c r="B44" s="110"/>
      <c r="C44" s="219"/>
      <c r="D44" s="219"/>
      <c r="E44" s="219"/>
      <c r="F44" s="219"/>
    </row>
    <row r="45" spans="1:6" x14ac:dyDescent="0.55000000000000004">
      <c r="A45" s="303"/>
      <c r="B45" s="110"/>
      <c r="C45" s="219"/>
      <c r="D45" s="219"/>
      <c r="E45" s="219"/>
      <c r="F45" s="219"/>
    </row>
    <row r="46" spans="1:6" x14ac:dyDescent="0.55000000000000004">
      <c r="A46" s="303"/>
      <c r="B46" s="110"/>
      <c r="C46" s="219"/>
      <c r="D46" s="219"/>
      <c r="E46" s="219"/>
      <c r="F46" s="219"/>
    </row>
    <row r="47" spans="1:6" x14ac:dyDescent="0.55000000000000004">
      <c r="A47" s="303"/>
      <c r="B47" s="110"/>
      <c r="C47" s="219"/>
      <c r="D47" s="219"/>
      <c r="E47" s="219"/>
      <c r="F47" s="219"/>
    </row>
    <row r="48" spans="1:6" x14ac:dyDescent="0.55000000000000004">
      <c r="A48" s="303"/>
      <c r="B48" s="110"/>
      <c r="C48" s="219"/>
      <c r="D48" s="219"/>
      <c r="E48" s="219"/>
      <c r="F48" s="219"/>
    </row>
    <row r="49" spans="1:6" x14ac:dyDescent="0.55000000000000004">
      <c r="A49" s="303"/>
      <c r="B49" s="110"/>
      <c r="C49" s="219"/>
      <c r="D49" s="219"/>
      <c r="E49" s="219"/>
      <c r="F49" s="219"/>
    </row>
    <row r="50" spans="1:6" x14ac:dyDescent="0.55000000000000004">
      <c r="A50" s="303"/>
      <c r="B50" s="110"/>
      <c r="C50" s="219"/>
      <c r="D50" s="219"/>
      <c r="E50" s="219"/>
      <c r="F50" s="219"/>
    </row>
    <row r="51" spans="1:6" x14ac:dyDescent="0.55000000000000004">
      <c r="A51" s="303"/>
      <c r="B51" s="110"/>
      <c r="C51" s="219"/>
      <c r="D51" s="219"/>
      <c r="E51" s="219"/>
      <c r="F51" s="219"/>
    </row>
    <row r="52" spans="1:6" x14ac:dyDescent="0.55000000000000004">
      <c r="A52" s="303"/>
      <c r="B52" s="220"/>
      <c r="C52" s="219"/>
      <c r="D52" s="219"/>
      <c r="E52" s="219"/>
      <c r="F52" s="219"/>
    </row>
    <row r="53" spans="1:6" ht="18" thickBot="1" x14ac:dyDescent="0.6">
      <c r="A53" s="304"/>
      <c r="B53" s="114"/>
      <c r="C53" s="219"/>
      <c r="D53" s="219"/>
      <c r="E53" s="219"/>
      <c r="F53" s="219"/>
    </row>
    <row r="54" spans="1:6" ht="22.5" x14ac:dyDescent="0.55000000000000004">
      <c r="A54" s="221"/>
    </row>
    <row r="58" spans="1:6" x14ac:dyDescent="0.55000000000000004">
      <c r="B58" s="222" t="s">
        <v>5928</v>
      </c>
      <c r="C58" s="223"/>
      <c r="D58" s="223"/>
    </row>
    <row r="59" spans="1:6" x14ac:dyDescent="0.55000000000000004">
      <c r="B59" s="224" t="s">
        <v>5929</v>
      </c>
      <c r="C59" s="224" t="s">
        <v>5930</v>
      </c>
      <c r="D59" s="224" t="s">
        <v>5931</v>
      </c>
      <c r="E59" s="224" t="s">
        <v>5731</v>
      </c>
      <c r="F59" s="224" t="s">
        <v>5732</v>
      </c>
    </row>
    <row r="60" spans="1:6" x14ac:dyDescent="0.55000000000000004">
      <c r="B60" s="225" t="str">
        <f>$B$5</f>
        <v>w27on-fs-010ss</v>
      </c>
      <c r="C60" s="225" t="str">
        <f>VLOOKUP($B60,ユニット構成[#All],MATCH(C$59,ユニット構成[#Headers],0),FALSE)</f>
        <v>大阪</v>
      </c>
      <c r="D60" s="225" t="str">
        <f>VLOOKUP($B60,ユニット構成[#All],MATCH(D$59,ユニット構成[#Headers],0),FALSE)</f>
        <v>日本橋</v>
      </c>
      <c r="E60" s="225" t="str">
        <f>VLOOKUP($B60,ユニット構成[#All],MATCH(E$59,ユニット構成[#Headers],0),FALSE)</f>
        <v>大阪ＮＷＣ（日本橋ビル）</v>
      </c>
      <c r="F60" s="225" t="str">
        <f>VLOOKUP($B60,ユニット構成[#All],MATCH(F$59,ユニット構成[#Headers],0),FALSE)</f>
        <v>-</v>
      </c>
    </row>
    <row r="62" spans="1:6" x14ac:dyDescent="0.55000000000000004">
      <c r="B62" s="222" t="s">
        <v>5932</v>
      </c>
      <c r="C62" s="223"/>
      <c r="D62" s="223"/>
    </row>
    <row r="63" spans="1:6" x14ac:dyDescent="0.55000000000000004">
      <c r="B63" s="226"/>
      <c r="C63" s="226" t="s">
        <v>5733</v>
      </c>
      <c r="D63" s="226" t="s">
        <v>5734</v>
      </c>
    </row>
    <row r="64" spans="1:6" x14ac:dyDescent="0.55000000000000004">
      <c r="B64" s="224" t="s">
        <v>4</v>
      </c>
      <c r="C64" s="225" t="str">
        <f>VLOOKUP($B$5,ユニット構成[#All],MATCH(C63,ユニット構成[#Headers],0),FALSE)</f>
        <v>w27ongui-0100p2</v>
      </c>
      <c r="D64" s="225" t="str">
        <f>VLOOKUP($B$5,ユニット構成[#All],MATCH(D63,ユニット構成[#Headers],0),FALSE)</f>
        <v>w27ongui-0101p2</v>
      </c>
    </row>
    <row r="65" spans="2:4" x14ac:dyDescent="0.55000000000000004">
      <c r="B65" s="224" t="s">
        <v>880</v>
      </c>
      <c r="C65" s="225" t="str">
        <f>VLOOKUP(C$64,GUI[#Data],MATCH($B65,GUI[#Headers],0),FALSE)</f>
        <v>10.250.81.36</v>
      </c>
      <c r="D65" s="225" t="str">
        <f>VLOOKUP(D$64,GUI[#Data],MATCH($B65,GUI[#Headers],0),FALSE)</f>
        <v>10.250.81.37</v>
      </c>
    </row>
    <row r="66" spans="2:4" x14ac:dyDescent="0.55000000000000004">
      <c r="B66" s="224" t="s">
        <v>881</v>
      </c>
      <c r="C66" s="225" t="str">
        <f>VLOOKUP(C$64,GUI[#Data],MATCH($B66,GUI[#Headers],0),FALSE)</f>
        <v>10.250.81.5</v>
      </c>
      <c r="D66" s="225" t="str">
        <f>VLOOKUP(D$64,GUI[#Data],MATCH($B66,GUI[#Headers],0),FALSE)</f>
        <v>10.250.81.6</v>
      </c>
    </row>
    <row r="67" spans="2:4" x14ac:dyDescent="0.55000000000000004">
      <c r="B67" s="224" t="s">
        <v>882</v>
      </c>
      <c r="C67" s="225" t="str">
        <f>VLOOKUP(C$64,GUI[#Data],MATCH($B67,GUI[#Headers],0),FALSE)</f>
        <v>10.250.81.4</v>
      </c>
      <c r="D67" s="225" t="str">
        <f>VLOOKUP(D$64,GUI[#Data],MATCH($B67,GUI[#Headers],0),FALSE)</f>
        <v>10.250.81.4</v>
      </c>
    </row>
    <row r="68" spans="2:4" x14ac:dyDescent="0.55000000000000004">
      <c r="B68" s="224" t="s">
        <v>883</v>
      </c>
      <c r="C68" s="225" t="str">
        <f>VLOOKUP(C$64,GUI[#Data],MATCH($B68,GUI[#Headers],0),FALSE)</f>
        <v>10.250.81.74</v>
      </c>
      <c r="D68" s="225" t="str">
        <f>VLOOKUP(D$64,GUI[#Data],MATCH($B68,GUI[#Headers],0),FALSE)</f>
        <v>10.250.81.75</v>
      </c>
    </row>
    <row r="69" spans="2:4" x14ac:dyDescent="0.55000000000000004">
      <c r="B69" s="224" t="s">
        <v>886</v>
      </c>
      <c r="C69" s="225" t="str">
        <f>VLOOKUP(C$64,GUI[#Data],MATCH($B69,GUI[#Headers],0),FALSE)</f>
        <v>w27snpnbs-tts-001100</v>
      </c>
      <c r="D69" s="225" t="str">
        <f>VLOOKUP(D$64,GUI[#Data],MATCH($B69,GUI[#Headers],0),FALSE)</f>
        <v>w27snpnbs-tts-001100</v>
      </c>
    </row>
    <row r="70" spans="2:4" x14ac:dyDescent="0.55000000000000004">
      <c r="B70" s="224" t="s">
        <v>887</v>
      </c>
      <c r="C70" s="225" t="str">
        <f>VLOOKUP(C$64,GUI[#Data],MATCH($B70,GUI[#Headers],0),FALSE)</f>
        <v>10.95.200.140</v>
      </c>
      <c r="D70" s="225" t="str">
        <f>VLOOKUP(D$64,GUI[#Data],MATCH($B70,GUI[#Headers],0),FALSE)</f>
        <v>10.95.200.140</v>
      </c>
    </row>
    <row r="71" spans="2:4" x14ac:dyDescent="0.55000000000000004">
      <c r="B71" s="224" t="s">
        <v>888</v>
      </c>
      <c r="C71" s="225" t="str">
        <f>VLOOKUP(C$64,GUI[#Data],MATCH($B71,GUI[#Headers],0),FALSE)</f>
        <v>8117</v>
      </c>
      <c r="D71" s="225" t="str">
        <f>VLOOKUP(D$64,GUI[#Data],MATCH($B71,GUI[#Headers],0),FALSE)</f>
        <v>8118</v>
      </c>
    </row>
    <row r="73" spans="2:4" x14ac:dyDescent="0.55000000000000004">
      <c r="B73" s="222" t="s">
        <v>5933</v>
      </c>
      <c r="C73" s="223"/>
      <c r="D73" s="223"/>
    </row>
    <row r="74" spans="2:4" x14ac:dyDescent="0.55000000000000004">
      <c r="B74" s="226"/>
      <c r="C74" s="226" t="s">
        <v>5934</v>
      </c>
      <c r="D74" s="226" t="s">
        <v>5935</v>
      </c>
    </row>
    <row r="75" spans="2:4" x14ac:dyDescent="0.55000000000000004">
      <c r="B75" s="224" t="s">
        <v>4</v>
      </c>
      <c r="C75" s="225" t="str">
        <f>VLOOKUP($B$5,ユニット構成[#All],MATCH(C74,ユニット構成[#Headers],0),FALSE)</f>
        <v>w27onemsw010000</v>
      </c>
      <c r="D75" s="225" t="str">
        <f>VLOOKUP($B$5,ユニット構成[#All],MATCH(D74,ユニット構成[#Headers],0),FALSE)</f>
        <v>w27onemsw010100</v>
      </c>
    </row>
    <row r="76" spans="2:4" x14ac:dyDescent="0.55000000000000004">
      <c r="B76" s="224" t="s">
        <v>1850</v>
      </c>
      <c r="C76" s="225" t="str">
        <f>VLOOKUP(C$75,MSW[#Data],MATCH($B76,MSW[#Headers],0),FALSE)</f>
        <v>10.250.81.138</v>
      </c>
      <c r="D76" s="225" t="str">
        <f>VLOOKUP(D$75,MSW[#Data],MATCH($B76,MSW[#Headers],0),FALSE)</f>
        <v>10.250.81.154</v>
      </c>
    </row>
    <row r="77" spans="2:4" x14ac:dyDescent="0.55000000000000004">
      <c r="B77" s="224" t="s">
        <v>886</v>
      </c>
      <c r="C77" s="225" t="str">
        <f>VLOOKUP(C$75,MSW[#Data],MATCH($B77,MSW[#Headers],0),FALSE)</f>
        <v>w27snpnbs-tts-001100</v>
      </c>
      <c r="D77" s="225" t="str">
        <f>VLOOKUP(D$75,MSW[#Data],MATCH($B77,MSW[#Headers],0),FALSE)</f>
        <v>w27snpnbs-tts-001100</v>
      </c>
    </row>
    <row r="78" spans="2:4" x14ac:dyDescent="0.55000000000000004">
      <c r="B78" s="224" t="s">
        <v>887</v>
      </c>
      <c r="C78" s="225" t="str">
        <f>VLOOKUP(C$75,MSW[#Data],MATCH($B78,MSW[#Headers],0),FALSE)</f>
        <v>10.95.200.140</v>
      </c>
      <c r="D78" s="225" t="str">
        <f>VLOOKUP(D$75,MSW[#Data],MATCH($B78,MSW[#Headers],0),FALSE)</f>
        <v>10.95.200.140</v>
      </c>
    </row>
    <row r="79" spans="2:4" x14ac:dyDescent="0.55000000000000004">
      <c r="B79" s="224" t="s">
        <v>888</v>
      </c>
      <c r="C79" s="225" t="str">
        <f>VLOOKUP(C$75,MSW[#Data],MATCH($B79,MSW[#Headers],0),FALSE)</f>
        <v>8123</v>
      </c>
      <c r="D79" s="225" t="str">
        <f>VLOOKUP(D$75,MSW[#Data],MATCH($B79,MSW[#Headers],0),FALSE)</f>
        <v>8124</v>
      </c>
    </row>
    <row r="81" spans="2:4" x14ac:dyDescent="0.55000000000000004">
      <c r="B81" s="222" t="s">
        <v>5936</v>
      </c>
      <c r="C81" s="223"/>
      <c r="D81" s="223"/>
    </row>
    <row r="82" spans="2:4" x14ac:dyDescent="0.55000000000000004">
      <c r="B82" s="226"/>
      <c r="C82" s="226" t="s">
        <v>5937</v>
      </c>
      <c r="D82" s="226" t="s">
        <v>5938</v>
      </c>
    </row>
    <row r="83" spans="2:4" x14ac:dyDescent="0.55000000000000004">
      <c r="B83" s="224" t="s">
        <v>4</v>
      </c>
      <c r="C83" s="225" t="str">
        <f>VLOOKUP($B$5,ユニット構成[#All],MATCH(C82,ユニット構成[#Headers],0),FALSE)</f>
        <v>w27on-fr-0100ss</v>
      </c>
      <c r="D83" s="225" t="str">
        <f>VLOOKUP($B$5,ユニット構成[#All],MATCH(D82,ユニット構成[#Headers],0),FALSE)</f>
        <v>w27on-fr-0101ss</v>
      </c>
    </row>
    <row r="84" spans="2:4" x14ac:dyDescent="0.55000000000000004">
      <c r="B84" s="224" t="s">
        <v>1850</v>
      </c>
      <c r="C84" s="225" t="str">
        <f>VLOOKUP(C$83,RAID[#Data],MATCH($B84,RAID[#Headers],0),FALSE)</f>
        <v>10.250.81.135</v>
      </c>
      <c r="D84" s="225" t="str">
        <f>VLOOKUP(D$83,RAID[#Data],MATCH($B84,RAID[#Headers],0),FALSE)</f>
        <v>10.250.81.151</v>
      </c>
    </row>
    <row r="85" spans="2:4" x14ac:dyDescent="0.55000000000000004">
      <c r="B85" s="224" t="s">
        <v>886</v>
      </c>
      <c r="C85" s="225" t="str">
        <f>VLOOKUP(C$83,RAID[#Data],MATCH($B85,RAID[#Headers],0),FALSE)</f>
        <v>w27snpnbs-tts-001100</v>
      </c>
      <c r="D85" s="225" t="str">
        <f>VLOOKUP(D$83,RAID[#Data],MATCH($B85,RAID[#Headers],0),FALSE)</f>
        <v>w27snpnbs-tts-001100</v>
      </c>
    </row>
    <row r="86" spans="2:4" x14ac:dyDescent="0.55000000000000004">
      <c r="B86" s="224" t="s">
        <v>887</v>
      </c>
      <c r="C86" s="225" t="str">
        <f>VLOOKUP(C$83,RAID[#Data],MATCH($B86,RAID[#Headers],0),FALSE)</f>
        <v>10.95.200.140</v>
      </c>
      <c r="D86" s="225" t="str">
        <f>VLOOKUP(D$83,RAID[#Data],MATCH($B86,RAID[#Headers],0),FALSE)</f>
        <v>10.95.200.140</v>
      </c>
    </row>
    <row r="87" spans="2:4" x14ac:dyDescent="0.55000000000000004">
      <c r="B87" s="224" t="s">
        <v>888</v>
      </c>
      <c r="C87" s="225" t="str">
        <f>VLOOKUP(C$83,RAID[#Data],MATCH($B87,RAID[#Headers],0),FALSE)</f>
        <v>8121</v>
      </c>
      <c r="D87" s="225" t="str">
        <f>VLOOKUP(D$83,RAID[#Data],MATCH($B87,RAID[#Headers],0),FALSE)</f>
        <v>8122</v>
      </c>
    </row>
    <row r="89" spans="2:4" x14ac:dyDescent="0.55000000000000004">
      <c r="B89" s="222" t="s">
        <v>5939</v>
      </c>
      <c r="C89" s="223"/>
      <c r="D89" s="223"/>
    </row>
    <row r="90" spans="2:4" x14ac:dyDescent="0.55000000000000004">
      <c r="B90" s="226"/>
      <c r="C90" s="226" t="s">
        <v>5940</v>
      </c>
      <c r="D90" s="226" t="s">
        <v>5941</v>
      </c>
    </row>
    <row r="91" spans="2:4" x14ac:dyDescent="0.55000000000000004">
      <c r="B91" s="224" t="s">
        <v>4</v>
      </c>
      <c r="C91" s="225" t="str">
        <f>VLOOKUP($B$5,ユニット構成[#All],MATCH(C90,ユニット構成[#Headers],0),FALSE)</f>
        <v>w27on-fs-0100ss</v>
      </c>
      <c r="D91" s="225" t="str">
        <f>VLOOKUP($B$5,ユニット構成[#All],MATCH(D90,ユニット構成[#Headers],0),FALSE)</f>
        <v>w27on-fs-0101ss</v>
      </c>
    </row>
    <row r="92" spans="2:4" x14ac:dyDescent="0.55000000000000004">
      <c r="B92" s="224" t="s">
        <v>120</v>
      </c>
      <c r="C92" s="225" t="str">
        <f>VLOOKUP(C$91,FS[#Data],MATCH($B92,FS[#Headers],0),FALSE)</f>
        <v>10.250.84.1</v>
      </c>
      <c r="D92" s="225" t="str">
        <f>VLOOKUP(D$91,FS[#Data],MATCH($B92,FS[#Headers],0),FALSE)</f>
        <v>10.250.84.2</v>
      </c>
    </row>
    <row r="93" spans="2:4" x14ac:dyDescent="0.55000000000000004">
      <c r="B93" s="224" t="s">
        <v>121</v>
      </c>
      <c r="C93" s="225" t="str">
        <f>VLOOKUP(C$91,FS[#Data],MATCH($B93,FS[#Headers],0),FALSE)</f>
        <v>10.250.84.17</v>
      </c>
      <c r="D93" s="225" t="str">
        <f>VLOOKUP(D$91,FS[#Data],MATCH($B93,FS[#Headers],0),FALSE)</f>
        <v>10.250.84.18</v>
      </c>
    </row>
    <row r="94" spans="2:4" x14ac:dyDescent="0.55000000000000004">
      <c r="B94" s="224" t="s">
        <v>122</v>
      </c>
      <c r="C94" s="225" t="str">
        <f>VLOOKUP(C$91,FS[#Data],MATCH($B94,FS[#Headers],0),FALSE)</f>
        <v>10.250.84.9</v>
      </c>
      <c r="D94" s="225" t="str">
        <f>VLOOKUP(D$91,FS[#Data],MATCH($B94,FS[#Headers],0),FALSE)</f>
        <v>10.250.84.10</v>
      </c>
    </row>
    <row r="95" spans="2:4" x14ac:dyDescent="0.55000000000000004">
      <c r="B95" s="224" t="s">
        <v>123</v>
      </c>
      <c r="C95" s="225" t="str">
        <f>VLOOKUP(C$91,FS[#Data],MATCH($B95,FS[#Headers],0),FALSE)</f>
        <v>10.250.84.25</v>
      </c>
      <c r="D95" s="225" t="str">
        <f>VLOOKUP(D$91,FS[#Data],MATCH($B95,FS[#Headers],0),FALSE)</f>
        <v>10.250.84.26</v>
      </c>
    </row>
    <row r="96" spans="2:4" x14ac:dyDescent="0.55000000000000004">
      <c r="B96" s="224" t="s">
        <v>124</v>
      </c>
      <c r="C96" s="225" t="str">
        <f>VLOOKUP(C$91,FS[#Data],MATCH($B96,FS[#Headers],0),FALSE)</f>
        <v>10.250.81.100</v>
      </c>
      <c r="D96" s="225" t="str">
        <f>VLOOKUP(D$91,FS[#Data],MATCH($B96,FS[#Headers],0),FALSE)</f>
        <v>10.250.81.100</v>
      </c>
    </row>
    <row r="97" spans="2:4" x14ac:dyDescent="0.55000000000000004">
      <c r="B97" s="224" t="s">
        <v>125</v>
      </c>
      <c r="C97" s="225" t="str">
        <f>VLOOKUP(C$91,FS[#Data],MATCH($B97,FS[#Headers],0),FALSE)</f>
        <v>10.250.81.116</v>
      </c>
      <c r="D97" s="225" t="str">
        <f>VLOOKUP(D$91,FS[#Data],MATCH($B97,FS[#Headers],0),FALSE)</f>
        <v>10.250.81.117</v>
      </c>
    </row>
    <row r="98" spans="2:4" x14ac:dyDescent="0.55000000000000004">
      <c r="B98" s="224" t="s">
        <v>126</v>
      </c>
      <c r="C98" s="225" t="str">
        <f>VLOOKUP(C$91,FS[#Data],MATCH($B98,FS[#Headers],0),FALSE)</f>
        <v>10.250.81.52</v>
      </c>
      <c r="D98" s="225" t="str">
        <f>VLOOKUP(D$91,FS[#Data],MATCH($B98,FS[#Headers],0),FALSE)</f>
        <v>10.250.81.52</v>
      </c>
    </row>
    <row r="99" spans="2:4" x14ac:dyDescent="0.55000000000000004">
      <c r="B99" s="224" t="s">
        <v>127</v>
      </c>
      <c r="C99" s="225" t="str">
        <f>VLOOKUP(C$91,FS[#Data],MATCH($B99,FS[#Headers],0),FALSE)</f>
        <v>10.250.81.132</v>
      </c>
      <c r="D99" s="225" t="str">
        <f>VLOOKUP(D$91,FS[#Data],MATCH($B99,FS[#Headers],0),FALSE)</f>
        <v>10.250.81.132</v>
      </c>
    </row>
    <row r="100" spans="2:4" x14ac:dyDescent="0.55000000000000004">
      <c r="B100" s="224" t="s">
        <v>128</v>
      </c>
      <c r="C100" s="225" t="str">
        <f>VLOOKUP(C$91,FS[#Data],MATCH($B100,FS[#Headers],0),FALSE)</f>
        <v>10.250.81.148</v>
      </c>
      <c r="D100" s="225" t="str">
        <f>VLOOKUP(D$91,FS[#Data],MATCH($B100,FS[#Headers],0),FALSE)</f>
        <v>10.250.81.148</v>
      </c>
    </row>
    <row r="101" spans="2:4" x14ac:dyDescent="0.55000000000000004">
      <c r="B101" s="224" t="s">
        <v>129</v>
      </c>
      <c r="C101" s="225" t="str">
        <f>VLOOKUP(C$91,FS[#Data],MATCH($B101,FS[#Headers],0),FALSE)</f>
        <v>10.250.81.38</v>
      </c>
      <c r="D101" s="225" t="str">
        <f>VLOOKUP(D$91,FS[#Data],MATCH($B101,FS[#Headers],0),FALSE)</f>
        <v>10.250.81.38</v>
      </c>
    </row>
    <row r="102" spans="2:4" x14ac:dyDescent="0.55000000000000004">
      <c r="B102" s="224" t="s">
        <v>5942</v>
      </c>
      <c r="C102" s="225" t="str">
        <f>VLOOKUP(C$91,FS[#Data],MATCH($B102,FS[#Headers],0),FALSE)</f>
        <v>10.250.81.7</v>
      </c>
      <c r="D102" s="225" t="str">
        <f>VLOOKUP(D$91,FS[#Data],MATCH($B102,FS[#Headers],0),FALSE)</f>
        <v>10.250.81.8</v>
      </c>
    </row>
    <row r="103" spans="2:4" x14ac:dyDescent="0.55000000000000004">
      <c r="B103" s="224" t="s">
        <v>131</v>
      </c>
      <c r="C103" s="225" t="str">
        <f>VLOOKUP(C$91,FS[#Data],MATCH($B103,FS[#Headers],0),FALSE)</f>
        <v>10.250.81.103</v>
      </c>
      <c r="D103" s="225" t="str">
        <f>VLOOKUP(D$91,FS[#Data],MATCH($B103,FS[#Headers],0),FALSE)</f>
        <v>10.250.81.103</v>
      </c>
    </row>
    <row r="105" spans="2:4" x14ac:dyDescent="0.55000000000000004">
      <c r="B105" s="222" t="s">
        <v>5943</v>
      </c>
      <c r="C105" s="223"/>
      <c r="D105" s="223"/>
    </row>
    <row r="106" spans="2:4" x14ac:dyDescent="0.55000000000000004">
      <c r="B106" s="226"/>
      <c r="C106" s="226" t="s">
        <v>5944</v>
      </c>
      <c r="D106" s="226" t="s">
        <v>5945</v>
      </c>
    </row>
    <row r="107" spans="2:4" x14ac:dyDescent="0.55000000000000004">
      <c r="B107" s="224" t="s">
        <v>4</v>
      </c>
      <c r="C107" s="225" t="str">
        <f>VLOOKUP($B$5,ユニット構成[#All],MATCH(C106,ユニット構成[#Headers],0),FALSE)</f>
        <v>w27onhfs-0100ss</v>
      </c>
      <c r="D107" s="225" t="str">
        <f>VLOOKUP($B$5,ユニット構成[#All],MATCH(D106,ユニット構成[#Headers],0),FALSE)</f>
        <v>w27onhfs-0101ss</v>
      </c>
    </row>
    <row r="108" spans="2:4" x14ac:dyDescent="0.55000000000000004">
      <c r="B108" s="224" t="s">
        <v>1185</v>
      </c>
      <c r="C108" s="225" t="str">
        <f>VLOOKUP(C$107,HFS[#Data],MATCH($B108,HFS[#Headers],0),FALSE)</f>
        <v>10.250.81.68</v>
      </c>
      <c r="D108" s="225" t="str">
        <f>VLOOKUP(D$107,HFS[#Data],MATCH($B108,HFS[#Headers],0),FALSE)</f>
        <v>10.250.81.69</v>
      </c>
    </row>
    <row r="109" spans="2:4" x14ac:dyDescent="0.55000000000000004">
      <c r="B109" s="224" t="s">
        <v>1186</v>
      </c>
      <c r="C109" s="225" t="str">
        <f>VLOOKUP(C$107,HFS[#Data],MATCH($B109,HFS[#Headers],0),FALSE)</f>
        <v>10.250.81.55</v>
      </c>
      <c r="D109" s="225" t="str">
        <f>VLOOKUP(D$107,HFS[#Data],MATCH($B109,HFS[#Headers],0),FALSE)</f>
        <v>10.250.81.56</v>
      </c>
    </row>
    <row r="110" spans="2:4" x14ac:dyDescent="0.55000000000000004">
      <c r="B110" s="224" t="s">
        <v>1187</v>
      </c>
      <c r="C110" s="225" t="str">
        <f>VLOOKUP(C$107,HFS[#Data],MATCH($B110,HFS[#Headers],0),FALSE)</f>
        <v>10.250.81.13</v>
      </c>
      <c r="D110" s="225" t="str">
        <f>VLOOKUP(D$107,HFS[#Data],MATCH($B110,HFS[#Headers],0),FALSE)</f>
        <v>10.250.81.14</v>
      </c>
    </row>
    <row r="111" spans="2:4" x14ac:dyDescent="0.55000000000000004">
      <c r="B111" s="224" t="s">
        <v>1188</v>
      </c>
      <c r="C111" s="225" t="str">
        <f>VLOOKUP(C$107,HFS[#Data],MATCH($B111,HFS[#Headers],0),FALSE)</f>
        <v>10.250.81.55</v>
      </c>
      <c r="D111" s="225" t="str">
        <f>VLOOKUP(D$107,HFS[#Data],MATCH($B111,HFS[#Headers],0),FALSE)</f>
        <v>10.250.81.56</v>
      </c>
    </row>
    <row r="112" spans="2:4" x14ac:dyDescent="0.55000000000000004">
      <c r="B112" s="224" t="s">
        <v>5946</v>
      </c>
      <c r="C112" s="225" t="str">
        <f>VLOOKUP(C$107,HFS[#Data],MATCH($B112,HFS[#Headers],0),FALSE)</f>
        <v>192.168.122.1</v>
      </c>
      <c r="D112" s="225" t="str">
        <f>VLOOKUP(D$107,HFS[#Data],MATCH($B112,HFS[#Headers],0),FALSE)</f>
        <v>192.168.122.1</v>
      </c>
    </row>
    <row r="113" spans="2:14" x14ac:dyDescent="0.55000000000000004">
      <c r="B113" s="224" t="s">
        <v>5947</v>
      </c>
      <c r="C113" s="225" t="str">
        <f>VLOOKUP(C$107,HFS[#Data],MATCH($B113,HFS[#Headers],0),FALSE)</f>
        <v>10.250.81.76</v>
      </c>
      <c r="D113" s="225" t="str">
        <f>VLOOKUP(D$107,HFS[#Data],MATCH($B113,HFS[#Headers],0),FALSE)</f>
        <v>10.250.81.77</v>
      </c>
    </row>
    <row r="114" spans="2:14" x14ac:dyDescent="0.55000000000000004">
      <c r="B114" s="224" t="s">
        <v>886</v>
      </c>
      <c r="C114" s="225" t="str">
        <f>VLOOKUP(C$107,HFS[#Data],MATCH($B114,HFS[#Headers],0),FALSE)</f>
        <v>w27snpnbs-tts-001100</v>
      </c>
      <c r="D114" s="225" t="str">
        <f>VLOOKUP(D$107,HFS[#Data],MATCH($B114,HFS[#Headers],0),FALSE)</f>
        <v>w27snpnbs-tts-001100</v>
      </c>
    </row>
    <row r="115" spans="2:14" x14ac:dyDescent="0.55000000000000004">
      <c r="B115" s="224" t="s">
        <v>887</v>
      </c>
      <c r="C115" s="225" t="str">
        <f>VLOOKUP(C$107,HFS[#Data],MATCH($B115,HFS[#Headers],0),FALSE)</f>
        <v>10.95.200.140</v>
      </c>
      <c r="D115" s="225" t="str">
        <f>VLOOKUP(D$107,HFS[#Data],MATCH($B115,HFS[#Headers],0),FALSE)</f>
        <v>10.95.200.140</v>
      </c>
    </row>
    <row r="116" spans="2:14" x14ac:dyDescent="0.55000000000000004">
      <c r="B116" s="224" t="s">
        <v>888</v>
      </c>
      <c r="C116" s="225" t="str">
        <f>VLOOKUP(C$107,HFS[#Data],MATCH($B116,HFS[#Headers],0),FALSE)</f>
        <v>8119</v>
      </c>
      <c r="D116" s="225" t="str">
        <f>VLOOKUP(D$107,HFS[#Data],MATCH($B116,HFS[#Headers],0),FALSE)</f>
        <v>8120</v>
      </c>
    </row>
    <row r="118" spans="2:14" x14ac:dyDescent="0.55000000000000004">
      <c r="B118" s="222" t="s">
        <v>5948</v>
      </c>
      <c r="C118" s="223"/>
      <c r="D118" s="223"/>
    </row>
    <row r="119" spans="2:14" x14ac:dyDescent="0.55000000000000004">
      <c r="B119" s="226"/>
      <c r="C119" s="237" t="str">
        <f>"SBC_CL"&amp;$B$6&amp;"_0系"</f>
        <v>SBC_CL1_0系</v>
      </c>
      <c r="D119" s="237" t="str">
        <f>"SBC_CL"&amp;$B$6&amp;"_1系"</f>
        <v>SBC_CL1_1系</v>
      </c>
      <c r="E119" s="233"/>
      <c r="F119" s="233"/>
      <c r="G119" s="233"/>
      <c r="H119" s="233"/>
      <c r="I119" s="233"/>
      <c r="J119" s="233"/>
      <c r="K119" s="233"/>
      <c r="L119" s="233"/>
      <c r="M119" s="233"/>
      <c r="N119" s="233"/>
    </row>
    <row r="120" spans="2:14" x14ac:dyDescent="0.55000000000000004">
      <c r="B120" s="224" t="s">
        <v>4</v>
      </c>
      <c r="C120" s="225" t="str">
        <f>VLOOKUP($B$5,ユニット構成[#All],MATCH(C119,ユニット構成[#Headers],0),FALSE)</f>
        <v>w27onssc-0100ac</v>
      </c>
      <c r="D120" s="225" t="str">
        <f>VLOOKUP($B$5,ユニット構成[#All],MATCH(D119,ユニット構成[#Headers],0),FALSE)</f>
        <v>w27onssc-0101ac</v>
      </c>
      <c r="E120" s="236"/>
      <c r="F120" s="236"/>
      <c r="G120" s="236"/>
      <c r="H120" s="236"/>
      <c r="I120" s="236"/>
      <c r="J120" s="236"/>
      <c r="K120" s="236"/>
      <c r="L120" s="236"/>
      <c r="M120" s="236"/>
      <c r="N120" s="236"/>
    </row>
    <row r="121" spans="2:14" x14ac:dyDescent="0.55000000000000004">
      <c r="B121" s="224" t="s">
        <v>121</v>
      </c>
      <c r="C121" s="225" t="str">
        <f>VLOOKUP(C$120,SBC[#Data],MATCH($B121,SBC[#Headers],0),FALSE)</f>
        <v>10.250.84.65</v>
      </c>
      <c r="D121" s="225" t="str">
        <f>VLOOKUP(D$120,SBC[#Data],MATCH($B121,SBC[#Headers],0),FALSE)</f>
        <v>10.250.84.66</v>
      </c>
      <c r="E121" s="236"/>
      <c r="F121" s="236"/>
      <c r="G121" s="236"/>
      <c r="H121" s="236"/>
      <c r="I121" s="236"/>
      <c r="J121" s="236"/>
      <c r="K121" s="236"/>
      <c r="L121" s="236"/>
      <c r="M121" s="236"/>
      <c r="N121" s="236"/>
    </row>
    <row r="122" spans="2:14" x14ac:dyDescent="0.55000000000000004">
      <c r="B122" s="224" t="s">
        <v>123</v>
      </c>
      <c r="C122" s="225" t="str">
        <f>VLOOKUP(C$120,SBC[#Data],MATCH($B122,SBC[#Headers],0),FALSE)</f>
        <v>10.250.84.129</v>
      </c>
      <c r="D122" s="225" t="str">
        <f>VLOOKUP(D$120,SBC[#Data],MATCH($B122,SBC[#Headers],0),FALSE)</f>
        <v>10.250.84.130</v>
      </c>
      <c r="E122" s="236"/>
      <c r="F122" s="236"/>
      <c r="G122" s="236"/>
      <c r="H122" s="236"/>
      <c r="I122" s="236"/>
      <c r="J122" s="236"/>
      <c r="K122" s="236"/>
      <c r="L122" s="236"/>
      <c r="M122" s="236"/>
      <c r="N122" s="236"/>
    </row>
    <row r="123" spans="2:14" x14ac:dyDescent="0.55000000000000004">
      <c r="B123" s="224" t="s">
        <v>120</v>
      </c>
      <c r="C123" s="225" t="str">
        <f>VLOOKUP(C$120,SBC[#Data],MATCH($B123,SBC[#Headers],0),FALSE)</f>
        <v>10.250.85.1</v>
      </c>
      <c r="D123" s="225" t="str">
        <f>VLOOKUP(D$120,SBC[#Data],MATCH($B123,SBC[#Headers],0),FALSE)</f>
        <v>10.250.85.2</v>
      </c>
      <c r="E123" s="236"/>
      <c r="F123" s="236"/>
      <c r="G123" s="236"/>
      <c r="H123" s="236"/>
      <c r="I123" s="236"/>
      <c r="J123" s="236"/>
      <c r="K123" s="236"/>
      <c r="L123" s="236"/>
      <c r="M123" s="236"/>
      <c r="N123" s="236"/>
    </row>
    <row r="124" spans="2:14" x14ac:dyDescent="0.55000000000000004">
      <c r="B124" s="224" t="s">
        <v>122</v>
      </c>
      <c r="C124" s="225" t="str">
        <f>VLOOKUP(C$120,SBC[#Data],MATCH($B124,SBC[#Headers],0),FALSE)</f>
        <v>10.250.85.65</v>
      </c>
      <c r="D124" s="225" t="str">
        <f>VLOOKUP(D$120,SBC[#Data],MATCH($B124,SBC[#Headers],0),FALSE)</f>
        <v>10.250.85.66</v>
      </c>
      <c r="E124" s="236"/>
      <c r="F124" s="236"/>
      <c r="G124" s="236"/>
      <c r="H124" s="236"/>
      <c r="I124" s="236"/>
      <c r="J124" s="236"/>
      <c r="K124" s="236"/>
      <c r="L124" s="236"/>
      <c r="M124" s="236"/>
      <c r="N124" s="236"/>
    </row>
    <row r="125" spans="2:14" x14ac:dyDescent="0.55000000000000004">
      <c r="B125" s="224" t="s">
        <v>5951</v>
      </c>
      <c r="C125" s="225" t="str">
        <f>VLOOKUP(C$120,SBC[#Data],MATCH($B125,SBC[#Headers],0),FALSE)</f>
        <v>210.233.246.4</v>
      </c>
      <c r="D125" s="225" t="str">
        <f>VLOOKUP(D$120,SBC[#Data],MATCH($B125,SBC[#Headers],0),FALSE)</f>
        <v>210.233.246.4</v>
      </c>
      <c r="E125" s="236"/>
      <c r="F125" s="236"/>
      <c r="G125" s="236"/>
      <c r="H125" s="236"/>
      <c r="I125" s="236"/>
      <c r="J125" s="236"/>
      <c r="K125" s="236"/>
      <c r="L125" s="236"/>
      <c r="M125" s="236"/>
      <c r="N125" s="236"/>
    </row>
    <row r="126" spans="2:14" x14ac:dyDescent="0.55000000000000004">
      <c r="B126" s="224" t="s">
        <v>5952</v>
      </c>
      <c r="C126" s="225" t="str">
        <f>VLOOKUP(C$120,SBC[#Data],MATCH($B126,SBC[#Headers],0),FALSE)</f>
        <v>2001:a7ff:0100:10:0:0:0:4</v>
      </c>
      <c r="D126" s="225" t="str">
        <f>VLOOKUP(D$120,SBC[#Data],MATCH($B126,SBC[#Headers],0),FALSE)</f>
        <v>2001:a7ff:0100:10:0:0:0:4</v>
      </c>
      <c r="E126" s="236"/>
      <c r="F126" s="236"/>
      <c r="G126" s="236"/>
      <c r="H126" s="236"/>
      <c r="I126" s="236"/>
      <c r="J126" s="236"/>
      <c r="K126" s="236"/>
      <c r="L126" s="236"/>
      <c r="M126" s="236"/>
      <c r="N126" s="236"/>
    </row>
    <row r="127" spans="2:14" x14ac:dyDescent="0.55000000000000004">
      <c r="B127" s="224" t="s">
        <v>5953</v>
      </c>
      <c r="C127" s="225" t="str">
        <f>VLOOKUP(C$120,SBC[#Data],MATCH($B127,SBC[#Headers],0),FALSE)</f>
        <v>10.250.80.4</v>
      </c>
      <c r="D127" s="225" t="str">
        <f>VLOOKUP(D$120,SBC[#Data],MATCH($B127,SBC[#Headers],0),FALSE)</f>
        <v>10.250.80.4</v>
      </c>
      <c r="E127" s="236"/>
      <c r="F127" s="236"/>
      <c r="G127" s="236"/>
      <c r="H127" s="236"/>
      <c r="I127" s="236"/>
      <c r="J127" s="236"/>
      <c r="K127" s="236"/>
      <c r="L127" s="236"/>
      <c r="M127" s="236"/>
      <c r="N127" s="236"/>
    </row>
    <row r="128" spans="2:14" x14ac:dyDescent="0.55000000000000004">
      <c r="B128" s="224" t="s">
        <v>5954</v>
      </c>
      <c r="C128" s="225" t="str">
        <f>VLOOKUP(C$120,SBC[#Data],MATCH($B128,SBC[#Headers],0),FALSE)</f>
        <v>10.250.80.20</v>
      </c>
      <c r="D128" s="225" t="str">
        <f>VLOOKUP(D$120,SBC[#Data],MATCH($B128,SBC[#Headers],0),FALSE)</f>
        <v>10.250.80.21</v>
      </c>
      <c r="E128" s="236"/>
      <c r="F128" s="236"/>
      <c r="G128" s="236"/>
      <c r="H128" s="236"/>
      <c r="I128" s="236"/>
      <c r="J128" s="236"/>
      <c r="K128" s="236"/>
      <c r="L128" s="236"/>
      <c r="M128" s="236"/>
      <c r="N128" s="236"/>
    </row>
    <row r="129" spans="2:14" x14ac:dyDescent="0.55000000000000004">
      <c r="B129" s="224" t="s">
        <v>5955</v>
      </c>
      <c r="C129" s="225" t="str">
        <f>VLOOKUP(C$120,SBC[#Data],MATCH($B129,SBC[#Headers],0),FALSE)</f>
        <v>10.250.80.36</v>
      </c>
      <c r="D129" s="225" t="str">
        <f>VLOOKUP(D$120,SBC[#Data],MATCH($B129,SBC[#Headers],0),FALSE)</f>
        <v>10.250.80.37</v>
      </c>
      <c r="E129" s="236"/>
      <c r="F129" s="236"/>
      <c r="G129" s="236"/>
      <c r="H129" s="236"/>
      <c r="I129" s="236"/>
      <c r="J129" s="236"/>
      <c r="K129" s="236"/>
      <c r="L129" s="236"/>
      <c r="M129" s="236"/>
      <c r="N129" s="236"/>
    </row>
    <row r="130" spans="2:14" x14ac:dyDescent="0.55000000000000004">
      <c r="B130" s="224" t="s">
        <v>5956</v>
      </c>
      <c r="C130" s="225" t="str">
        <f>VLOOKUP(C$120,SBC[#Data],MATCH($B130,SBC[#Headers],0),FALSE)</f>
        <v>10.250.80.68</v>
      </c>
      <c r="D130" s="225" t="str">
        <f>VLOOKUP(D$120,SBC[#Data],MATCH($B130,SBC[#Headers],0),FALSE)</f>
        <v>10.250.80.69</v>
      </c>
      <c r="E130" s="236"/>
      <c r="F130" s="236"/>
      <c r="G130" s="236"/>
      <c r="H130" s="236"/>
      <c r="I130" s="236"/>
      <c r="J130" s="236"/>
      <c r="K130" s="236"/>
      <c r="L130" s="236"/>
      <c r="M130" s="236"/>
      <c r="N130" s="236"/>
    </row>
    <row r="131" spans="2:14" x14ac:dyDescent="0.55000000000000004">
      <c r="B131" s="224" t="s">
        <v>5957</v>
      </c>
      <c r="C131" s="225" t="str">
        <f>VLOOKUP(C$120,SBC[#Data],MATCH($B131,SBC[#Headers],0),FALSE)</f>
        <v>10.250.80.53</v>
      </c>
      <c r="D131" s="225" t="str">
        <f>VLOOKUP(D$120,SBC[#Data],MATCH($B131,SBC[#Headers],0),FALSE)</f>
        <v>10.250.80.53</v>
      </c>
      <c r="E131" s="236"/>
      <c r="F131" s="236"/>
      <c r="G131" s="236"/>
      <c r="H131" s="236"/>
      <c r="I131" s="236"/>
      <c r="J131" s="236"/>
      <c r="K131" s="236"/>
      <c r="L131" s="236"/>
      <c r="M131" s="236"/>
      <c r="N131" s="236"/>
    </row>
    <row r="132" spans="2:14" x14ac:dyDescent="0.55000000000000004">
      <c r="B132" s="224" t="s">
        <v>5958</v>
      </c>
      <c r="C132" s="225" t="str">
        <f>VLOOKUP(C$120,SBC[#Data],MATCH($B132,SBC[#Headers],0),FALSE)</f>
        <v>10.250.85.129</v>
      </c>
      <c r="D132" s="225" t="str">
        <f>VLOOKUP(D$120,SBC[#Data],MATCH($B132,SBC[#Headers],0),FALSE)</f>
        <v>10.250.85.130</v>
      </c>
      <c r="E132" s="236"/>
      <c r="F132" s="236"/>
      <c r="G132" s="236"/>
      <c r="H132" s="236"/>
      <c r="I132" s="236"/>
      <c r="J132" s="236"/>
      <c r="K132" s="236"/>
      <c r="L132" s="236"/>
      <c r="M132" s="236"/>
      <c r="N132" s="236"/>
    </row>
    <row r="133" spans="2:14" x14ac:dyDescent="0.55000000000000004">
      <c r="E133" s="233"/>
      <c r="F133" s="233"/>
      <c r="G133" s="233"/>
      <c r="H133" s="233"/>
      <c r="I133" s="233"/>
      <c r="J133" s="233"/>
      <c r="K133" s="233"/>
      <c r="L133" s="233"/>
      <c r="M133" s="233"/>
      <c r="N133" s="233"/>
    </row>
    <row r="134" spans="2:14" x14ac:dyDescent="0.55000000000000004">
      <c r="B134" s="222" t="s">
        <v>5959</v>
      </c>
      <c r="C134" s="223"/>
      <c r="D134" s="223"/>
      <c r="E134" s="233"/>
      <c r="F134" s="233"/>
      <c r="G134" s="233"/>
      <c r="H134" s="233"/>
      <c r="I134" s="233"/>
      <c r="J134" s="233"/>
      <c r="K134" s="233"/>
      <c r="L134" s="233"/>
      <c r="M134" s="233"/>
      <c r="N134" s="233"/>
    </row>
    <row r="135" spans="2:14" x14ac:dyDescent="0.55000000000000004">
      <c r="B135" s="226"/>
      <c r="C135" s="237" t="str">
        <f>"HSS_CL"&amp;$B$6&amp;"_0系"</f>
        <v>HSS_CL1_0系</v>
      </c>
      <c r="D135" s="237" t="str">
        <f>"HSS_CL"&amp;$B$6&amp;"_1系"</f>
        <v>HSS_CL1_1系</v>
      </c>
      <c r="E135" s="233"/>
      <c r="F135" s="233"/>
      <c r="G135" s="233"/>
      <c r="H135" s="233"/>
      <c r="I135" s="233"/>
      <c r="J135" s="233"/>
      <c r="K135" s="233"/>
      <c r="L135" s="233"/>
      <c r="M135" s="233"/>
      <c r="N135" s="233"/>
    </row>
    <row r="136" spans="2:14" x14ac:dyDescent="0.55000000000000004">
      <c r="B136" s="224" t="s">
        <v>4</v>
      </c>
      <c r="C136" s="225" t="str">
        <f>VLOOKUP($B$5,ユニット構成[#All],MATCH(C135,ユニット構成[#Headers],0),FALSE)</f>
        <v>w27onhss-0100ss</v>
      </c>
      <c r="D136" s="225" t="str">
        <f>VLOOKUP($B$5,ユニット構成[#All],MATCH(D135,ユニット構成[#Headers],0),FALSE)</f>
        <v>w27onhss-0101ss</v>
      </c>
      <c r="E136" s="236"/>
      <c r="F136" s="236"/>
      <c r="G136" s="236"/>
      <c r="H136" s="236"/>
      <c r="I136" s="236"/>
      <c r="J136" s="236"/>
      <c r="K136" s="236"/>
      <c r="L136" s="236"/>
      <c r="M136" s="236"/>
      <c r="N136" s="236"/>
    </row>
    <row r="137" spans="2:14" x14ac:dyDescent="0.55000000000000004">
      <c r="B137" s="224" t="s">
        <v>1185</v>
      </c>
      <c r="C137" s="225" t="str">
        <f>VLOOKUP(C$136,HSS[#Data],MATCH($B137,HSS[#Headers],0),FALSE)</f>
        <v>10.250.80.100</v>
      </c>
      <c r="D137" s="225" t="str">
        <f>VLOOKUP(D$136,HSS[#Data],MATCH($B137,HSS[#Headers],0),FALSE)</f>
        <v>10.250.80.101</v>
      </c>
      <c r="E137" s="236"/>
      <c r="F137" s="236"/>
      <c r="G137" s="236"/>
      <c r="H137" s="236"/>
      <c r="I137" s="236"/>
      <c r="J137" s="236"/>
      <c r="K137" s="236"/>
      <c r="L137" s="236"/>
      <c r="M137" s="236"/>
      <c r="N137" s="236"/>
    </row>
    <row r="138" spans="2:14" x14ac:dyDescent="0.55000000000000004">
      <c r="B138" s="224" t="s">
        <v>1186</v>
      </c>
      <c r="C138" s="225" t="str">
        <f>VLOOKUP(C$136,HSS[#Data],MATCH($B138,HSS[#Headers],0),FALSE)</f>
        <v>10.250.80.7</v>
      </c>
      <c r="D138" s="225" t="str">
        <f>VLOOKUP(D$136,HSS[#Data],MATCH($B138,HSS[#Headers],0),FALSE)</f>
        <v>10.250.80.8</v>
      </c>
      <c r="E138" s="236"/>
      <c r="F138" s="236"/>
      <c r="G138" s="236"/>
      <c r="H138" s="236"/>
      <c r="I138" s="236"/>
      <c r="J138" s="236"/>
      <c r="K138" s="236"/>
      <c r="L138" s="236"/>
      <c r="M138" s="236"/>
      <c r="N138" s="236"/>
    </row>
    <row r="139" spans="2:14" x14ac:dyDescent="0.55000000000000004">
      <c r="B139" s="224" t="s">
        <v>1187</v>
      </c>
      <c r="C139" s="225" t="str">
        <f>VLOOKUP(C$136,HSS[#Data],MATCH($B139,HSS[#Headers],0),FALSE)</f>
        <v>10.250.80.74</v>
      </c>
      <c r="D139" s="225" t="str">
        <f>VLOOKUP(D$136,HSS[#Data],MATCH($B139,HSS[#Headers],0),FALSE)</f>
        <v>10.250.80.75</v>
      </c>
      <c r="E139" s="236"/>
      <c r="F139" s="236"/>
      <c r="G139" s="236"/>
      <c r="H139" s="236"/>
      <c r="I139" s="236"/>
      <c r="J139" s="236"/>
      <c r="K139" s="236"/>
      <c r="L139" s="236"/>
      <c r="M139" s="236"/>
      <c r="N139" s="236"/>
    </row>
    <row r="140" spans="2:14" x14ac:dyDescent="0.55000000000000004">
      <c r="B140" s="224" t="s">
        <v>1188</v>
      </c>
      <c r="C140" s="225" t="str">
        <f>VLOOKUP(C$136,HSS[#Data],MATCH($B140,HSS[#Headers],0),FALSE)</f>
        <v>10.250.80.7</v>
      </c>
      <c r="D140" s="225" t="str">
        <f>VLOOKUP(D$136,HSS[#Data],MATCH($B140,HSS[#Headers],0),FALSE)</f>
        <v>10.250.80.8</v>
      </c>
      <c r="E140" s="236"/>
      <c r="F140" s="236"/>
      <c r="G140" s="236"/>
      <c r="H140" s="236"/>
      <c r="I140" s="236"/>
      <c r="J140" s="236"/>
      <c r="K140" s="236"/>
      <c r="L140" s="236"/>
      <c r="M140" s="236"/>
      <c r="N140" s="236"/>
    </row>
    <row r="141" spans="2:14" x14ac:dyDescent="0.55000000000000004">
      <c r="B141" s="224" t="s">
        <v>5946</v>
      </c>
      <c r="C141" s="225" t="str">
        <f>VLOOKUP(C$136,HSS[#Data],MATCH($B141,HSS[#Headers],0),FALSE)</f>
        <v>192.168.122.1</v>
      </c>
      <c r="D141" s="225" t="str">
        <f>VLOOKUP(D$136,HSS[#Data],MATCH($B141,HSS[#Headers],0),FALSE)</f>
        <v>192.168.122.1</v>
      </c>
      <c r="E141" s="236"/>
      <c r="F141" s="236"/>
      <c r="G141" s="236"/>
      <c r="H141" s="236"/>
      <c r="I141" s="236"/>
      <c r="J141" s="236"/>
      <c r="K141" s="236"/>
      <c r="L141" s="236"/>
      <c r="M141" s="236"/>
      <c r="N141" s="236"/>
    </row>
    <row r="142" spans="2:14" x14ac:dyDescent="0.55000000000000004">
      <c r="B142" s="224" t="s">
        <v>5947</v>
      </c>
      <c r="C142" s="225" t="str">
        <f>VLOOKUP(C$136,HSS[#Data],MATCH($B142,HSS[#Headers],0),FALSE)</f>
        <v>10.250.80.106</v>
      </c>
      <c r="D142" s="225" t="str">
        <f>VLOOKUP(D$136,HSS[#Data],MATCH($B142,HSS[#Headers],0),FALSE)</f>
        <v>10.250.80.107</v>
      </c>
      <c r="E142" s="236"/>
      <c r="F142" s="236"/>
      <c r="G142" s="236"/>
      <c r="H142" s="236"/>
      <c r="I142" s="236"/>
      <c r="J142" s="236"/>
      <c r="K142" s="236"/>
      <c r="L142" s="236"/>
      <c r="M142" s="236"/>
      <c r="N142" s="236"/>
    </row>
    <row r="143" spans="2:14" x14ac:dyDescent="0.55000000000000004">
      <c r="B143" s="224" t="s">
        <v>886</v>
      </c>
      <c r="C143" s="225" t="str">
        <f>VLOOKUP(C$136,HSS[#Data],MATCH($B143,HSS[#Headers],0),FALSE)</f>
        <v>w27snpnbs-tts-001100</v>
      </c>
      <c r="D143" s="225" t="str">
        <f>VLOOKUP(D$136,HSS[#Data],MATCH($B143,HSS[#Headers],0),FALSE)</f>
        <v>w27snpnbs-tts-001100</v>
      </c>
      <c r="E143" s="236"/>
      <c r="F143" s="236"/>
      <c r="G143" s="236"/>
      <c r="H143" s="236"/>
      <c r="I143" s="236"/>
      <c r="J143" s="236"/>
      <c r="K143" s="236"/>
      <c r="L143" s="236"/>
      <c r="M143" s="236"/>
      <c r="N143" s="236"/>
    </row>
    <row r="144" spans="2:14" x14ac:dyDescent="0.55000000000000004">
      <c r="B144" s="224" t="s">
        <v>887</v>
      </c>
      <c r="C144" s="225" t="str">
        <f>VLOOKUP(C$136,HSS[#Data],MATCH($B144,HSS[#Headers],0),FALSE)</f>
        <v>10.95.200.140</v>
      </c>
      <c r="D144" s="225" t="str">
        <f>VLOOKUP(D$136,HSS[#Data],MATCH($B144,HSS[#Headers],0),FALSE)</f>
        <v>10.95.200.140</v>
      </c>
      <c r="E144" s="236"/>
      <c r="F144" s="236"/>
      <c r="G144" s="236"/>
      <c r="H144" s="236"/>
      <c r="I144" s="236"/>
      <c r="J144" s="236"/>
      <c r="K144" s="236"/>
      <c r="L144" s="236"/>
      <c r="M144" s="236"/>
      <c r="N144" s="236"/>
    </row>
    <row r="145" spans="2:14" x14ac:dyDescent="0.55000000000000004">
      <c r="B145" s="224" t="s">
        <v>888</v>
      </c>
      <c r="C145" s="225" t="str">
        <f>VLOOKUP(C$136,HSS[#Data],MATCH($B145,HSS[#Headers],0),FALSE)</f>
        <v>8101</v>
      </c>
      <c r="D145" s="225" t="str">
        <f>VLOOKUP(D$136,HSS[#Data],MATCH($B145,HSS[#Headers],0),FALSE)</f>
        <v>8102</v>
      </c>
      <c r="E145" s="236"/>
      <c r="F145" s="236"/>
      <c r="G145" s="236"/>
      <c r="H145" s="236"/>
      <c r="I145" s="236"/>
      <c r="J145" s="236"/>
      <c r="K145" s="236"/>
      <c r="L145" s="236"/>
      <c r="M145" s="236"/>
      <c r="N145" s="236"/>
    </row>
    <row r="147" spans="2:14" hidden="1" x14ac:dyDescent="0.55000000000000004">
      <c r="B147" s="222" t="s">
        <v>5948</v>
      </c>
      <c r="C147" s="223"/>
      <c r="D147" s="223"/>
    </row>
    <row r="148" spans="2:14" hidden="1" x14ac:dyDescent="0.55000000000000004">
      <c r="B148" s="226"/>
      <c r="C148" s="226" t="s">
        <v>5949</v>
      </c>
      <c r="D148" s="226" t="s">
        <v>5950</v>
      </c>
      <c r="E148" s="226" t="s">
        <v>5745</v>
      </c>
      <c r="F148" s="226" t="s">
        <v>5746</v>
      </c>
      <c r="G148" s="226" t="s">
        <v>5747</v>
      </c>
      <c r="H148" s="226" t="s">
        <v>5748</v>
      </c>
      <c r="I148" s="226" t="s">
        <v>5749</v>
      </c>
      <c r="J148" s="226" t="s">
        <v>5750</v>
      </c>
      <c r="K148" s="226" t="s">
        <v>5751</v>
      </c>
      <c r="L148" s="226" t="s">
        <v>5752</v>
      </c>
      <c r="M148" s="226" t="s">
        <v>5753</v>
      </c>
      <c r="N148" s="226" t="s">
        <v>5754</v>
      </c>
    </row>
    <row r="149" spans="2:14" hidden="1" x14ac:dyDescent="0.55000000000000004">
      <c r="B149" s="224" t="s">
        <v>4</v>
      </c>
      <c r="C149" s="225" t="str">
        <f>VLOOKUP($B$5,ユニット構成[#All],MATCH(C148,ユニット構成[#Headers],0),FALSE)</f>
        <v>w27onssc-0100ac</v>
      </c>
      <c r="D149" s="225" t="str">
        <f>VLOOKUP($B$5,ユニット構成[#All],MATCH(D148,ユニット構成[#Headers],0),FALSE)</f>
        <v>w27onssc-0101ac</v>
      </c>
      <c r="E149" s="225" t="str">
        <f>VLOOKUP($B$5,ユニット構成[#All],MATCH(E148,ユニット構成[#Headers],0),FALSE)</f>
        <v>w27onssc-0110ac</v>
      </c>
      <c r="F149" s="225" t="str">
        <f>VLOOKUP($B$5,ユニット構成[#All],MATCH(F148,ユニット構成[#Headers],0),FALSE)</f>
        <v>w27onssc-0111ac</v>
      </c>
      <c r="G149" s="225" t="str">
        <f>VLOOKUP($B$5,ユニット構成[#All],MATCH(G148,ユニット構成[#Headers],0),FALSE)</f>
        <v>w27onssc-0120ac</v>
      </c>
      <c r="H149" s="225" t="str">
        <f>VLOOKUP($B$5,ユニット構成[#All],MATCH(H148,ユニット構成[#Headers],0),FALSE)</f>
        <v>w27onssc-0121ac</v>
      </c>
      <c r="I149" s="225" t="str">
        <f>VLOOKUP($B$5,ユニット構成[#All],MATCH(I148,ユニット構成[#Headers],0),FALSE)</f>
        <v>w27onssc-0130ac</v>
      </c>
      <c r="J149" s="225" t="str">
        <f>VLOOKUP($B$5,ユニット構成[#All],MATCH(J148,ユニット構成[#Headers],0),FALSE)</f>
        <v>w27onssc-0131ac</v>
      </c>
      <c r="K149" s="225" t="str">
        <f>VLOOKUP($B$5,ユニット構成[#All],MATCH(K148,ユニット構成[#Headers],0),FALSE)</f>
        <v>w27onssc-0140ac</v>
      </c>
      <c r="L149" s="225" t="str">
        <f>VLOOKUP($B$5,ユニット構成[#All],MATCH(L148,ユニット構成[#Headers],0),FALSE)</f>
        <v>w27onssc-0141ac</v>
      </c>
      <c r="M149" s="225" t="str">
        <f>VLOOKUP($B$5,ユニット構成[#All],MATCH(M148,ユニット構成[#Headers],0),FALSE)</f>
        <v>w27onssc-0150ac</v>
      </c>
      <c r="N149" s="225" t="str">
        <f>VLOOKUP($B$5,ユニット構成[#All],MATCH(N148,ユニット構成[#Headers],0),FALSE)</f>
        <v>w27onssc-0151ac</v>
      </c>
    </row>
    <row r="150" spans="2:14" hidden="1" x14ac:dyDescent="0.55000000000000004">
      <c r="B150" s="224" t="s">
        <v>121</v>
      </c>
      <c r="C150" s="225" t="str">
        <f>VLOOKUP(C$120,SBC[#Data],MATCH($B150,SBC[#Headers],0),FALSE)</f>
        <v>10.250.84.65</v>
      </c>
      <c r="D150" s="225" t="str">
        <f>VLOOKUP(D$120,SBC[#Data],MATCH($B150,SBC[#Headers],0),FALSE)</f>
        <v>10.250.84.66</v>
      </c>
      <c r="E150" s="225" t="e">
        <f>VLOOKUP(E$120,SBC[#Data],MATCH($B150,SBC[#Headers],0),FALSE)</f>
        <v>#N/A</v>
      </c>
      <c r="F150" s="225" t="e">
        <f>VLOOKUP(F$120,SBC[#Data],MATCH($B150,SBC[#Headers],0),FALSE)</f>
        <v>#N/A</v>
      </c>
      <c r="G150" s="225" t="e">
        <f>VLOOKUP(G$120,SBC[#Data],MATCH($B150,SBC[#Headers],0),FALSE)</f>
        <v>#N/A</v>
      </c>
      <c r="H150" s="225" t="e">
        <f>VLOOKUP(H$120,SBC[#Data],MATCH($B150,SBC[#Headers],0),FALSE)</f>
        <v>#N/A</v>
      </c>
      <c r="I150" s="225" t="e">
        <f>VLOOKUP(I$120,SBC[#Data],MATCH($B150,SBC[#Headers],0),FALSE)</f>
        <v>#N/A</v>
      </c>
      <c r="J150" s="225" t="e">
        <f>VLOOKUP(J$120,SBC[#Data],MATCH($B150,SBC[#Headers],0),FALSE)</f>
        <v>#N/A</v>
      </c>
      <c r="K150" s="225" t="e">
        <f>VLOOKUP(K$120,SBC[#Data],MATCH($B150,SBC[#Headers],0),FALSE)</f>
        <v>#N/A</v>
      </c>
      <c r="L150" s="225" t="e">
        <f>VLOOKUP(L$120,SBC[#Data],MATCH($B150,SBC[#Headers],0),FALSE)</f>
        <v>#N/A</v>
      </c>
      <c r="M150" s="225" t="e">
        <f>VLOOKUP(M$120,SBC[#Data],MATCH($B150,SBC[#Headers],0),FALSE)</f>
        <v>#N/A</v>
      </c>
      <c r="N150" s="225" t="e">
        <f>VLOOKUP(N$120,SBC[#Data],MATCH($B150,SBC[#Headers],0),FALSE)</f>
        <v>#N/A</v>
      </c>
    </row>
    <row r="151" spans="2:14" hidden="1" x14ac:dyDescent="0.55000000000000004">
      <c r="B151" s="224" t="s">
        <v>123</v>
      </c>
      <c r="C151" s="225" t="str">
        <f>VLOOKUP(C$120,SBC[#Data],MATCH($B151,SBC[#Headers],0),FALSE)</f>
        <v>10.250.84.129</v>
      </c>
      <c r="D151" s="225" t="str">
        <f>VLOOKUP(D$120,SBC[#Data],MATCH($B151,SBC[#Headers],0),FALSE)</f>
        <v>10.250.84.130</v>
      </c>
      <c r="E151" s="225" t="e">
        <f>VLOOKUP(E$120,SBC[#Data],MATCH($B151,SBC[#Headers],0),FALSE)</f>
        <v>#N/A</v>
      </c>
      <c r="F151" s="225" t="e">
        <f>VLOOKUP(F$120,SBC[#Data],MATCH($B151,SBC[#Headers],0),FALSE)</f>
        <v>#N/A</v>
      </c>
      <c r="G151" s="225" t="e">
        <f>VLOOKUP(G$120,SBC[#Data],MATCH($B151,SBC[#Headers],0),FALSE)</f>
        <v>#N/A</v>
      </c>
      <c r="H151" s="225" t="e">
        <f>VLOOKUP(H$120,SBC[#Data],MATCH($B151,SBC[#Headers],0),FALSE)</f>
        <v>#N/A</v>
      </c>
      <c r="I151" s="225" t="e">
        <f>VLOOKUP(I$120,SBC[#Data],MATCH($B151,SBC[#Headers],0),FALSE)</f>
        <v>#N/A</v>
      </c>
      <c r="J151" s="225" t="e">
        <f>VLOOKUP(J$120,SBC[#Data],MATCH($B151,SBC[#Headers],0),FALSE)</f>
        <v>#N/A</v>
      </c>
      <c r="K151" s="225" t="e">
        <f>VLOOKUP(K$120,SBC[#Data],MATCH($B151,SBC[#Headers],0),FALSE)</f>
        <v>#N/A</v>
      </c>
      <c r="L151" s="225" t="e">
        <f>VLOOKUP(L$120,SBC[#Data],MATCH($B151,SBC[#Headers],0),FALSE)</f>
        <v>#N/A</v>
      </c>
      <c r="M151" s="225" t="e">
        <f>VLOOKUP(M$120,SBC[#Data],MATCH($B151,SBC[#Headers],0),FALSE)</f>
        <v>#N/A</v>
      </c>
      <c r="N151" s="225" t="e">
        <f>VLOOKUP(N$120,SBC[#Data],MATCH($B151,SBC[#Headers],0),FALSE)</f>
        <v>#N/A</v>
      </c>
    </row>
    <row r="152" spans="2:14" hidden="1" x14ac:dyDescent="0.55000000000000004">
      <c r="B152" s="224" t="s">
        <v>120</v>
      </c>
      <c r="C152" s="225" t="str">
        <f>VLOOKUP(C$120,SBC[#Data],MATCH($B152,SBC[#Headers],0),FALSE)</f>
        <v>10.250.85.1</v>
      </c>
      <c r="D152" s="225" t="str">
        <f>VLOOKUP(D$120,SBC[#Data],MATCH($B152,SBC[#Headers],0),FALSE)</f>
        <v>10.250.85.2</v>
      </c>
      <c r="E152" s="225" t="e">
        <f>VLOOKUP(E$120,SBC[#Data],MATCH($B152,SBC[#Headers],0),FALSE)</f>
        <v>#N/A</v>
      </c>
      <c r="F152" s="225" t="e">
        <f>VLOOKUP(F$120,SBC[#Data],MATCH($B152,SBC[#Headers],0),FALSE)</f>
        <v>#N/A</v>
      </c>
      <c r="G152" s="225" t="e">
        <f>VLOOKUP(G$120,SBC[#Data],MATCH($B152,SBC[#Headers],0),FALSE)</f>
        <v>#N/A</v>
      </c>
      <c r="H152" s="225" t="e">
        <f>VLOOKUP(H$120,SBC[#Data],MATCH($B152,SBC[#Headers],0),FALSE)</f>
        <v>#N/A</v>
      </c>
      <c r="I152" s="225" t="e">
        <f>VLOOKUP(I$120,SBC[#Data],MATCH($B152,SBC[#Headers],0),FALSE)</f>
        <v>#N/A</v>
      </c>
      <c r="J152" s="225" t="e">
        <f>VLOOKUP(J$120,SBC[#Data],MATCH($B152,SBC[#Headers],0),FALSE)</f>
        <v>#N/A</v>
      </c>
      <c r="K152" s="225" t="e">
        <f>VLOOKUP(K$120,SBC[#Data],MATCH($B152,SBC[#Headers],0),FALSE)</f>
        <v>#N/A</v>
      </c>
      <c r="L152" s="225" t="e">
        <f>VLOOKUP(L$120,SBC[#Data],MATCH($B152,SBC[#Headers],0),FALSE)</f>
        <v>#N/A</v>
      </c>
      <c r="M152" s="225" t="e">
        <f>VLOOKUP(M$120,SBC[#Data],MATCH($B152,SBC[#Headers],0),FALSE)</f>
        <v>#N/A</v>
      </c>
      <c r="N152" s="225" t="e">
        <f>VLOOKUP(N$120,SBC[#Data],MATCH($B152,SBC[#Headers],0),FALSE)</f>
        <v>#N/A</v>
      </c>
    </row>
    <row r="153" spans="2:14" hidden="1" x14ac:dyDescent="0.55000000000000004">
      <c r="B153" s="224" t="s">
        <v>122</v>
      </c>
      <c r="C153" s="225" t="str">
        <f>VLOOKUP(C$120,SBC[#Data],MATCH($B153,SBC[#Headers],0),FALSE)</f>
        <v>10.250.85.65</v>
      </c>
      <c r="D153" s="225" t="str">
        <f>VLOOKUP(D$120,SBC[#Data],MATCH($B153,SBC[#Headers],0),FALSE)</f>
        <v>10.250.85.66</v>
      </c>
      <c r="E153" s="225" t="e">
        <f>VLOOKUP(E$120,SBC[#Data],MATCH($B153,SBC[#Headers],0),FALSE)</f>
        <v>#N/A</v>
      </c>
      <c r="F153" s="225" t="e">
        <f>VLOOKUP(F$120,SBC[#Data],MATCH($B153,SBC[#Headers],0),FALSE)</f>
        <v>#N/A</v>
      </c>
      <c r="G153" s="225" t="e">
        <f>VLOOKUP(G$120,SBC[#Data],MATCH($B153,SBC[#Headers],0),FALSE)</f>
        <v>#N/A</v>
      </c>
      <c r="H153" s="225" t="e">
        <f>VLOOKUP(H$120,SBC[#Data],MATCH($B153,SBC[#Headers],0),FALSE)</f>
        <v>#N/A</v>
      </c>
      <c r="I153" s="225" t="e">
        <f>VLOOKUP(I$120,SBC[#Data],MATCH($B153,SBC[#Headers],0),FALSE)</f>
        <v>#N/A</v>
      </c>
      <c r="J153" s="225" t="e">
        <f>VLOOKUP(J$120,SBC[#Data],MATCH($B153,SBC[#Headers],0),FALSE)</f>
        <v>#N/A</v>
      </c>
      <c r="K153" s="225" t="e">
        <f>VLOOKUP(K$120,SBC[#Data],MATCH($B153,SBC[#Headers],0),FALSE)</f>
        <v>#N/A</v>
      </c>
      <c r="L153" s="225" t="e">
        <f>VLOOKUP(L$120,SBC[#Data],MATCH($B153,SBC[#Headers],0),FALSE)</f>
        <v>#N/A</v>
      </c>
      <c r="M153" s="225" t="e">
        <f>VLOOKUP(M$120,SBC[#Data],MATCH($B153,SBC[#Headers],0),FALSE)</f>
        <v>#N/A</v>
      </c>
      <c r="N153" s="225" t="e">
        <f>VLOOKUP(N$120,SBC[#Data],MATCH($B153,SBC[#Headers],0),FALSE)</f>
        <v>#N/A</v>
      </c>
    </row>
    <row r="154" spans="2:14" hidden="1" x14ac:dyDescent="0.55000000000000004">
      <c r="B154" s="224" t="s">
        <v>5951</v>
      </c>
      <c r="C154" s="225" t="str">
        <f>VLOOKUP(C$120,SBC[#Data],MATCH($B154,SBC[#Headers],0),FALSE)</f>
        <v>210.233.246.4</v>
      </c>
      <c r="D154" s="225" t="str">
        <f>VLOOKUP(D$120,SBC[#Data],MATCH($B154,SBC[#Headers],0),FALSE)</f>
        <v>210.233.246.4</v>
      </c>
      <c r="E154" s="225" t="e">
        <f>VLOOKUP(E$120,SBC[#Data],MATCH($B154,SBC[#Headers],0),FALSE)</f>
        <v>#N/A</v>
      </c>
      <c r="F154" s="225" t="e">
        <f>VLOOKUP(F$120,SBC[#Data],MATCH($B154,SBC[#Headers],0),FALSE)</f>
        <v>#N/A</v>
      </c>
      <c r="G154" s="225" t="e">
        <f>VLOOKUP(G$120,SBC[#Data],MATCH($B154,SBC[#Headers],0),FALSE)</f>
        <v>#N/A</v>
      </c>
      <c r="H154" s="225" t="e">
        <f>VLOOKUP(H$120,SBC[#Data],MATCH($B154,SBC[#Headers],0),FALSE)</f>
        <v>#N/A</v>
      </c>
      <c r="I154" s="225" t="e">
        <f>VLOOKUP(I$120,SBC[#Data],MATCH($B154,SBC[#Headers],0),FALSE)</f>
        <v>#N/A</v>
      </c>
      <c r="J154" s="225" t="e">
        <f>VLOOKUP(J$120,SBC[#Data],MATCH($B154,SBC[#Headers],0),FALSE)</f>
        <v>#N/A</v>
      </c>
      <c r="K154" s="225" t="e">
        <f>VLOOKUP(K$120,SBC[#Data],MATCH($B154,SBC[#Headers],0),FALSE)</f>
        <v>#N/A</v>
      </c>
      <c r="L154" s="225" t="e">
        <f>VLOOKUP(L$120,SBC[#Data],MATCH($B154,SBC[#Headers],0),FALSE)</f>
        <v>#N/A</v>
      </c>
      <c r="M154" s="225" t="e">
        <f>VLOOKUP(M$120,SBC[#Data],MATCH($B154,SBC[#Headers],0),FALSE)</f>
        <v>#N/A</v>
      </c>
      <c r="N154" s="225" t="e">
        <f>VLOOKUP(N$120,SBC[#Data],MATCH($B154,SBC[#Headers],0),FALSE)</f>
        <v>#N/A</v>
      </c>
    </row>
    <row r="155" spans="2:14" hidden="1" x14ac:dyDescent="0.55000000000000004">
      <c r="B155" s="224" t="s">
        <v>5952</v>
      </c>
      <c r="C155" s="225" t="str">
        <f>VLOOKUP(C$120,SBC[#Data],MATCH($B155,SBC[#Headers],0),FALSE)</f>
        <v>2001:a7ff:0100:10:0:0:0:4</v>
      </c>
      <c r="D155" s="225" t="str">
        <f>VLOOKUP(D$120,SBC[#Data],MATCH($B155,SBC[#Headers],0),FALSE)</f>
        <v>2001:a7ff:0100:10:0:0:0:4</v>
      </c>
      <c r="E155" s="225" t="e">
        <f>VLOOKUP(E$120,SBC[#Data],MATCH($B155,SBC[#Headers],0),FALSE)</f>
        <v>#N/A</v>
      </c>
      <c r="F155" s="225" t="e">
        <f>VLOOKUP(F$120,SBC[#Data],MATCH($B155,SBC[#Headers],0),FALSE)</f>
        <v>#N/A</v>
      </c>
      <c r="G155" s="225" t="e">
        <f>VLOOKUP(G$120,SBC[#Data],MATCH($B155,SBC[#Headers],0),FALSE)</f>
        <v>#N/A</v>
      </c>
      <c r="H155" s="225" t="e">
        <f>VLOOKUP(H$120,SBC[#Data],MATCH($B155,SBC[#Headers],0),FALSE)</f>
        <v>#N/A</v>
      </c>
      <c r="I155" s="225" t="e">
        <f>VLOOKUP(I$120,SBC[#Data],MATCH($B155,SBC[#Headers],0),FALSE)</f>
        <v>#N/A</v>
      </c>
      <c r="J155" s="225" t="e">
        <f>VLOOKUP(J$120,SBC[#Data],MATCH($B155,SBC[#Headers],0),FALSE)</f>
        <v>#N/A</v>
      </c>
      <c r="K155" s="225" t="e">
        <f>VLOOKUP(K$120,SBC[#Data],MATCH($B155,SBC[#Headers],0),FALSE)</f>
        <v>#N/A</v>
      </c>
      <c r="L155" s="225" t="e">
        <f>VLOOKUP(L$120,SBC[#Data],MATCH($B155,SBC[#Headers],0),FALSE)</f>
        <v>#N/A</v>
      </c>
      <c r="M155" s="225" t="e">
        <f>VLOOKUP(M$120,SBC[#Data],MATCH($B155,SBC[#Headers],0),FALSE)</f>
        <v>#N/A</v>
      </c>
      <c r="N155" s="225" t="e">
        <f>VLOOKUP(N$120,SBC[#Data],MATCH($B155,SBC[#Headers],0),FALSE)</f>
        <v>#N/A</v>
      </c>
    </row>
    <row r="156" spans="2:14" hidden="1" x14ac:dyDescent="0.55000000000000004">
      <c r="B156" s="224" t="s">
        <v>5953</v>
      </c>
      <c r="C156" s="225" t="str">
        <f>VLOOKUP(C$120,SBC[#Data],MATCH($B156,SBC[#Headers],0),FALSE)</f>
        <v>10.250.80.4</v>
      </c>
      <c r="D156" s="225" t="str">
        <f>VLOOKUP(D$120,SBC[#Data],MATCH($B156,SBC[#Headers],0),FALSE)</f>
        <v>10.250.80.4</v>
      </c>
      <c r="E156" s="225" t="e">
        <f>VLOOKUP(E$120,SBC[#Data],MATCH($B156,SBC[#Headers],0),FALSE)</f>
        <v>#N/A</v>
      </c>
      <c r="F156" s="225" t="e">
        <f>VLOOKUP(F$120,SBC[#Data],MATCH($B156,SBC[#Headers],0),FALSE)</f>
        <v>#N/A</v>
      </c>
      <c r="G156" s="225" t="e">
        <f>VLOOKUP(G$120,SBC[#Data],MATCH($B156,SBC[#Headers],0),FALSE)</f>
        <v>#N/A</v>
      </c>
      <c r="H156" s="225" t="e">
        <f>VLOOKUP(H$120,SBC[#Data],MATCH($B156,SBC[#Headers],0),FALSE)</f>
        <v>#N/A</v>
      </c>
      <c r="I156" s="225" t="e">
        <f>VLOOKUP(I$120,SBC[#Data],MATCH($B156,SBC[#Headers],0),FALSE)</f>
        <v>#N/A</v>
      </c>
      <c r="J156" s="225" t="e">
        <f>VLOOKUP(J$120,SBC[#Data],MATCH($B156,SBC[#Headers],0),FALSE)</f>
        <v>#N/A</v>
      </c>
      <c r="K156" s="225" t="e">
        <f>VLOOKUP(K$120,SBC[#Data],MATCH($B156,SBC[#Headers],0),FALSE)</f>
        <v>#N/A</v>
      </c>
      <c r="L156" s="225" t="e">
        <f>VLOOKUP(L$120,SBC[#Data],MATCH($B156,SBC[#Headers],0),FALSE)</f>
        <v>#N/A</v>
      </c>
      <c r="M156" s="225" t="e">
        <f>VLOOKUP(M$120,SBC[#Data],MATCH($B156,SBC[#Headers],0),FALSE)</f>
        <v>#N/A</v>
      </c>
      <c r="N156" s="225" t="e">
        <f>VLOOKUP(N$120,SBC[#Data],MATCH($B156,SBC[#Headers],0),FALSE)</f>
        <v>#N/A</v>
      </c>
    </row>
    <row r="157" spans="2:14" hidden="1" x14ac:dyDescent="0.55000000000000004">
      <c r="B157" s="224" t="s">
        <v>5954</v>
      </c>
      <c r="C157" s="225" t="str">
        <f>VLOOKUP(C$120,SBC[#Data],MATCH($B157,SBC[#Headers],0),FALSE)</f>
        <v>10.250.80.20</v>
      </c>
      <c r="D157" s="225" t="str">
        <f>VLOOKUP(D$120,SBC[#Data],MATCH($B157,SBC[#Headers],0),FALSE)</f>
        <v>10.250.80.21</v>
      </c>
      <c r="E157" s="225" t="e">
        <f>VLOOKUP(E$120,SBC[#Data],MATCH($B157,SBC[#Headers],0),FALSE)</f>
        <v>#N/A</v>
      </c>
      <c r="F157" s="225" t="e">
        <f>VLOOKUP(F$120,SBC[#Data],MATCH($B157,SBC[#Headers],0),FALSE)</f>
        <v>#N/A</v>
      </c>
      <c r="G157" s="225" t="e">
        <f>VLOOKUP(G$120,SBC[#Data],MATCH($B157,SBC[#Headers],0),FALSE)</f>
        <v>#N/A</v>
      </c>
      <c r="H157" s="225" t="e">
        <f>VLOOKUP(H$120,SBC[#Data],MATCH($B157,SBC[#Headers],0),FALSE)</f>
        <v>#N/A</v>
      </c>
      <c r="I157" s="225" t="e">
        <f>VLOOKUP(I$120,SBC[#Data],MATCH($B157,SBC[#Headers],0),FALSE)</f>
        <v>#N/A</v>
      </c>
      <c r="J157" s="225" t="e">
        <f>VLOOKUP(J$120,SBC[#Data],MATCH($B157,SBC[#Headers],0),FALSE)</f>
        <v>#N/A</v>
      </c>
      <c r="K157" s="225" t="e">
        <f>VLOOKUP(K$120,SBC[#Data],MATCH($B157,SBC[#Headers],0),FALSE)</f>
        <v>#N/A</v>
      </c>
      <c r="L157" s="225" t="e">
        <f>VLOOKUP(L$120,SBC[#Data],MATCH($B157,SBC[#Headers],0),FALSE)</f>
        <v>#N/A</v>
      </c>
      <c r="M157" s="225" t="e">
        <f>VLOOKUP(M$120,SBC[#Data],MATCH($B157,SBC[#Headers],0),FALSE)</f>
        <v>#N/A</v>
      </c>
      <c r="N157" s="225" t="e">
        <f>VLOOKUP(N$120,SBC[#Data],MATCH($B157,SBC[#Headers],0),FALSE)</f>
        <v>#N/A</v>
      </c>
    </row>
    <row r="158" spans="2:14" hidden="1" x14ac:dyDescent="0.55000000000000004">
      <c r="B158" s="224" t="s">
        <v>5955</v>
      </c>
      <c r="C158" s="225" t="str">
        <f>VLOOKUP(C$120,SBC[#Data],MATCH($B158,SBC[#Headers],0),FALSE)</f>
        <v>10.250.80.36</v>
      </c>
      <c r="D158" s="225" t="str">
        <f>VLOOKUP(D$120,SBC[#Data],MATCH($B158,SBC[#Headers],0),FALSE)</f>
        <v>10.250.80.37</v>
      </c>
      <c r="E158" s="225" t="e">
        <f>VLOOKUP(E$120,SBC[#Data],MATCH($B158,SBC[#Headers],0),FALSE)</f>
        <v>#N/A</v>
      </c>
      <c r="F158" s="225" t="e">
        <f>VLOOKUP(F$120,SBC[#Data],MATCH($B158,SBC[#Headers],0),FALSE)</f>
        <v>#N/A</v>
      </c>
      <c r="G158" s="225" t="e">
        <f>VLOOKUP(G$120,SBC[#Data],MATCH($B158,SBC[#Headers],0),FALSE)</f>
        <v>#N/A</v>
      </c>
      <c r="H158" s="225" t="e">
        <f>VLOOKUP(H$120,SBC[#Data],MATCH($B158,SBC[#Headers],0),FALSE)</f>
        <v>#N/A</v>
      </c>
      <c r="I158" s="225" t="e">
        <f>VLOOKUP(I$120,SBC[#Data],MATCH($B158,SBC[#Headers],0),FALSE)</f>
        <v>#N/A</v>
      </c>
      <c r="J158" s="225" t="e">
        <f>VLOOKUP(J$120,SBC[#Data],MATCH($B158,SBC[#Headers],0),FALSE)</f>
        <v>#N/A</v>
      </c>
      <c r="K158" s="225" t="e">
        <f>VLOOKUP(K$120,SBC[#Data],MATCH($B158,SBC[#Headers],0),FALSE)</f>
        <v>#N/A</v>
      </c>
      <c r="L158" s="225" t="e">
        <f>VLOOKUP(L$120,SBC[#Data],MATCH($B158,SBC[#Headers],0),FALSE)</f>
        <v>#N/A</v>
      </c>
      <c r="M158" s="225" t="e">
        <f>VLOOKUP(M$120,SBC[#Data],MATCH($B158,SBC[#Headers],0),FALSE)</f>
        <v>#N/A</v>
      </c>
      <c r="N158" s="225" t="e">
        <f>VLOOKUP(N$120,SBC[#Data],MATCH($B158,SBC[#Headers],0),FALSE)</f>
        <v>#N/A</v>
      </c>
    </row>
    <row r="159" spans="2:14" hidden="1" x14ac:dyDescent="0.55000000000000004">
      <c r="B159" s="224" t="s">
        <v>5956</v>
      </c>
      <c r="C159" s="225" t="str">
        <f>VLOOKUP(C$120,SBC[#Data],MATCH($B159,SBC[#Headers],0),FALSE)</f>
        <v>10.250.80.68</v>
      </c>
      <c r="D159" s="225" t="str">
        <f>VLOOKUP(D$120,SBC[#Data],MATCH($B159,SBC[#Headers],0),FALSE)</f>
        <v>10.250.80.69</v>
      </c>
      <c r="E159" s="225" t="e">
        <f>VLOOKUP(E$120,SBC[#Data],MATCH($B159,SBC[#Headers],0),FALSE)</f>
        <v>#N/A</v>
      </c>
      <c r="F159" s="225" t="e">
        <f>VLOOKUP(F$120,SBC[#Data],MATCH($B159,SBC[#Headers],0),FALSE)</f>
        <v>#N/A</v>
      </c>
      <c r="G159" s="225" t="e">
        <f>VLOOKUP(G$120,SBC[#Data],MATCH($B159,SBC[#Headers],0),FALSE)</f>
        <v>#N/A</v>
      </c>
      <c r="H159" s="225" t="e">
        <f>VLOOKUP(H$120,SBC[#Data],MATCH($B159,SBC[#Headers],0),FALSE)</f>
        <v>#N/A</v>
      </c>
      <c r="I159" s="225" t="e">
        <f>VLOOKUP(I$120,SBC[#Data],MATCH($B159,SBC[#Headers],0),FALSE)</f>
        <v>#N/A</v>
      </c>
      <c r="J159" s="225" t="e">
        <f>VLOOKUP(J$120,SBC[#Data],MATCH($B159,SBC[#Headers],0),FALSE)</f>
        <v>#N/A</v>
      </c>
      <c r="K159" s="225" t="e">
        <f>VLOOKUP(K$120,SBC[#Data],MATCH($B159,SBC[#Headers],0),FALSE)</f>
        <v>#N/A</v>
      </c>
      <c r="L159" s="225" t="e">
        <f>VLOOKUP(L$120,SBC[#Data],MATCH($B159,SBC[#Headers],0),FALSE)</f>
        <v>#N/A</v>
      </c>
      <c r="M159" s="225" t="e">
        <f>VLOOKUP(M$120,SBC[#Data],MATCH($B159,SBC[#Headers],0),FALSE)</f>
        <v>#N/A</v>
      </c>
      <c r="N159" s="225" t="e">
        <f>VLOOKUP(N$120,SBC[#Data],MATCH($B159,SBC[#Headers],0),FALSE)</f>
        <v>#N/A</v>
      </c>
    </row>
    <row r="160" spans="2:14" hidden="1" x14ac:dyDescent="0.55000000000000004">
      <c r="B160" s="224" t="s">
        <v>5957</v>
      </c>
      <c r="C160" s="225" t="str">
        <f>VLOOKUP(C$120,SBC[#Data],MATCH($B160,SBC[#Headers],0),FALSE)</f>
        <v>10.250.80.53</v>
      </c>
      <c r="D160" s="225" t="str">
        <f>VLOOKUP(D$120,SBC[#Data],MATCH($B160,SBC[#Headers],0),FALSE)</f>
        <v>10.250.80.53</v>
      </c>
      <c r="E160" s="225" t="e">
        <f>VLOOKUP(E$120,SBC[#Data],MATCH($B160,SBC[#Headers],0),FALSE)</f>
        <v>#N/A</v>
      </c>
      <c r="F160" s="225" t="e">
        <f>VLOOKUP(F$120,SBC[#Data],MATCH($B160,SBC[#Headers],0),FALSE)</f>
        <v>#N/A</v>
      </c>
      <c r="G160" s="225" t="e">
        <f>VLOOKUP(G$120,SBC[#Data],MATCH($B160,SBC[#Headers],0),FALSE)</f>
        <v>#N/A</v>
      </c>
      <c r="H160" s="225" t="e">
        <f>VLOOKUP(H$120,SBC[#Data],MATCH($B160,SBC[#Headers],0),FALSE)</f>
        <v>#N/A</v>
      </c>
      <c r="I160" s="225" t="e">
        <f>VLOOKUP(I$120,SBC[#Data],MATCH($B160,SBC[#Headers],0),FALSE)</f>
        <v>#N/A</v>
      </c>
      <c r="J160" s="225" t="e">
        <f>VLOOKUP(J$120,SBC[#Data],MATCH($B160,SBC[#Headers],0),FALSE)</f>
        <v>#N/A</v>
      </c>
      <c r="K160" s="225" t="e">
        <f>VLOOKUP(K$120,SBC[#Data],MATCH($B160,SBC[#Headers],0),FALSE)</f>
        <v>#N/A</v>
      </c>
      <c r="L160" s="225" t="e">
        <f>VLOOKUP(L$120,SBC[#Data],MATCH($B160,SBC[#Headers],0),FALSE)</f>
        <v>#N/A</v>
      </c>
      <c r="M160" s="225" t="e">
        <f>VLOOKUP(M$120,SBC[#Data],MATCH($B160,SBC[#Headers],0),FALSE)</f>
        <v>#N/A</v>
      </c>
      <c r="N160" s="225" t="e">
        <f>VLOOKUP(N$120,SBC[#Data],MATCH($B160,SBC[#Headers],0),FALSE)</f>
        <v>#N/A</v>
      </c>
    </row>
    <row r="161" spans="2:14" hidden="1" x14ac:dyDescent="0.55000000000000004">
      <c r="B161" s="224" t="s">
        <v>5958</v>
      </c>
      <c r="C161" s="225" t="str">
        <f>VLOOKUP(C$120,SBC[#Data],MATCH($B161,SBC[#Headers],0),FALSE)</f>
        <v>10.250.85.129</v>
      </c>
      <c r="D161" s="225" t="str">
        <f>VLOOKUP(D$120,SBC[#Data],MATCH($B161,SBC[#Headers],0),FALSE)</f>
        <v>10.250.85.130</v>
      </c>
      <c r="E161" s="225" t="e">
        <f>VLOOKUP(E$120,SBC[#Data],MATCH($B161,SBC[#Headers],0),FALSE)</f>
        <v>#N/A</v>
      </c>
      <c r="F161" s="225" t="e">
        <f>VLOOKUP(F$120,SBC[#Data],MATCH($B161,SBC[#Headers],0),FALSE)</f>
        <v>#N/A</v>
      </c>
      <c r="G161" s="225" t="e">
        <f>VLOOKUP(G$120,SBC[#Data],MATCH($B161,SBC[#Headers],0),FALSE)</f>
        <v>#N/A</v>
      </c>
      <c r="H161" s="225" t="e">
        <f>VLOOKUP(H$120,SBC[#Data],MATCH($B161,SBC[#Headers],0),FALSE)</f>
        <v>#N/A</v>
      </c>
      <c r="I161" s="225" t="e">
        <f>VLOOKUP(I$120,SBC[#Data],MATCH($B161,SBC[#Headers],0),FALSE)</f>
        <v>#N/A</v>
      </c>
      <c r="J161" s="225" t="e">
        <f>VLOOKUP(J$120,SBC[#Data],MATCH($B161,SBC[#Headers],0),FALSE)</f>
        <v>#N/A</v>
      </c>
      <c r="K161" s="225" t="e">
        <f>VLOOKUP(K$120,SBC[#Data],MATCH($B161,SBC[#Headers],0),FALSE)</f>
        <v>#N/A</v>
      </c>
      <c r="L161" s="225" t="e">
        <f>VLOOKUP(L$120,SBC[#Data],MATCH($B161,SBC[#Headers],0),FALSE)</f>
        <v>#N/A</v>
      </c>
      <c r="M161" s="225" t="e">
        <f>VLOOKUP(M$120,SBC[#Data],MATCH($B161,SBC[#Headers],0),FALSE)</f>
        <v>#N/A</v>
      </c>
      <c r="N161" s="225" t="e">
        <f>VLOOKUP(N$120,SBC[#Data],MATCH($B161,SBC[#Headers],0),FALSE)</f>
        <v>#N/A</v>
      </c>
    </row>
    <row r="162" spans="2:14" hidden="1" x14ac:dyDescent="0.55000000000000004"/>
    <row r="163" spans="2:14" hidden="1" x14ac:dyDescent="0.55000000000000004">
      <c r="B163" s="222" t="s">
        <v>5959</v>
      </c>
      <c r="C163" s="223"/>
      <c r="D163" s="223"/>
    </row>
    <row r="164" spans="2:14" hidden="1" x14ac:dyDescent="0.55000000000000004">
      <c r="B164" s="226"/>
      <c r="C164" s="226" t="s">
        <v>5960</v>
      </c>
      <c r="D164" s="226" t="s">
        <v>5756</v>
      </c>
      <c r="E164" s="226" t="s">
        <v>5757</v>
      </c>
      <c r="F164" s="226" t="s">
        <v>5758</v>
      </c>
      <c r="G164" s="226" t="s">
        <v>5759</v>
      </c>
      <c r="H164" s="226" t="s">
        <v>5760</v>
      </c>
      <c r="I164" s="226" t="s">
        <v>5761</v>
      </c>
      <c r="J164" s="226" t="s">
        <v>5762</v>
      </c>
      <c r="K164" s="226" t="s">
        <v>5763</v>
      </c>
      <c r="L164" s="226" t="s">
        <v>5764</v>
      </c>
      <c r="M164" s="226" t="s">
        <v>5765</v>
      </c>
      <c r="N164" s="226" t="s">
        <v>5766</v>
      </c>
    </row>
    <row r="165" spans="2:14" hidden="1" x14ac:dyDescent="0.55000000000000004">
      <c r="B165" s="224" t="s">
        <v>4</v>
      </c>
      <c r="C165" s="225" t="str">
        <f>VLOOKUP($B$5,ユニット構成[#All],MATCH(C164,ユニット構成[#Headers],0),FALSE)</f>
        <v>w27onhss-0100ss</v>
      </c>
      <c r="D165" s="225" t="str">
        <f>VLOOKUP($B$5,ユニット構成[#All],MATCH(D164,ユニット構成[#Headers],0),FALSE)</f>
        <v>w27onhss-0101ss</v>
      </c>
      <c r="E165" s="225" t="str">
        <f>VLOOKUP($B$5,ユニット構成[#All],MATCH(E164,ユニット構成[#Headers],0),FALSE)</f>
        <v>w27onhss-0110ss</v>
      </c>
      <c r="F165" s="225" t="str">
        <f>VLOOKUP($B$5,ユニット構成[#All],MATCH(F164,ユニット構成[#Headers],0),FALSE)</f>
        <v>w27onhss-0111ss</v>
      </c>
      <c r="G165" s="225" t="str">
        <f>VLOOKUP($B$5,ユニット構成[#All],MATCH(G164,ユニット構成[#Headers],0),FALSE)</f>
        <v>w27onhss-0120ss</v>
      </c>
      <c r="H165" s="225" t="str">
        <f>VLOOKUP($B$5,ユニット構成[#All],MATCH(H164,ユニット構成[#Headers],0),FALSE)</f>
        <v>w27onhss-0121ss</v>
      </c>
      <c r="I165" s="225" t="str">
        <f>VLOOKUP($B$5,ユニット構成[#All],MATCH(I164,ユニット構成[#Headers],0),FALSE)</f>
        <v>w27onhss-0130ss</v>
      </c>
      <c r="J165" s="225" t="str">
        <f>VLOOKUP($B$5,ユニット構成[#All],MATCH(J164,ユニット構成[#Headers],0),FALSE)</f>
        <v>w27onhss-0131ss</v>
      </c>
      <c r="K165" s="225" t="str">
        <f>VLOOKUP($B$5,ユニット構成[#All],MATCH(K164,ユニット構成[#Headers],0),FALSE)</f>
        <v>w27onhss-0140ss</v>
      </c>
      <c r="L165" s="225" t="str">
        <f>VLOOKUP($B$5,ユニット構成[#All],MATCH(L164,ユニット構成[#Headers],0),FALSE)</f>
        <v>w27onhss-0141ss</v>
      </c>
      <c r="M165" s="225" t="str">
        <f>VLOOKUP($B$5,ユニット構成[#All],MATCH(M164,ユニット構成[#Headers],0),FALSE)</f>
        <v>w27onhss-0150ss</v>
      </c>
      <c r="N165" s="225" t="str">
        <f>VLOOKUP($B$5,ユニット構成[#All],MATCH(N164,ユニット構成[#Headers],0),FALSE)</f>
        <v>w27onhss-0151ss</v>
      </c>
    </row>
    <row r="166" spans="2:14" hidden="1" x14ac:dyDescent="0.55000000000000004">
      <c r="B166" s="224" t="s">
        <v>1185</v>
      </c>
      <c r="C166" s="225" t="str">
        <f>VLOOKUP(C$136,HSS[#Data],MATCH($B166,HSS[#Headers],0),FALSE)</f>
        <v>10.250.80.100</v>
      </c>
      <c r="D166" s="225" t="str">
        <f>VLOOKUP(D$136,HSS[#Data],MATCH($B166,HSS[#Headers],0),FALSE)</f>
        <v>10.250.80.101</v>
      </c>
      <c r="E166" s="225" t="e">
        <f>VLOOKUP(E$136,HSS[#Data],MATCH($B166,HSS[#Headers],0),FALSE)</f>
        <v>#N/A</v>
      </c>
      <c r="F166" s="225" t="e">
        <f>VLOOKUP(F$136,HSS[#Data],MATCH($B166,HSS[#Headers],0),FALSE)</f>
        <v>#N/A</v>
      </c>
      <c r="G166" s="225" t="e">
        <f>VLOOKUP(G$136,HSS[#Data],MATCH($B166,HSS[#Headers],0),FALSE)</f>
        <v>#N/A</v>
      </c>
      <c r="H166" s="225" t="e">
        <f>VLOOKUP(H$136,HSS[#Data],MATCH($B166,HSS[#Headers],0),FALSE)</f>
        <v>#N/A</v>
      </c>
      <c r="I166" s="225" t="e">
        <f>VLOOKUP(I$136,HSS[#Data],MATCH($B166,HSS[#Headers],0),FALSE)</f>
        <v>#N/A</v>
      </c>
      <c r="J166" s="225" t="e">
        <f>VLOOKUP(J$136,HSS[#Data],MATCH($B166,HSS[#Headers],0),FALSE)</f>
        <v>#N/A</v>
      </c>
      <c r="K166" s="225" t="e">
        <f>VLOOKUP(K$136,HSS[#Data],MATCH($B166,HSS[#Headers],0),FALSE)</f>
        <v>#N/A</v>
      </c>
      <c r="L166" s="225" t="e">
        <f>VLOOKUP(L$136,HSS[#Data],MATCH($B166,HSS[#Headers],0),FALSE)</f>
        <v>#N/A</v>
      </c>
      <c r="M166" s="225" t="e">
        <f>VLOOKUP(M$136,HSS[#Data],MATCH($B166,HSS[#Headers],0),FALSE)</f>
        <v>#N/A</v>
      </c>
      <c r="N166" s="225" t="e">
        <f>VLOOKUP(N$136,HSS[#Data],MATCH($B166,HSS[#Headers],0),FALSE)</f>
        <v>#N/A</v>
      </c>
    </row>
    <row r="167" spans="2:14" hidden="1" x14ac:dyDescent="0.55000000000000004">
      <c r="B167" s="224" t="s">
        <v>1186</v>
      </c>
      <c r="C167" s="225" t="str">
        <f>VLOOKUP(C$136,HSS[#Data],MATCH($B167,HSS[#Headers],0),FALSE)</f>
        <v>10.250.80.7</v>
      </c>
      <c r="D167" s="225" t="str">
        <f>VLOOKUP(D$136,HSS[#Data],MATCH($B167,HSS[#Headers],0),FALSE)</f>
        <v>10.250.80.8</v>
      </c>
      <c r="E167" s="225" t="e">
        <f>VLOOKUP(E$136,HSS[#Data],MATCH($B167,HSS[#Headers],0),FALSE)</f>
        <v>#N/A</v>
      </c>
      <c r="F167" s="225" t="e">
        <f>VLOOKUP(F$136,HSS[#Data],MATCH($B167,HSS[#Headers],0),FALSE)</f>
        <v>#N/A</v>
      </c>
      <c r="G167" s="225" t="e">
        <f>VLOOKUP(G$136,HSS[#Data],MATCH($B167,HSS[#Headers],0),FALSE)</f>
        <v>#N/A</v>
      </c>
      <c r="H167" s="225" t="e">
        <f>VLOOKUP(H$136,HSS[#Data],MATCH($B167,HSS[#Headers],0),FALSE)</f>
        <v>#N/A</v>
      </c>
      <c r="I167" s="225" t="e">
        <f>VLOOKUP(I$136,HSS[#Data],MATCH($B167,HSS[#Headers],0),FALSE)</f>
        <v>#N/A</v>
      </c>
      <c r="J167" s="225" t="e">
        <f>VLOOKUP(J$136,HSS[#Data],MATCH($B167,HSS[#Headers],0),FALSE)</f>
        <v>#N/A</v>
      </c>
      <c r="K167" s="225" t="e">
        <f>VLOOKUP(K$136,HSS[#Data],MATCH($B167,HSS[#Headers],0),FALSE)</f>
        <v>#N/A</v>
      </c>
      <c r="L167" s="225" t="e">
        <f>VLOOKUP(L$136,HSS[#Data],MATCH($B167,HSS[#Headers],0),FALSE)</f>
        <v>#N/A</v>
      </c>
      <c r="M167" s="225" t="e">
        <f>VLOOKUP(M$136,HSS[#Data],MATCH($B167,HSS[#Headers],0),FALSE)</f>
        <v>#N/A</v>
      </c>
      <c r="N167" s="225" t="e">
        <f>VLOOKUP(N$136,HSS[#Data],MATCH($B167,HSS[#Headers],0),FALSE)</f>
        <v>#N/A</v>
      </c>
    </row>
    <row r="168" spans="2:14" hidden="1" x14ac:dyDescent="0.55000000000000004">
      <c r="B168" s="224" t="s">
        <v>1187</v>
      </c>
      <c r="C168" s="225" t="str">
        <f>VLOOKUP(C$136,HSS[#Data],MATCH($B168,HSS[#Headers],0),FALSE)</f>
        <v>10.250.80.74</v>
      </c>
      <c r="D168" s="225" t="str">
        <f>VLOOKUP(D$136,HSS[#Data],MATCH($B168,HSS[#Headers],0),FALSE)</f>
        <v>10.250.80.75</v>
      </c>
      <c r="E168" s="225" t="e">
        <f>VLOOKUP(E$136,HSS[#Data],MATCH($B168,HSS[#Headers],0),FALSE)</f>
        <v>#N/A</v>
      </c>
      <c r="F168" s="225" t="e">
        <f>VLOOKUP(F$136,HSS[#Data],MATCH($B168,HSS[#Headers],0),FALSE)</f>
        <v>#N/A</v>
      </c>
      <c r="G168" s="225" t="e">
        <f>VLOOKUP(G$136,HSS[#Data],MATCH($B168,HSS[#Headers],0),FALSE)</f>
        <v>#N/A</v>
      </c>
      <c r="H168" s="225" t="e">
        <f>VLOOKUP(H$136,HSS[#Data],MATCH($B168,HSS[#Headers],0),FALSE)</f>
        <v>#N/A</v>
      </c>
      <c r="I168" s="225" t="e">
        <f>VLOOKUP(I$136,HSS[#Data],MATCH($B168,HSS[#Headers],0),FALSE)</f>
        <v>#N/A</v>
      </c>
      <c r="J168" s="225" t="e">
        <f>VLOOKUP(J$136,HSS[#Data],MATCH($B168,HSS[#Headers],0),FALSE)</f>
        <v>#N/A</v>
      </c>
      <c r="K168" s="225" t="e">
        <f>VLOOKUP(K$136,HSS[#Data],MATCH($B168,HSS[#Headers],0),FALSE)</f>
        <v>#N/A</v>
      </c>
      <c r="L168" s="225" t="e">
        <f>VLOOKUP(L$136,HSS[#Data],MATCH($B168,HSS[#Headers],0),FALSE)</f>
        <v>#N/A</v>
      </c>
      <c r="M168" s="225" t="e">
        <f>VLOOKUP(M$136,HSS[#Data],MATCH($B168,HSS[#Headers],0),FALSE)</f>
        <v>#N/A</v>
      </c>
      <c r="N168" s="225" t="e">
        <f>VLOOKUP(N$136,HSS[#Data],MATCH($B168,HSS[#Headers],0),FALSE)</f>
        <v>#N/A</v>
      </c>
    </row>
    <row r="169" spans="2:14" hidden="1" x14ac:dyDescent="0.55000000000000004">
      <c r="B169" s="224" t="s">
        <v>1188</v>
      </c>
      <c r="C169" s="225" t="str">
        <f>VLOOKUP(C$136,HSS[#Data],MATCH($B169,HSS[#Headers],0),FALSE)</f>
        <v>10.250.80.7</v>
      </c>
      <c r="D169" s="225" t="str">
        <f>VLOOKUP(D$136,HSS[#Data],MATCH($B169,HSS[#Headers],0),FALSE)</f>
        <v>10.250.80.8</v>
      </c>
      <c r="E169" s="225" t="e">
        <f>VLOOKUP(E$136,HSS[#Data],MATCH($B169,HSS[#Headers],0),FALSE)</f>
        <v>#N/A</v>
      </c>
      <c r="F169" s="225" t="e">
        <f>VLOOKUP(F$136,HSS[#Data],MATCH($B169,HSS[#Headers],0),FALSE)</f>
        <v>#N/A</v>
      </c>
      <c r="G169" s="225" t="e">
        <f>VLOOKUP(G$136,HSS[#Data],MATCH($B169,HSS[#Headers],0),FALSE)</f>
        <v>#N/A</v>
      </c>
      <c r="H169" s="225" t="e">
        <f>VLOOKUP(H$136,HSS[#Data],MATCH($B169,HSS[#Headers],0),FALSE)</f>
        <v>#N/A</v>
      </c>
      <c r="I169" s="225" t="e">
        <f>VLOOKUP(I$136,HSS[#Data],MATCH($B169,HSS[#Headers],0),FALSE)</f>
        <v>#N/A</v>
      </c>
      <c r="J169" s="225" t="e">
        <f>VLOOKUP(J$136,HSS[#Data],MATCH($B169,HSS[#Headers],0),FALSE)</f>
        <v>#N/A</v>
      </c>
      <c r="K169" s="225" t="e">
        <f>VLOOKUP(K$136,HSS[#Data],MATCH($B169,HSS[#Headers],0),FALSE)</f>
        <v>#N/A</v>
      </c>
      <c r="L169" s="225" t="e">
        <f>VLOOKUP(L$136,HSS[#Data],MATCH($B169,HSS[#Headers],0),FALSE)</f>
        <v>#N/A</v>
      </c>
      <c r="M169" s="225" t="e">
        <f>VLOOKUP(M$136,HSS[#Data],MATCH($B169,HSS[#Headers],0),FALSE)</f>
        <v>#N/A</v>
      </c>
      <c r="N169" s="225" t="e">
        <f>VLOOKUP(N$136,HSS[#Data],MATCH($B169,HSS[#Headers],0),FALSE)</f>
        <v>#N/A</v>
      </c>
    </row>
    <row r="170" spans="2:14" hidden="1" x14ac:dyDescent="0.55000000000000004">
      <c r="B170" s="224" t="s">
        <v>5946</v>
      </c>
      <c r="C170" s="225" t="str">
        <f>VLOOKUP(C$136,HSS[#Data],MATCH($B170,HSS[#Headers],0),FALSE)</f>
        <v>192.168.122.1</v>
      </c>
      <c r="D170" s="225" t="str">
        <f>VLOOKUP(D$136,HSS[#Data],MATCH($B170,HSS[#Headers],0),FALSE)</f>
        <v>192.168.122.1</v>
      </c>
      <c r="E170" s="225" t="e">
        <f>VLOOKUP(E$136,HSS[#Data],MATCH($B170,HSS[#Headers],0),FALSE)</f>
        <v>#N/A</v>
      </c>
      <c r="F170" s="225" t="e">
        <f>VLOOKUP(F$136,HSS[#Data],MATCH($B170,HSS[#Headers],0),FALSE)</f>
        <v>#N/A</v>
      </c>
      <c r="G170" s="225" t="e">
        <f>VLOOKUP(G$136,HSS[#Data],MATCH($B170,HSS[#Headers],0),FALSE)</f>
        <v>#N/A</v>
      </c>
      <c r="H170" s="225" t="e">
        <f>VLOOKUP(H$136,HSS[#Data],MATCH($B170,HSS[#Headers],0),FALSE)</f>
        <v>#N/A</v>
      </c>
      <c r="I170" s="225" t="e">
        <f>VLOOKUP(I$136,HSS[#Data],MATCH($B170,HSS[#Headers],0),FALSE)</f>
        <v>#N/A</v>
      </c>
      <c r="J170" s="225" t="e">
        <f>VLOOKUP(J$136,HSS[#Data],MATCH($B170,HSS[#Headers],0),FALSE)</f>
        <v>#N/A</v>
      </c>
      <c r="K170" s="225" t="e">
        <f>VLOOKUP(K$136,HSS[#Data],MATCH($B170,HSS[#Headers],0),FALSE)</f>
        <v>#N/A</v>
      </c>
      <c r="L170" s="225" t="e">
        <f>VLOOKUP(L$136,HSS[#Data],MATCH($B170,HSS[#Headers],0),FALSE)</f>
        <v>#N/A</v>
      </c>
      <c r="M170" s="225" t="e">
        <f>VLOOKUP(M$136,HSS[#Data],MATCH($B170,HSS[#Headers],0),FALSE)</f>
        <v>#N/A</v>
      </c>
      <c r="N170" s="225" t="e">
        <f>VLOOKUP(N$136,HSS[#Data],MATCH($B170,HSS[#Headers],0),FALSE)</f>
        <v>#N/A</v>
      </c>
    </row>
    <row r="171" spans="2:14" hidden="1" x14ac:dyDescent="0.55000000000000004">
      <c r="B171" s="224" t="s">
        <v>5947</v>
      </c>
      <c r="C171" s="225" t="str">
        <f>VLOOKUP(C$136,HSS[#Data],MATCH($B171,HSS[#Headers],0),FALSE)</f>
        <v>10.250.80.106</v>
      </c>
      <c r="D171" s="225" t="str">
        <f>VLOOKUP(D$136,HSS[#Data],MATCH($B171,HSS[#Headers],0),FALSE)</f>
        <v>10.250.80.107</v>
      </c>
      <c r="E171" s="225" t="e">
        <f>VLOOKUP(E$136,HSS[#Data],MATCH($B171,HSS[#Headers],0),FALSE)</f>
        <v>#N/A</v>
      </c>
      <c r="F171" s="225" t="e">
        <f>VLOOKUP(F$136,HSS[#Data],MATCH($B171,HSS[#Headers],0),FALSE)</f>
        <v>#N/A</v>
      </c>
      <c r="G171" s="225" t="e">
        <f>VLOOKUP(G$136,HSS[#Data],MATCH($B171,HSS[#Headers],0),FALSE)</f>
        <v>#N/A</v>
      </c>
      <c r="H171" s="225" t="e">
        <f>VLOOKUP(H$136,HSS[#Data],MATCH($B171,HSS[#Headers],0),FALSE)</f>
        <v>#N/A</v>
      </c>
      <c r="I171" s="225" t="e">
        <f>VLOOKUP(I$136,HSS[#Data],MATCH($B171,HSS[#Headers],0),FALSE)</f>
        <v>#N/A</v>
      </c>
      <c r="J171" s="225" t="e">
        <f>VLOOKUP(J$136,HSS[#Data],MATCH($B171,HSS[#Headers],0),FALSE)</f>
        <v>#N/A</v>
      </c>
      <c r="K171" s="225" t="e">
        <f>VLOOKUP(K$136,HSS[#Data],MATCH($B171,HSS[#Headers],0),FALSE)</f>
        <v>#N/A</v>
      </c>
      <c r="L171" s="225" t="e">
        <f>VLOOKUP(L$136,HSS[#Data],MATCH($B171,HSS[#Headers],0),FALSE)</f>
        <v>#N/A</v>
      </c>
      <c r="M171" s="225" t="e">
        <f>VLOOKUP(M$136,HSS[#Data],MATCH($B171,HSS[#Headers],0),FALSE)</f>
        <v>#N/A</v>
      </c>
      <c r="N171" s="225" t="e">
        <f>VLOOKUP(N$136,HSS[#Data],MATCH($B171,HSS[#Headers],0),FALSE)</f>
        <v>#N/A</v>
      </c>
    </row>
    <row r="172" spans="2:14" hidden="1" x14ac:dyDescent="0.55000000000000004">
      <c r="B172" s="224" t="s">
        <v>886</v>
      </c>
      <c r="C172" s="225" t="str">
        <f>VLOOKUP(C$136,HSS[#Data],MATCH($B172,HSS[#Headers],0),FALSE)</f>
        <v>w27snpnbs-tts-001100</v>
      </c>
      <c r="D172" s="225" t="str">
        <f>VLOOKUP(D$136,HSS[#Data],MATCH($B172,HSS[#Headers],0),FALSE)</f>
        <v>w27snpnbs-tts-001100</v>
      </c>
      <c r="E172" s="225" t="e">
        <f>VLOOKUP(E$136,HSS[#Data],MATCH($B172,HSS[#Headers],0),FALSE)</f>
        <v>#N/A</v>
      </c>
      <c r="F172" s="225" t="e">
        <f>VLOOKUP(F$136,HSS[#Data],MATCH($B172,HSS[#Headers],0),FALSE)</f>
        <v>#N/A</v>
      </c>
      <c r="G172" s="225" t="e">
        <f>VLOOKUP(G$136,HSS[#Data],MATCH($B172,HSS[#Headers],0),FALSE)</f>
        <v>#N/A</v>
      </c>
      <c r="H172" s="225" t="e">
        <f>VLOOKUP(H$136,HSS[#Data],MATCH($B172,HSS[#Headers],0),FALSE)</f>
        <v>#N/A</v>
      </c>
      <c r="I172" s="225" t="e">
        <f>VLOOKUP(I$136,HSS[#Data],MATCH($B172,HSS[#Headers],0),FALSE)</f>
        <v>#N/A</v>
      </c>
      <c r="J172" s="225" t="e">
        <f>VLOOKUP(J$136,HSS[#Data],MATCH($B172,HSS[#Headers],0),FALSE)</f>
        <v>#N/A</v>
      </c>
      <c r="K172" s="225" t="e">
        <f>VLOOKUP(K$136,HSS[#Data],MATCH($B172,HSS[#Headers],0),FALSE)</f>
        <v>#N/A</v>
      </c>
      <c r="L172" s="225" t="e">
        <f>VLOOKUP(L$136,HSS[#Data],MATCH($B172,HSS[#Headers],0),FALSE)</f>
        <v>#N/A</v>
      </c>
      <c r="M172" s="225" t="e">
        <f>VLOOKUP(M$136,HSS[#Data],MATCH($B172,HSS[#Headers],0),FALSE)</f>
        <v>#N/A</v>
      </c>
      <c r="N172" s="225" t="e">
        <f>VLOOKUP(N$136,HSS[#Data],MATCH($B172,HSS[#Headers],0),FALSE)</f>
        <v>#N/A</v>
      </c>
    </row>
    <row r="173" spans="2:14" hidden="1" x14ac:dyDescent="0.55000000000000004">
      <c r="B173" s="224" t="s">
        <v>887</v>
      </c>
      <c r="C173" s="225" t="str">
        <f>VLOOKUP(C$136,HSS[#Data],MATCH($B173,HSS[#Headers],0),FALSE)</f>
        <v>10.95.200.140</v>
      </c>
      <c r="D173" s="225" t="str">
        <f>VLOOKUP(D$136,HSS[#Data],MATCH($B173,HSS[#Headers],0),FALSE)</f>
        <v>10.95.200.140</v>
      </c>
      <c r="E173" s="225" t="e">
        <f>VLOOKUP(E$136,HSS[#Data],MATCH($B173,HSS[#Headers],0),FALSE)</f>
        <v>#N/A</v>
      </c>
      <c r="F173" s="225" t="e">
        <f>VLOOKUP(F$136,HSS[#Data],MATCH($B173,HSS[#Headers],0),FALSE)</f>
        <v>#N/A</v>
      </c>
      <c r="G173" s="225" t="e">
        <f>VLOOKUP(G$136,HSS[#Data],MATCH($B173,HSS[#Headers],0),FALSE)</f>
        <v>#N/A</v>
      </c>
      <c r="H173" s="225" t="e">
        <f>VLOOKUP(H$136,HSS[#Data],MATCH($B173,HSS[#Headers],0),FALSE)</f>
        <v>#N/A</v>
      </c>
      <c r="I173" s="225" t="e">
        <f>VLOOKUP(I$136,HSS[#Data],MATCH($B173,HSS[#Headers],0),FALSE)</f>
        <v>#N/A</v>
      </c>
      <c r="J173" s="225" t="e">
        <f>VLOOKUP(J$136,HSS[#Data],MATCH($B173,HSS[#Headers],0),FALSE)</f>
        <v>#N/A</v>
      </c>
      <c r="K173" s="225" t="e">
        <f>VLOOKUP(K$136,HSS[#Data],MATCH($B173,HSS[#Headers],0),FALSE)</f>
        <v>#N/A</v>
      </c>
      <c r="L173" s="225" t="e">
        <f>VLOOKUP(L$136,HSS[#Data],MATCH($B173,HSS[#Headers],0),FALSE)</f>
        <v>#N/A</v>
      </c>
      <c r="M173" s="225" t="e">
        <f>VLOOKUP(M$136,HSS[#Data],MATCH($B173,HSS[#Headers],0),FALSE)</f>
        <v>#N/A</v>
      </c>
      <c r="N173" s="225" t="e">
        <f>VLOOKUP(N$136,HSS[#Data],MATCH($B173,HSS[#Headers],0),FALSE)</f>
        <v>#N/A</v>
      </c>
    </row>
    <row r="174" spans="2:14" hidden="1" x14ac:dyDescent="0.55000000000000004">
      <c r="B174" s="224" t="s">
        <v>888</v>
      </c>
      <c r="C174" s="225" t="str">
        <f>VLOOKUP(C$136,HSS[#Data],MATCH($B174,HSS[#Headers],0),FALSE)</f>
        <v>8101</v>
      </c>
      <c r="D174" s="225" t="str">
        <f>VLOOKUP(D$136,HSS[#Data],MATCH($B174,HSS[#Headers],0),FALSE)</f>
        <v>8102</v>
      </c>
      <c r="E174" s="225" t="e">
        <f>VLOOKUP(E$136,HSS[#Data],MATCH($B174,HSS[#Headers],0),FALSE)</f>
        <v>#N/A</v>
      </c>
      <c r="F174" s="225" t="e">
        <f>VLOOKUP(F$136,HSS[#Data],MATCH($B174,HSS[#Headers],0),FALSE)</f>
        <v>#N/A</v>
      </c>
      <c r="G174" s="225" t="e">
        <f>VLOOKUP(G$136,HSS[#Data],MATCH($B174,HSS[#Headers],0),FALSE)</f>
        <v>#N/A</v>
      </c>
      <c r="H174" s="225" t="e">
        <f>VLOOKUP(H$136,HSS[#Data],MATCH($B174,HSS[#Headers],0),FALSE)</f>
        <v>#N/A</v>
      </c>
      <c r="I174" s="225" t="e">
        <f>VLOOKUP(I$136,HSS[#Data],MATCH($B174,HSS[#Headers],0),FALSE)</f>
        <v>#N/A</v>
      </c>
      <c r="J174" s="225" t="e">
        <f>VLOOKUP(J$136,HSS[#Data],MATCH($B174,HSS[#Headers],0),FALSE)</f>
        <v>#N/A</v>
      </c>
      <c r="K174" s="225" t="e">
        <f>VLOOKUP(K$136,HSS[#Data],MATCH($B174,HSS[#Headers],0),FALSE)</f>
        <v>#N/A</v>
      </c>
      <c r="L174" s="225" t="e">
        <f>VLOOKUP(L$136,HSS[#Data],MATCH($B174,HSS[#Headers],0),FALSE)</f>
        <v>#N/A</v>
      </c>
      <c r="M174" s="225" t="e">
        <f>VLOOKUP(M$136,HSS[#Data],MATCH($B174,HSS[#Headers],0),FALSE)</f>
        <v>#N/A</v>
      </c>
      <c r="N174" s="225" t="e">
        <f>VLOOKUP(N$136,HSS[#Data],MATCH($B174,HSS[#Headers],0),FALSE)</f>
        <v>#N/A</v>
      </c>
    </row>
    <row r="175" spans="2:14" hidden="1" x14ac:dyDescent="0.55000000000000004"/>
    <row r="176" spans="2:14" x14ac:dyDescent="0.55000000000000004">
      <c r="B176" s="222" t="s">
        <v>5961</v>
      </c>
      <c r="C176" s="223"/>
      <c r="D176" s="223"/>
    </row>
    <row r="177" spans="2:4" x14ac:dyDescent="0.55000000000000004">
      <c r="B177" s="226"/>
      <c r="C177" s="226" t="s">
        <v>5962</v>
      </c>
      <c r="D177" s="226" t="s">
        <v>5768</v>
      </c>
    </row>
    <row r="178" spans="2:4" x14ac:dyDescent="0.55000000000000004">
      <c r="B178" s="224" t="s">
        <v>4</v>
      </c>
      <c r="C178" s="225" t="str">
        <f>VLOOKUP($B$5,ユニット構成[#All],MATCH(C177,ユニット構成[#Headers],0),FALSE)</f>
        <v>w27onscce000300</v>
      </c>
      <c r="D178" s="225" t="str">
        <f>VLOOKUP($B$5,ユニット構成[#All],MATCH(D177,ユニット構成[#Headers],0),FALSE)</f>
        <v>w27onscce000400</v>
      </c>
    </row>
    <row r="179" spans="2:4" x14ac:dyDescent="0.55000000000000004">
      <c r="B179" s="224" t="s">
        <v>1850</v>
      </c>
      <c r="C179" s="225" t="str">
        <f>VLOOKUP(C$178,SCCE[#Data],MATCH($B179,SCCE[#Headers],0),FALSE)</f>
        <v>10.250.80.126</v>
      </c>
      <c r="D179" s="225" t="str">
        <f>VLOOKUP(D$178,SCCE[#Data],MATCH($B179,SCCE[#Headers],0),FALSE)</f>
        <v>10.250.80.254</v>
      </c>
    </row>
    <row r="180" spans="2:4" x14ac:dyDescent="0.55000000000000004">
      <c r="B180" s="224" t="s">
        <v>886</v>
      </c>
      <c r="C180" s="225" t="str">
        <f>VLOOKUP(C$178,SCCE[#Data],MATCH($B180,SCCE[#Headers],0),FALSE)</f>
        <v>w27snpnbs-tts-001100</v>
      </c>
      <c r="D180" s="225" t="str">
        <f>VLOOKUP(D$178,SCCE[#Data],MATCH($B180,SCCE[#Headers],0),FALSE)</f>
        <v>w27snpnbs-tts-001100</v>
      </c>
    </row>
    <row r="181" spans="2:4" x14ac:dyDescent="0.55000000000000004">
      <c r="B181" s="224" t="s">
        <v>887</v>
      </c>
      <c r="C181" s="225" t="str">
        <f>VLOOKUP(C$178,SCCE[#Data],MATCH($B181,SCCE[#Headers],0),FALSE)</f>
        <v>10.95.200.140</v>
      </c>
      <c r="D181" s="225" t="str">
        <f>VLOOKUP(D$178,SCCE[#Data],MATCH($B181,SCCE[#Headers],0),FALSE)</f>
        <v>10.95.200.140</v>
      </c>
    </row>
    <row r="182" spans="2:4" x14ac:dyDescent="0.55000000000000004">
      <c r="B182" s="224" t="s">
        <v>888</v>
      </c>
      <c r="C182" s="225" t="str">
        <f>VLOOKUP(C$178,SCCE[#Data],MATCH($B182,SCCE[#Headers],0),FALSE)</f>
        <v>8107</v>
      </c>
      <c r="D182" s="225" t="str">
        <f>VLOOKUP(D$178,SCCE[#Data],MATCH($B182,SCCE[#Headers],0),FALSE)</f>
        <v>8115</v>
      </c>
    </row>
    <row r="184" spans="2:4" x14ac:dyDescent="0.55000000000000004">
      <c r="B184" s="222" t="s">
        <v>5963</v>
      </c>
      <c r="C184" s="223"/>
      <c r="D184" s="223"/>
    </row>
    <row r="185" spans="2:4" x14ac:dyDescent="0.55000000000000004">
      <c r="B185" s="226"/>
      <c r="C185" s="226" t="s">
        <v>5964</v>
      </c>
      <c r="D185" s="226" t="s">
        <v>5965</v>
      </c>
    </row>
    <row r="186" spans="2:4" x14ac:dyDescent="0.55000000000000004">
      <c r="B186" s="224" t="s">
        <v>4</v>
      </c>
      <c r="C186" s="225" t="str">
        <f>VLOOKUP($B$5,ユニット構成[#All],MATCH(C185,ユニット構成[#Headers],0),FALSE)</f>
        <v>w27osgui-a300p2</v>
      </c>
      <c r="D186" s="225" t="str">
        <f>VLOOKUP($B$5,ユニット構成[#All],MATCH(D185,ユニット構成[#Headers],0),FALSE)</f>
        <v>w27osgui-a301p2</v>
      </c>
    </row>
    <row r="187" spans="2:4" x14ac:dyDescent="0.55000000000000004">
      <c r="B187" s="224" t="s">
        <v>880</v>
      </c>
      <c r="C187" s="225" t="str">
        <f>VLOOKUP(C$186,GUI[#Data],MATCH($B187,GUI[#Headers],0),FALSE)</f>
        <v>10.95.67.196</v>
      </c>
      <c r="D187" s="225" t="str">
        <f>VLOOKUP(D$186,GUI[#Data],MATCH($B187,GUI[#Headers],0),FALSE)</f>
        <v>10.95.67.197</v>
      </c>
    </row>
    <row r="188" spans="2:4" x14ac:dyDescent="0.55000000000000004">
      <c r="B188" s="224" t="s">
        <v>881</v>
      </c>
      <c r="C188" s="225" t="str">
        <f>VLOOKUP(C$186,GUI[#Data],MATCH($B188,GUI[#Headers],0),FALSE)</f>
        <v>10.95.68.5</v>
      </c>
      <c r="D188" s="225" t="str">
        <f>VLOOKUP(D$186,GUI[#Data],MATCH($B188,GUI[#Headers],0),FALSE)</f>
        <v>10.95.68.6</v>
      </c>
    </row>
    <row r="189" spans="2:4" x14ac:dyDescent="0.55000000000000004">
      <c r="B189" s="224" t="s">
        <v>882</v>
      </c>
      <c r="C189" s="225" t="str">
        <f>VLOOKUP(C$186,GUI[#Data],MATCH($B189,GUI[#Headers],0),FALSE)</f>
        <v>10.95.68.4</v>
      </c>
      <c r="D189" s="225" t="str">
        <f>VLOOKUP(D$186,GUI[#Data],MATCH($B189,GUI[#Headers],0),FALSE)</f>
        <v>10.95.68.4</v>
      </c>
    </row>
    <row r="190" spans="2:4" x14ac:dyDescent="0.55000000000000004">
      <c r="B190" s="224" t="s">
        <v>883</v>
      </c>
      <c r="C190" s="225" t="str">
        <f>VLOOKUP(C$186,GUI[#Data],MATCH($B190,GUI[#Headers],0),FALSE)</f>
        <v>10.95.68.52</v>
      </c>
      <c r="D190" s="225" t="str">
        <f>VLOOKUP(D$186,GUI[#Data],MATCH($B190,GUI[#Headers],0),FALSE)</f>
        <v>10.95.68.53</v>
      </c>
    </row>
    <row r="192" spans="2:4" x14ac:dyDescent="0.55000000000000004">
      <c r="B192" s="222" t="s">
        <v>5966</v>
      </c>
      <c r="C192" s="223"/>
      <c r="D192" s="223"/>
    </row>
    <row r="193" spans="2:8" x14ac:dyDescent="0.55000000000000004">
      <c r="B193" s="226"/>
      <c r="C193" s="226" t="s">
        <v>5967</v>
      </c>
      <c r="D193" s="226" t="s">
        <v>5968</v>
      </c>
      <c r="E193" s="226" t="s">
        <v>5969</v>
      </c>
      <c r="F193" s="226" t="s">
        <v>5970</v>
      </c>
      <c r="G193" s="226" t="s">
        <v>5971</v>
      </c>
      <c r="H193" s="226" t="s">
        <v>5972</v>
      </c>
    </row>
    <row r="194" spans="2:8" x14ac:dyDescent="0.55000000000000004">
      <c r="B194" s="224" t="s">
        <v>4</v>
      </c>
      <c r="C194" s="225" t="str">
        <f>VLOOKUP($B$5,ユニット構成[#All],MATCH(C193,ユニット構成[#Headers],0),FALSE)</f>
        <v>w27osssc-0200ac</v>
      </c>
      <c r="D194" s="225" t="str">
        <f>VLOOKUP($B$5,ユニット構成[#All],MATCH(D193,ユニット構成[#Headers],0),FALSE)</f>
        <v>w27osssc-0201ac</v>
      </c>
      <c r="E194" s="225" t="str">
        <f>VLOOKUP($B$5,ユニット構成[#All],MATCH(E193,ユニット構成[#Headers],0),FALSE)</f>
        <v>w27osssc-0300ac</v>
      </c>
      <c r="F194" s="225" t="str">
        <f>VLOOKUP($B$5,ユニット構成[#All],MATCH(F193,ユニット構成[#Headers],0),FALSE)</f>
        <v>w27osssc-0301ac</v>
      </c>
      <c r="G194" s="225" t="str">
        <f>VLOOKUP($B$5,ユニット構成[#All],MATCH(G193,ユニット構成[#Headers],0),FALSE)</f>
        <v>w27onvss-0510ac</v>
      </c>
      <c r="H194" s="225" t="str">
        <f>VLOOKUP($B$5,ユニット構成[#All],MATCH(H193,ユニット構成[#Headers],0),FALSE)</f>
        <v>w27onvss-0511ac</v>
      </c>
    </row>
    <row r="195" spans="2:8" x14ac:dyDescent="0.55000000000000004">
      <c r="B195" s="224" t="s">
        <v>5951</v>
      </c>
      <c r="C195" s="225" t="str">
        <f>VLOOKUP(C$194,SBC[#Data],MATCH($B195,SBC[#Headers],0),FALSE)</f>
        <v>222.231.224.84</v>
      </c>
      <c r="D195" s="225" t="str">
        <f>VLOOKUP(D$194,SBC[#Data],MATCH($B195,SBC[#Headers],0),FALSE)</f>
        <v>222.231.224.84</v>
      </c>
      <c r="E195" s="225" t="str">
        <f>VLOOKUP(E$194,SBC[#Data],MATCH($B195,SBC[#Headers],0),FALSE)</f>
        <v>222.231.224.116</v>
      </c>
      <c r="F195" s="225" t="str">
        <f>VLOOKUP(F$194,SBC[#Data],MATCH($B195,SBC[#Headers],0),FALSE)</f>
        <v>222.231.224.116</v>
      </c>
      <c r="G195" s="225" t="str">
        <f>VLOOKUP(G$194,SBC[#Data],MATCH($B195,SBC[#Headers],0),FALSE)</f>
        <v>124.245.199.4</v>
      </c>
      <c r="H195" s="225" t="str">
        <f>VLOOKUP(H$194,SBC[#Data],MATCH($B195,SBC[#Headers],0),FALSE)</f>
        <v>124.245.199.4</v>
      </c>
    </row>
    <row r="196" spans="2:8" x14ac:dyDescent="0.55000000000000004">
      <c r="B196" s="224" t="s">
        <v>5952</v>
      </c>
      <c r="C196" s="225" t="str">
        <f>VLOOKUP(C$194,SBC[#Data],MATCH($B196,SBC[#Headers],0),FALSE)</f>
        <v>2001:a7ff:100:4:0:0:0:4</v>
      </c>
      <c r="D196" s="225" t="str">
        <f>VLOOKUP(D$194,SBC[#Data],MATCH($B196,SBC[#Headers],0),FALSE)</f>
        <v>2001:a7ff:100:4:0:0:0:4</v>
      </c>
      <c r="E196" s="225" t="str">
        <f>VLOOKUP(E$194,SBC[#Data],MATCH($B196,SBC[#Headers],0),FALSE)</f>
        <v>2001:a7ff:100:9:0:0:0:4</v>
      </c>
      <c r="F196" s="225" t="str">
        <f>VLOOKUP(F$194,SBC[#Data],MATCH($B196,SBC[#Headers],0),FALSE)</f>
        <v>2001:a7ff:100:9:0:0:0:4</v>
      </c>
      <c r="G196" s="225" t="str">
        <f>VLOOKUP(G$194,SBC[#Data],MATCH($B196,SBC[#Headers],0),FALSE)</f>
        <v>2001:a7ff:100:0e:0:0:0:4</v>
      </c>
      <c r="H196" s="225" t="str">
        <f>VLOOKUP(H$194,SBC[#Data],MATCH($B196,SBC[#Headers],0),FALSE)</f>
        <v>2001:a7ff:100:0e:0:0:0:4</v>
      </c>
    </row>
    <row r="198" spans="2:8" x14ac:dyDescent="0.55000000000000004">
      <c r="B198" s="222" t="s">
        <v>5973</v>
      </c>
      <c r="C198" s="223"/>
      <c r="D198" s="223"/>
    </row>
    <row r="199" spans="2:8" x14ac:dyDescent="0.55000000000000004">
      <c r="B199" s="226"/>
      <c r="C199" s="226" t="s">
        <v>5779</v>
      </c>
      <c r="D199" s="226" t="s">
        <v>5780</v>
      </c>
      <c r="E199" s="226" t="s">
        <v>5781</v>
      </c>
      <c r="F199" s="226" t="s">
        <v>5782</v>
      </c>
    </row>
    <row r="200" spans="2:8" x14ac:dyDescent="0.55000000000000004">
      <c r="B200" s="224" t="s">
        <v>4</v>
      </c>
      <c r="C200" s="225" t="str">
        <f>VLOOKUP($B$5,ユニット構成[#All],MATCH(C199,ユニット構成[#Headers],0),FALSE)</f>
        <v>w27osisc-0200ps</v>
      </c>
      <c r="D200" s="225" t="str">
        <f>VLOOKUP($B$5,ユニット構成[#All],MATCH(D199,ユニット構成[#Headers],0),FALSE)</f>
        <v>w27osisc-0201ps</v>
      </c>
      <c r="E200" s="225" t="str">
        <f>VLOOKUP($B$5,ユニット構成[#All],MATCH(E199,ユニット構成[#Headers],0),FALSE)</f>
        <v>w23shisc-0a00ps</v>
      </c>
      <c r="F200" s="225" t="str">
        <f>VLOOKUP($B$5,ユニット構成[#All],MATCH(F199,ユニット構成[#Headers],0),FALSE)</f>
        <v>w23shisc-0a01ps</v>
      </c>
    </row>
    <row r="201" spans="2:8" x14ac:dyDescent="0.55000000000000004">
      <c r="B201" s="224" t="s">
        <v>5951</v>
      </c>
      <c r="C201" s="225" t="str">
        <f>VLOOKUP(C$200,SBC[#Data],MATCH($B201,SBC[#Headers],0),FALSE)</f>
        <v>222.231.224.20</v>
      </c>
      <c r="D201" s="225" t="str">
        <f>VLOOKUP(D$200,SBC[#Data],MATCH($B201,SBC[#Headers],0),FALSE)</f>
        <v>222.231.224.20</v>
      </c>
      <c r="E201" s="225" t="str">
        <f>VLOOKUP(E$200,SBC[#Data],MATCH($B201,SBC[#Headers],0),FALSE)</f>
        <v>222.231.232.36</v>
      </c>
      <c r="F201" s="225" t="str">
        <f>VLOOKUP(F$200,SBC[#Data],MATCH($B201,SBC[#Headers],0),FALSE)</f>
        <v>222.231.232.36</v>
      </c>
    </row>
    <row r="202" spans="2:8" x14ac:dyDescent="0.55000000000000004">
      <c r="B202" s="224" t="s">
        <v>5952</v>
      </c>
      <c r="C202" s="225" t="str">
        <f>VLOOKUP(C$200,SBC[#Data],MATCH($B202,SBC[#Headers],0),FALSE)</f>
        <v>2001:a7ff:100:3:0:0:0:4</v>
      </c>
      <c r="D202" s="225" t="str">
        <f>VLOOKUP(D$200,SBC[#Data],MATCH($B202,SBC[#Headers],0),FALSE)</f>
        <v>2001:a7ff:100:3:0:0:0:4</v>
      </c>
      <c r="E202" s="225" t="str">
        <f>VLOOKUP(E$200,SBC[#Data],MATCH($B202,SBC[#Headers],0),FALSE)</f>
        <v>2001:a7ff:2100:2:0:0:0:4</v>
      </c>
      <c r="F202" s="225" t="str">
        <f>VLOOKUP(F$200,SBC[#Data],MATCH($B202,SBC[#Headers],0),FALSE)</f>
        <v>2001:a7ff:2100:2:0:0:0:4</v>
      </c>
    </row>
    <row r="204" spans="2:8" x14ac:dyDescent="0.55000000000000004">
      <c r="B204" s="222" t="s">
        <v>5974</v>
      </c>
      <c r="C204" s="223"/>
      <c r="D204" s="223"/>
    </row>
    <row r="205" spans="2:8" x14ac:dyDescent="0.55000000000000004">
      <c r="B205" s="226"/>
      <c r="C205" s="226" t="s">
        <v>5975</v>
      </c>
      <c r="D205" s="226" t="s">
        <v>5976</v>
      </c>
      <c r="E205" s="226" t="s">
        <v>5977</v>
      </c>
      <c r="F205" s="226" t="s">
        <v>5978</v>
      </c>
    </row>
    <row r="206" spans="2:8" x14ac:dyDescent="0.55000000000000004">
      <c r="B206" s="224" t="s">
        <v>4</v>
      </c>
      <c r="C206" s="225" t="str">
        <f>VLOOKUP($B$5,ユニット構成[#All],MATCH(C205,ユニット構成[#Headers],0),FALSE)</f>
        <v>w27osisc-0230im</v>
      </c>
      <c r="D206" s="225" t="str">
        <f>VLOOKUP($B$5,ユニット構成[#All],MATCH(D205,ユニット構成[#Headers],0),FALSE)</f>
        <v>w27osisc-0231im</v>
      </c>
      <c r="E206" s="225" t="str">
        <f>VLOOKUP($B$5,ユニット構成[#All],MATCH(E205,ユニット構成[#Headers],0),FALSE)</f>
        <v>w23shisc-0a30im</v>
      </c>
      <c r="F206" s="225" t="str">
        <f>VLOOKUP($B$5,ユニット構成[#All],MATCH(F205,ユニット構成[#Headers],0),FALSE)</f>
        <v>w23shisc-0a31im</v>
      </c>
    </row>
    <row r="207" spans="2:8" x14ac:dyDescent="0.55000000000000004">
      <c r="B207" s="224" t="s">
        <v>5951</v>
      </c>
      <c r="C207" s="225" t="str">
        <f>VLOOKUP(C$206,SBC[#Data],MATCH($B207,SBC[#Headers],0),FALSE)</f>
        <v>222.231.224.23</v>
      </c>
      <c r="D207" s="225" t="str">
        <f>VLOOKUP(D$206,SBC[#Data],MATCH($B207,SBC[#Headers],0),FALSE)</f>
        <v>222.231.224.23</v>
      </c>
      <c r="E207" s="225" t="str">
        <f>VLOOKUP(E$206,SBC[#Data],MATCH($B207,SBC[#Headers],0),FALSE)</f>
        <v>222.231.232.39</v>
      </c>
      <c r="F207" s="225" t="str">
        <f>VLOOKUP(F$206,SBC[#Data],MATCH($B207,SBC[#Headers],0),FALSE)</f>
        <v>222.231.232.39</v>
      </c>
    </row>
    <row r="208" spans="2:8" x14ac:dyDescent="0.55000000000000004">
      <c r="B208" s="224" t="s">
        <v>5952</v>
      </c>
      <c r="C208" s="225" t="str">
        <f>VLOOKUP(C$206,SBC[#Data],MATCH($B208,SBC[#Headers],0),FALSE)</f>
        <v>2001:a7ff:100:3:0:0:0:7</v>
      </c>
      <c r="D208" s="225" t="str">
        <f>VLOOKUP(D$206,SBC[#Data],MATCH($B208,SBC[#Headers],0),FALSE)</f>
        <v>2001:a7ff:100:3:0:0:0:7</v>
      </c>
      <c r="E208" s="225" t="str">
        <f>VLOOKUP(E$206,SBC[#Data],MATCH($B208,SBC[#Headers],0),FALSE)</f>
        <v>2001:a7ff:2100:2:0:0:0:7</v>
      </c>
      <c r="F208" s="225" t="str">
        <f>VLOOKUP(F$206,SBC[#Data],MATCH($B208,SBC[#Headers],0),FALSE)</f>
        <v>2001:a7ff:2100:2:0:0:0:7</v>
      </c>
    </row>
    <row r="210" spans="2:4" x14ac:dyDescent="0.55000000000000004">
      <c r="B210" s="222" t="s">
        <v>5979</v>
      </c>
      <c r="C210" s="223"/>
      <c r="D210" s="223"/>
    </row>
    <row r="211" spans="2:4" x14ac:dyDescent="0.55000000000000004">
      <c r="B211" s="226"/>
      <c r="C211" s="226" t="s">
        <v>5980</v>
      </c>
      <c r="D211" s="226" t="s">
        <v>5981</v>
      </c>
    </row>
    <row r="212" spans="2:4" x14ac:dyDescent="0.55000000000000004">
      <c r="B212" s="224" t="s">
        <v>4</v>
      </c>
      <c r="C212" s="225" t="str">
        <f>VLOOKUP($B$5,ユニット構成[#All],MATCH(C211,ユニット構成[#Headers],0),FALSE)</f>
        <v>（未実装）</v>
      </c>
      <c r="D212" s="225" t="str">
        <f>VLOOKUP($B$5,ユニット構成[#All],MATCH(D211,ユニット構成[#Headers],0),FALSE)</f>
        <v>（未実装）</v>
      </c>
    </row>
    <row r="213" spans="2:4" x14ac:dyDescent="0.55000000000000004">
      <c r="B213" s="224" t="s">
        <v>5942</v>
      </c>
      <c r="C213" s="225" t="str">
        <f>VLOOKUP(C$212,FS[#Data],MATCH($B213,FS[#Headers],0),FALSE)</f>
        <v>-</v>
      </c>
      <c r="D213" s="225" t="str">
        <f>VLOOKUP(D$212,FS[#Data],MATCH($B213,FS[#Headers],0),FALSE)</f>
        <v>-</v>
      </c>
    </row>
  </sheetData>
  <mergeCells count="14">
    <mergeCell ref="C28:F28"/>
    <mergeCell ref="C29:F29"/>
    <mergeCell ref="C30:F30"/>
    <mergeCell ref="A33:A53"/>
    <mergeCell ref="A9:A18"/>
    <mergeCell ref="A20:A30"/>
    <mergeCell ref="C20:F20"/>
    <mergeCell ref="C21:F21"/>
    <mergeCell ref="C22:F22"/>
    <mergeCell ref="C23:F23"/>
    <mergeCell ref="C24:F24"/>
    <mergeCell ref="C25:F25"/>
    <mergeCell ref="C26:F26"/>
    <mergeCell ref="C27:F27"/>
  </mergeCells>
  <phoneticPr fontId="1"/>
  <dataValidations count="4">
    <dataValidation type="list" allowBlank="1" showInputMessage="1" showErrorMessage="1" sqref="B4" xr:uid="{CFA2D078-932F-4FB2-ABA6-224110EEA572}">
      <formula1>"関西1,関西2,東海,中国・四国,九州,検証C,検証M"</formula1>
    </dataValidation>
    <dataValidation type="list" allowBlank="1" showInputMessage="1" showErrorMessage="1" sqref="B5" xr:uid="{787EF8ED-5562-4C29-91CB-B4DE66BB8F7B}">
      <formula1>_xlfn.ANCHORARRAY(H3)</formula1>
    </dataValidation>
    <dataValidation type="list" allowBlank="1" showInputMessage="1" showErrorMessage="1" sqref="B7" xr:uid="{1A9F4747-2106-4677-B124-4D990E019ACA}">
      <formula1>"SRR,VSAR"</formula1>
    </dataValidation>
    <dataValidation type="list" allowBlank="1" showInputMessage="1" showErrorMessage="1" sqref="B6" xr:uid="{99D2CAB3-DF5C-4FF7-A62C-15FF880F6B29}">
      <formula1>"1,2,3,4,5,6"</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FC8F1-6E50-489C-805F-285481BD4834}">
  <sheetPr codeName="Sheet14">
    <tabColor theme="9" tint="-0.499984740745262"/>
  </sheetPr>
  <dimension ref="A1:O47"/>
  <sheetViews>
    <sheetView zoomScale="85" zoomScaleNormal="85" zoomScaleSheetLayoutView="100" workbookViewId="0">
      <pane ySplit="5" topLeftCell="A6" activePane="bottomLeft" state="frozen"/>
      <selection activeCell="J149" sqref="J149"/>
      <selection pane="bottomLeft" activeCell="K5" sqref="K5"/>
    </sheetView>
  </sheetViews>
  <sheetFormatPr defaultColWidth="9" defaultRowHeight="13.5" x14ac:dyDescent="0.55000000000000004"/>
  <cols>
    <col min="1" max="1" width="3.5" style="46" customWidth="1"/>
    <col min="2" max="3" width="3.6640625" style="46" bestFit="1" customWidth="1"/>
    <col min="4" max="4" width="18.6640625" style="46" customWidth="1"/>
    <col min="5" max="7" width="3.08203125" style="48" customWidth="1"/>
    <col min="8" max="8" width="55.08203125" style="48" customWidth="1"/>
    <col min="9" max="9" width="56.5" style="5" customWidth="1"/>
    <col min="10" max="10" width="6.1640625" style="46" bestFit="1" customWidth="1"/>
    <col min="11" max="11" width="5.58203125" style="46" bestFit="1" customWidth="1"/>
    <col min="12" max="12" width="65.08203125" style="170" customWidth="1"/>
    <col min="13" max="15" width="3.08203125" style="48" customWidth="1"/>
    <col min="16" max="16384" width="9" style="48"/>
  </cols>
  <sheetData>
    <row r="1" spans="1:12" s="44" customFormat="1" ht="19.5" x14ac:dyDescent="0.55000000000000004">
      <c r="A1" s="82" t="str" cm="1">
        <f t="array" aca="1" ref="A1" ca="1">RIGHT(CELL("filename",A1),LEN(CELL("filename",A1))-FIND("]",CELL("filename",A1)))</f>
        <v>旧雛形</v>
      </c>
      <c r="B1" s="82"/>
      <c r="C1" s="82"/>
      <c r="D1" s="82"/>
      <c r="E1" s="90"/>
      <c r="F1" s="58"/>
      <c r="G1" s="58"/>
      <c r="H1" s="58"/>
      <c r="I1" s="40"/>
      <c r="J1" s="314" t="s">
        <v>3</v>
      </c>
      <c r="K1" s="315"/>
      <c r="L1" s="316"/>
    </row>
    <row r="2" spans="1:12" s="44" customFormat="1" ht="19.5" x14ac:dyDescent="0.55000000000000004">
      <c r="A2" s="82"/>
      <c r="B2" s="82"/>
      <c r="C2" s="82"/>
      <c r="D2" s="82"/>
      <c r="E2" s="82"/>
      <c r="F2" s="58"/>
      <c r="G2" s="58"/>
      <c r="H2" s="58"/>
      <c r="I2" s="40"/>
      <c r="J2" s="317"/>
      <c r="K2" s="318"/>
      <c r="L2" s="319"/>
    </row>
    <row r="3" spans="1:12" s="44" customFormat="1" ht="20" thickBot="1" x14ac:dyDescent="0.6">
      <c r="A3" s="84"/>
      <c r="B3" s="84"/>
      <c r="C3" s="84"/>
      <c r="D3" s="82"/>
      <c r="E3" s="82"/>
      <c r="F3" s="58"/>
      <c r="G3" s="58"/>
      <c r="H3" s="58"/>
      <c r="I3" s="40"/>
      <c r="J3" s="317"/>
      <c r="K3" s="318"/>
      <c r="L3" s="319"/>
    </row>
    <row r="4" spans="1:12" s="44" customFormat="1" ht="18.75" customHeight="1" thickBot="1" x14ac:dyDescent="0.6">
      <c r="A4" s="320" t="s">
        <v>5</v>
      </c>
      <c r="B4" s="321"/>
      <c r="C4" s="322"/>
      <c r="D4" s="72"/>
      <c r="E4" s="73"/>
      <c r="F4" s="73"/>
      <c r="G4" s="73"/>
      <c r="H4" s="73"/>
      <c r="I4" s="83"/>
      <c r="J4" s="317"/>
      <c r="K4" s="318"/>
      <c r="L4" s="319"/>
    </row>
    <row r="5" spans="1:12" s="44" customFormat="1" ht="18.75" customHeight="1" thickBot="1" x14ac:dyDescent="0.6">
      <c r="A5" s="74" t="s">
        <v>6</v>
      </c>
      <c r="B5" s="75" t="s">
        <v>7</v>
      </c>
      <c r="C5" s="75" t="s">
        <v>8</v>
      </c>
      <c r="D5" s="76" t="s">
        <v>35</v>
      </c>
      <c r="E5" s="323" t="s">
        <v>9</v>
      </c>
      <c r="F5" s="324"/>
      <c r="G5" s="324"/>
      <c r="H5" s="325"/>
      <c r="I5" s="76" t="s">
        <v>34</v>
      </c>
      <c r="J5" s="77" t="s">
        <v>67</v>
      </c>
      <c r="K5" s="78" t="s">
        <v>13</v>
      </c>
      <c r="L5" s="140" t="s">
        <v>10</v>
      </c>
    </row>
    <row r="6" spans="1:12" ht="18.75" customHeight="1" thickBot="1" x14ac:dyDescent="0.6">
      <c r="A6" s="71">
        <v>0</v>
      </c>
      <c r="B6" s="51">
        <v>0</v>
      </c>
      <c r="C6" s="51">
        <v>0</v>
      </c>
      <c r="D6" s="53"/>
      <c r="E6" s="60" t="s">
        <v>76</v>
      </c>
      <c r="F6" s="61"/>
      <c r="G6" s="61"/>
      <c r="H6" s="61"/>
      <c r="I6" s="52"/>
      <c r="J6" s="52"/>
      <c r="K6" s="52"/>
      <c r="L6" s="248"/>
    </row>
    <row r="7" spans="1:12" s="44" customFormat="1" ht="18.75" customHeight="1" x14ac:dyDescent="0.55000000000000004">
      <c r="A7" s="70"/>
      <c r="B7" s="49">
        <v>0</v>
      </c>
      <c r="C7" s="49">
        <v>0</v>
      </c>
      <c r="D7" s="49"/>
      <c r="E7" s="59" t="s">
        <v>20</v>
      </c>
      <c r="F7" s="16"/>
      <c r="G7" s="16"/>
      <c r="H7" s="50"/>
      <c r="I7" s="15"/>
      <c r="J7" s="17"/>
      <c r="K7" s="87"/>
      <c r="L7" s="141"/>
    </row>
    <row r="8" spans="1:12" s="44" customFormat="1" ht="18.75" customHeight="1" x14ac:dyDescent="0.55000000000000004">
      <c r="A8" s="70">
        <v>0</v>
      </c>
      <c r="B8" s="49">
        <v>0</v>
      </c>
      <c r="C8" s="49">
        <v>1</v>
      </c>
      <c r="D8" s="49"/>
      <c r="E8" s="59"/>
      <c r="F8" s="16" t="s">
        <v>21</v>
      </c>
      <c r="G8" s="16"/>
      <c r="H8" s="50"/>
      <c r="I8" s="15" t="s">
        <v>100</v>
      </c>
      <c r="J8" s="11" t="s">
        <v>12</v>
      </c>
      <c r="K8" s="22" t="s">
        <v>41</v>
      </c>
      <c r="L8" s="142"/>
    </row>
    <row r="9" spans="1:12" s="44" customFormat="1" ht="18.75" customHeight="1" x14ac:dyDescent="0.55000000000000004">
      <c r="A9" s="70">
        <v>0</v>
      </c>
      <c r="B9" s="49">
        <v>0</v>
      </c>
      <c r="C9" s="49">
        <v>2</v>
      </c>
      <c r="D9" s="49"/>
      <c r="E9" s="59"/>
      <c r="F9" s="16" t="s">
        <v>22</v>
      </c>
      <c r="G9" s="16"/>
      <c r="H9" s="50"/>
      <c r="I9" s="15" t="s">
        <v>99</v>
      </c>
      <c r="J9" s="17"/>
      <c r="K9" s="46"/>
      <c r="L9" s="142"/>
    </row>
    <row r="10" spans="1:12" s="44" customFormat="1" ht="18.75" customHeight="1" x14ac:dyDescent="0.55000000000000004">
      <c r="A10" s="70"/>
      <c r="B10" s="49"/>
      <c r="C10" s="49"/>
      <c r="D10" s="49"/>
      <c r="E10" s="59"/>
      <c r="F10" s="16"/>
      <c r="G10" s="16" t="s">
        <v>68</v>
      </c>
      <c r="H10" s="50"/>
      <c r="I10" s="15"/>
      <c r="J10" s="11" t="s">
        <v>12</v>
      </c>
      <c r="K10" s="22" t="s">
        <v>41</v>
      </c>
      <c r="L10" s="143" t="s">
        <v>23</v>
      </c>
    </row>
    <row r="11" spans="1:12" s="44" customFormat="1" ht="18.75" customHeight="1" x14ac:dyDescent="0.55000000000000004">
      <c r="A11" s="70"/>
      <c r="B11" s="49"/>
      <c r="C11" s="49"/>
      <c r="D11" s="49"/>
      <c r="E11" s="59"/>
      <c r="F11" s="16"/>
      <c r="G11" s="16" t="s">
        <v>69</v>
      </c>
      <c r="H11" s="50"/>
      <c r="I11" s="15"/>
      <c r="J11" s="11" t="s">
        <v>12</v>
      </c>
      <c r="K11" s="22" t="s">
        <v>41</v>
      </c>
      <c r="L11" s="143" t="s">
        <v>24</v>
      </c>
    </row>
    <row r="12" spans="1:12" s="44" customFormat="1" ht="18.75" customHeight="1" x14ac:dyDescent="0.55000000000000004">
      <c r="A12" s="70"/>
      <c r="B12" s="49"/>
      <c r="C12" s="49"/>
      <c r="D12" s="49"/>
      <c r="E12" s="59"/>
      <c r="F12" s="16"/>
      <c r="G12" s="16" t="s">
        <v>70</v>
      </c>
      <c r="H12" s="50"/>
      <c r="I12" s="15"/>
      <c r="J12" s="11" t="s">
        <v>12</v>
      </c>
      <c r="K12" s="22" t="s">
        <v>41</v>
      </c>
      <c r="L12" s="143" t="s">
        <v>25</v>
      </c>
    </row>
    <row r="13" spans="1:12" s="44" customFormat="1" ht="18.75" customHeight="1" x14ac:dyDescent="0.55000000000000004">
      <c r="A13" s="70"/>
      <c r="B13" s="49"/>
      <c r="C13" s="49"/>
      <c r="D13" s="49"/>
      <c r="E13" s="59"/>
      <c r="F13" s="16"/>
      <c r="G13" s="16" t="s">
        <v>71</v>
      </c>
      <c r="H13" s="50"/>
      <c r="I13" s="15"/>
      <c r="J13" s="11" t="s">
        <v>12</v>
      </c>
      <c r="K13" s="22" t="s">
        <v>41</v>
      </c>
      <c r="L13" s="143" t="s">
        <v>25</v>
      </c>
    </row>
    <row r="14" spans="1:12" s="44" customFormat="1" ht="18.75" customHeight="1" x14ac:dyDescent="0.55000000000000004">
      <c r="A14" s="70"/>
      <c r="B14" s="49"/>
      <c r="C14" s="49"/>
      <c r="D14" s="49"/>
      <c r="E14" s="59"/>
      <c r="F14" s="16"/>
      <c r="G14" s="16" t="s">
        <v>72</v>
      </c>
      <c r="H14" s="50"/>
      <c r="I14" s="15"/>
      <c r="J14" s="11" t="s">
        <v>12</v>
      </c>
      <c r="K14" s="22" t="s">
        <v>41</v>
      </c>
      <c r="L14" s="143" t="s">
        <v>25</v>
      </c>
    </row>
    <row r="15" spans="1:12" s="44" customFormat="1" ht="18.75" customHeight="1" x14ac:dyDescent="0.55000000000000004">
      <c r="A15" s="70"/>
      <c r="B15" s="49"/>
      <c r="C15" s="49"/>
      <c r="D15" s="49"/>
      <c r="E15" s="59"/>
      <c r="F15" s="16"/>
      <c r="G15" s="16" t="s">
        <v>73</v>
      </c>
      <c r="H15" s="50"/>
      <c r="I15" s="15"/>
      <c r="J15" s="11" t="s">
        <v>12</v>
      </c>
      <c r="K15" s="22" t="s">
        <v>41</v>
      </c>
      <c r="L15" s="143" t="s">
        <v>26</v>
      </c>
    </row>
    <row r="16" spans="1:12" s="44" customFormat="1" ht="18.75" customHeight="1" x14ac:dyDescent="0.55000000000000004">
      <c r="A16" s="70">
        <v>0</v>
      </c>
      <c r="B16" s="49">
        <v>0</v>
      </c>
      <c r="C16" s="49">
        <v>3</v>
      </c>
      <c r="D16" s="49"/>
      <c r="E16" s="59"/>
      <c r="F16" s="16" t="s">
        <v>27</v>
      </c>
      <c r="G16" s="16"/>
      <c r="H16" s="50"/>
      <c r="I16" s="15" t="s">
        <v>102</v>
      </c>
      <c r="J16" s="11" t="s">
        <v>12</v>
      </c>
      <c r="K16" s="22" t="s">
        <v>41</v>
      </c>
      <c r="L16" s="142"/>
    </row>
    <row r="17" spans="1:15" s="44" customFormat="1" ht="18.75" customHeight="1" x14ac:dyDescent="0.55000000000000004">
      <c r="A17" s="70"/>
      <c r="B17" s="49"/>
      <c r="C17" s="49"/>
      <c r="D17" s="49"/>
      <c r="E17" s="59"/>
      <c r="F17" s="16"/>
      <c r="G17" s="16"/>
      <c r="H17" s="50"/>
      <c r="I17" s="15"/>
      <c r="J17" s="11"/>
      <c r="K17" s="46"/>
      <c r="L17" s="142"/>
    </row>
    <row r="18" spans="1:15" s="44" customFormat="1" ht="18.75" customHeight="1" x14ac:dyDescent="0.55000000000000004">
      <c r="A18" s="70">
        <v>0</v>
      </c>
      <c r="B18" s="49">
        <v>1</v>
      </c>
      <c r="C18" s="49">
        <v>0</v>
      </c>
      <c r="D18" s="49"/>
      <c r="E18" s="59" t="s">
        <v>28</v>
      </c>
      <c r="F18" s="16"/>
      <c r="G18" s="16"/>
      <c r="H18" s="50"/>
      <c r="I18" s="15"/>
      <c r="J18" s="17"/>
      <c r="K18" s="22"/>
      <c r="L18" s="142"/>
    </row>
    <row r="19" spans="1:15" s="44" customFormat="1" ht="18.75" customHeight="1" x14ac:dyDescent="0.55000000000000004">
      <c r="A19" s="70">
        <v>0</v>
      </c>
      <c r="B19" s="49">
        <v>1</v>
      </c>
      <c r="C19" s="49">
        <v>1</v>
      </c>
      <c r="D19" s="49"/>
      <c r="E19" s="59"/>
      <c r="F19" s="16" t="s">
        <v>29</v>
      </c>
      <c r="G19" s="16"/>
      <c r="H19" s="50"/>
      <c r="I19" s="15" t="s">
        <v>98</v>
      </c>
      <c r="J19" s="11" t="s">
        <v>12</v>
      </c>
      <c r="K19" s="22" t="s">
        <v>57</v>
      </c>
      <c r="L19" s="142"/>
    </row>
    <row r="20" spans="1:15" s="44" customFormat="1" ht="18.75" customHeight="1" x14ac:dyDescent="0.55000000000000004">
      <c r="A20" s="70">
        <v>0</v>
      </c>
      <c r="B20" s="49">
        <v>1</v>
      </c>
      <c r="C20" s="49">
        <v>2</v>
      </c>
      <c r="D20" s="49"/>
      <c r="E20" s="59"/>
      <c r="F20" s="16" t="s">
        <v>30</v>
      </c>
      <c r="G20" s="16"/>
      <c r="H20" s="50"/>
      <c r="I20" s="15" t="s">
        <v>97</v>
      </c>
      <c r="J20" s="11" t="s">
        <v>12</v>
      </c>
      <c r="K20" s="22" t="s">
        <v>57</v>
      </c>
      <c r="L20" s="143" t="s">
        <v>31</v>
      </c>
    </row>
    <row r="21" spans="1:15" s="6" customFormat="1" ht="18.75" customHeight="1" thickBot="1" x14ac:dyDescent="0.6">
      <c r="A21" s="70"/>
      <c r="B21" s="49"/>
      <c r="C21" s="49"/>
      <c r="D21" s="49"/>
      <c r="E21" s="59"/>
      <c r="F21" s="16"/>
      <c r="G21" s="16"/>
      <c r="H21" s="50"/>
      <c r="I21" s="15"/>
      <c r="J21" s="17"/>
      <c r="K21" s="87"/>
      <c r="L21" s="144"/>
      <c r="M21" s="48"/>
      <c r="N21" s="48"/>
      <c r="O21" s="48"/>
    </row>
    <row r="22" spans="1:15" ht="18.75" customHeight="1" x14ac:dyDescent="0.55000000000000004">
      <c r="A22" s="71">
        <v>1</v>
      </c>
      <c r="B22" s="51">
        <v>0</v>
      </c>
      <c r="C22" s="51">
        <v>0</v>
      </c>
      <c r="D22" s="53"/>
      <c r="E22" s="60" t="s">
        <v>76</v>
      </c>
      <c r="F22" s="61"/>
      <c r="G22" s="61"/>
      <c r="H22" s="61"/>
      <c r="I22" s="52"/>
      <c r="J22" s="52"/>
      <c r="K22" s="52"/>
      <c r="L22" s="248"/>
    </row>
    <row r="23" spans="1:15" ht="18.75" customHeight="1" x14ac:dyDescent="0.55000000000000004">
      <c r="A23" s="54"/>
      <c r="B23" s="54"/>
      <c r="C23" s="54"/>
      <c r="D23" s="54"/>
      <c r="E23" s="62" t="s">
        <v>6054</v>
      </c>
      <c r="F23" s="4"/>
      <c r="G23" s="4"/>
      <c r="H23" s="1"/>
      <c r="I23" s="81" t="s">
        <v>46</v>
      </c>
      <c r="J23" s="21" t="s">
        <v>11</v>
      </c>
      <c r="K23" s="46" t="s">
        <v>44</v>
      </c>
      <c r="L23" s="154"/>
      <c r="M23" s="80"/>
    </row>
    <row r="24" spans="1:15" ht="18.75" customHeight="1" x14ac:dyDescent="0.55000000000000004">
      <c r="A24" s="54"/>
      <c r="B24" s="54"/>
      <c r="C24" s="54"/>
      <c r="D24" s="54"/>
      <c r="E24" s="62"/>
      <c r="F24" s="4"/>
      <c r="G24" s="4"/>
      <c r="H24" s="1"/>
      <c r="I24" s="81" t="s">
        <v>47</v>
      </c>
      <c r="J24" s="11" t="s">
        <v>11</v>
      </c>
      <c r="K24" s="40" t="s">
        <v>44</v>
      </c>
      <c r="L24" s="150"/>
    </row>
    <row r="25" spans="1:15" ht="18.75" customHeight="1" x14ac:dyDescent="0.55000000000000004">
      <c r="A25" s="54"/>
      <c r="B25" s="54"/>
      <c r="C25" s="54"/>
      <c r="D25" s="54"/>
      <c r="E25" s="62"/>
      <c r="F25" s="4"/>
      <c r="G25" s="4"/>
      <c r="H25" s="1"/>
      <c r="I25" s="81" t="s">
        <v>48</v>
      </c>
      <c r="J25" s="11" t="s">
        <v>11</v>
      </c>
      <c r="K25" s="40" t="s">
        <v>44</v>
      </c>
      <c r="L25" s="150"/>
    </row>
    <row r="26" spans="1:15" ht="18.75" customHeight="1" x14ac:dyDescent="0.55000000000000004">
      <c r="A26" s="54"/>
      <c r="B26" s="54"/>
      <c r="C26" s="54"/>
      <c r="D26" s="54"/>
      <c r="E26" s="62"/>
      <c r="F26" s="4"/>
      <c r="G26" s="4"/>
      <c r="H26" s="1"/>
      <c r="I26" s="81" t="s">
        <v>49</v>
      </c>
      <c r="J26" s="11" t="s">
        <v>11</v>
      </c>
      <c r="K26" s="40" t="s">
        <v>6407</v>
      </c>
      <c r="L26" s="154"/>
    </row>
    <row r="27" spans="1:15" ht="18.75" customHeight="1" x14ac:dyDescent="0.55000000000000004">
      <c r="A27" s="54"/>
      <c r="B27" s="54"/>
      <c r="C27" s="54"/>
      <c r="D27" s="54"/>
      <c r="E27" s="62"/>
      <c r="F27" s="4"/>
      <c r="G27" s="4"/>
      <c r="H27" s="1"/>
      <c r="I27" s="81" t="s">
        <v>50</v>
      </c>
      <c r="J27" s="11" t="s">
        <v>11</v>
      </c>
      <c r="K27" s="40" t="s">
        <v>6407</v>
      </c>
      <c r="L27" s="154"/>
    </row>
    <row r="28" spans="1:15" ht="18.75" customHeight="1" x14ac:dyDescent="0.55000000000000004">
      <c r="A28" s="54"/>
      <c r="B28" s="54"/>
      <c r="C28" s="54"/>
      <c r="D28" s="54"/>
      <c r="E28" s="42"/>
      <c r="F28" s="24"/>
      <c r="G28" s="24"/>
      <c r="H28" s="7"/>
      <c r="I28" s="47"/>
      <c r="J28" s="11"/>
      <c r="K28" s="40"/>
      <c r="L28" s="154"/>
    </row>
    <row r="29" spans="1:15" ht="18.75" customHeight="1" x14ac:dyDescent="0.55000000000000004">
      <c r="A29" s="54"/>
      <c r="B29" s="54"/>
      <c r="C29" s="54"/>
      <c r="D29" s="54"/>
      <c r="E29" s="42"/>
      <c r="F29" s="23" t="s">
        <v>6053</v>
      </c>
      <c r="G29" s="24"/>
      <c r="H29" s="7"/>
      <c r="I29" s="47"/>
      <c r="J29" s="11" t="s">
        <v>11</v>
      </c>
      <c r="K29" s="40" t="s">
        <v>14</v>
      </c>
      <c r="L29" s="143" t="s">
        <v>15</v>
      </c>
    </row>
    <row r="30" spans="1:15" ht="18.75" customHeight="1" x14ac:dyDescent="0.55000000000000004">
      <c r="A30" s="54"/>
      <c r="B30" s="54"/>
      <c r="C30" s="54"/>
      <c r="D30" s="54"/>
      <c r="E30" s="42"/>
      <c r="F30" s="23"/>
      <c r="G30" s="23"/>
      <c r="H30" s="7"/>
      <c r="I30" s="47" t="s">
        <v>96</v>
      </c>
      <c r="J30" s="11" t="s">
        <v>11</v>
      </c>
      <c r="K30" s="40" t="s">
        <v>42</v>
      </c>
      <c r="L30" s="155" t="str">
        <f>I$5</f>
        <v>確認事項 or 項目</v>
      </c>
      <c r="M30" s="80"/>
    </row>
    <row r="31" spans="1:15" ht="18.75" customHeight="1" x14ac:dyDescent="0.55000000000000004">
      <c r="A31" s="54"/>
      <c r="B31" s="54"/>
      <c r="C31" s="54"/>
      <c r="D31" s="54"/>
      <c r="E31" s="42"/>
      <c r="F31" s="23"/>
      <c r="G31" s="23"/>
      <c r="H31" s="7"/>
      <c r="I31" s="47" t="s">
        <v>96</v>
      </c>
      <c r="J31" s="11" t="s">
        <v>11</v>
      </c>
      <c r="K31" s="40" t="s">
        <v>42</v>
      </c>
      <c r="L31" s="155">
        <f>L26</f>
        <v>0</v>
      </c>
    </row>
    <row r="32" spans="1:15" ht="18.75" customHeight="1" thickBot="1" x14ac:dyDescent="0.6">
      <c r="A32" s="29"/>
      <c r="B32" s="2"/>
      <c r="C32" s="41"/>
      <c r="D32" s="55"/>
      <c r="E32" s="20"/>
      <c r="F32" s="13"/>
      <c r="G32" s="13"/>
      <c r="H32" s="10"/>
      <c r="I32" s="39"/>
      <c r="J32" s="96"/>
      <c r="K32" s="9"/>
      <c r="L32" s="206"/>
    </row>
    <row r="33" spans="1:15" ht="18.75" customHeight="1" x14ac:dyDescent="0.55000000000000004">
      <c r="A33" s="71">
        <v>1</v>
      </c>
      <c r="B33" s="51">
        <v>0</v>
      </c>
      <c r="C33" s="51">
        <v>0</v>
      </c>
      <c r="D33" s="53"/>
      <c r="E33" s="60" t="s">
        <v>93</v>
      </c>
      <c r="F33" s="61"/>
      <c r="G33" s="61"/>
      <c r="H33" s="61"/>
      <c r="I33" s="52"/>
      <c r="J33" s="52"/>
      <c r="K33" s="52"/>
      <c r="L33" s="248"/>
    </row>
    <row r="34" spans="1:15" ht="18.75" customHeight="1" x14ac:dyDescent="0.55000000000000004">
      <c r="A34" s="54"/>
      <c r="B34" s="54"/>
      <c r="C34" s="54"/>
      <c r="D34" s="54"/>
      <c r="E34" s="62" t="s">
        <v>6054</v>
      </c>
      <c r="F34" s="4"/>
      <c r="G34" s="4"/>
      <c r="H34" s="1"/>
      <c r="I34" s="81" t="s">
        <v>46</v>
      </c>
      <c r="J34" s="21" t="s">
        <v>11</v>
      </c>
      <c r="K34" s="46" t="s">
        <v>44</v>
      </c>
      <c r="L34" s="154"/>
      <c r="M34" s="80"/>
    </row>
    <row r="35" spans="1:15" ht="18.75" customHeight="1" x14ac:dyDescent="0.55000000000000004">
      <c r="A35" s="54"/>
      <c r="B35" s="54"/>
      <c r="C35" s="54"/>
      <c r="D35" s="54"/>
      <c r="E35" s="62"/>
      <c r="F35" s="4"/>
      <c r="G35" s="4"/>
      <c r="H35" s="1"/>
      <c r="I35" s="81" t="s">
        <v>47</v>
      </c>
      <c r="J35" s="11" t="s">
        <v>11</v>
      </c>
      <c r="K35" s="40" t="s">
        <v>44</v>
      </c>
      <c r="L35" s="150"/>
    </row>
    <row r="36" spans="1:15" ht="18.75" customHeight="1" x14ac:dyDescent="0.55000000000000004">
      <c r="A36" s="54"/>
      <c r="B36" s="54"/>
      <c r="C36" s="54"/>
      <c r="D36" s="54"/>
      <c r="E36" s="62"/>
      <c r="F36" s="4"/>
      <c r="G36" s="4"/>
      <c r="H36" s="1"/>
      <c r="I36" s="81" t="s">
        <v>48</v>
      </c>
      <c r="J36" s="11" t="s">
        <v>11</v>
      </c>
      <c r="K36" s="40" t="s">
        <v>44</v>
      </c>
      <c r="L36" s="150"/>
    </row>
    <row r="37" spans="1:15" ht="18.75" customHeight="1" x14ac:dyDescent="0.55000000000000004">
      <c r="A37" s="54"/>
      <c r="B37" s="54"/>
      <c r="C37" s="54"/>
      <c r="D37" s="54"/>
      <c r="E37" s="62"/>
      <c r="F37" s="4"/>
      <c r="G37" s="4"/>
      <c r="H37" s="1"/>
      <c r="I37" s="81" t="s">
        <v>49</v>
      </c>
      <c r="J37" s="11" t="s">
        <v>11</v>
      </c>
      <c r="K37" s="40" t="s">
        <v>6407</v>
      </c>
      <c r="L37" s="154"/>
    </row>
    <row r="38" spans="1:15" ht="18.75" customHeight="1" x14ac:dyDescent="0.55000000000000004">
      <c r="A38" s="54"/>
      <c r="B38" s="54"/>
      <c r="C38" s="54"/>
      <c r="D38" s="54"/>
      <c r="E38" s="62"/>
      <c r="F38" s="4"/>
      <c r="G38" s="4"/>
      <c r="H38" s="1"/>
      <c r="I38" s="81" t="s">
        <v>50</v>
      </c>
      <c r="J38" s="11" t="s">
        <v>11</v>
      </c>
      <c r="K38" s="40" t="s">
        <v>6407</v>
      </c>
      <c r="L38" s="154"/>
    </row>
    <row r="39" spans="1:15" ht="18.75" customHeight="1" x14ac:dyDescent="0.55000000000000004">
      <c r="A39" s="54"/>
      <c r="B39" s="54"/>
      <c r="C39" s="54"/>
      <c r="D39" s="54"/>
      <c r="E39" s="42"/>
      <c r="F39" s="24"/>
      <c r="G39" s="24"/>
      <c r="H39" s="7"/>
      <c r="I39" s="47"/>
      <c r="J39" s="11"/>
      <c r="K39" s="40"/>
      <c r="L39" s="154"/>
    </row>
    <row r="40" spans="1:15" ht="18.75" customHeight="1" x14ac:dyDescent="0.55000000000000004">
      <c r="A40" s="54"/>
      <c r="B40" s="54"/>
      <c r="C40" s="54"/>
      <c r="D40" s="54"/>
      <c r="E40" s="42"/>
      <c r="F40" s="23" t="s">
        <v>6053</v>
      </c>
      <c r="G40" s="24"/>
      <c r="H40" s="7"/>
      <c r="I40" s="47"/>
      <c r="J40" s="11" t="s">
        <v>11</v>
      </c>
      <c r="K40" s="40" t="s">
        <v>14</v>
      </c>
      <c r="L40" s="143" t="s">
        <v>15</v>
      </c>
    </row>
    <row r="41" spans="1:15" ht="18.75" customHeight="1" x14ac:dyDescent="0.55000000000000004">
      <c r="A41" s="54"/>
      <c r="B41" s="54"/>
      <c r="C41" s="54"/>
      <c r="D41" s="54"/>
      <c r="E41" s="42"/>
      <c r="F41" s="23"/>
      <c r="G41" s="23"/>
      <c r="H41" s="7"/>
      <c r="I41" s="47" t="s">
        <v>96</v>
      </c>
      <c r="J41" s="11" t="s">
        <v>11</v>
      </c>
      <c r="K41" s="40" t="s">
        <v>42</v>
      </c>
      <c r="L41" s="155" t="str">
        <f>I$5</f>
        <v>確認事項 or 項目</v>
      </c>
      <c r="M41" s="80"/>
    </row>
    <row r="42" spans="1:15" ht="18.75" customHeight="1" x14ac:dyDescent="0.55000000000000004">
      <c r="A42" s="54"/>
      <c r="B42" s="54"/>
      <c r="C42" s="54"/>
      <c r="D42" s="54"/>
      <c r="E42" s="42"/>
      <c r="F42" s="23"/>
      <c r="G42" s="23"/>
      <c r="H42" s="7"/>
      <c r="I42" s="47" t="s">
        <v>96</v>
      </c>
      <c r="J42" s="11" t="s">
        <v>11</v>
      </c>
      <c r="K42" s="40" t="s">
        <v>42</v>
      </c>
      <c r="L42" s="155">
        <f>L37</f>
        <v>0</v>
      </c>
    </row>
    <row r="43" spans="1:15" ht="18.75" customHeight="1" x14ac:dyDescent="0.55000000000000004">
      <c r="A43" s="29"/>
      <c r="B43" s="2"/>
      <c r="C43" s="41"/>
      <c r="D43" s="55"/>
      <c r="E43" s="20"/>
      <c r="F43" s="13"/>
      <c r="G43" s="13"/>
      <c r="H43" s="10"/>
      <c r="I43" s="39"/>
      <c r="J43" s="96"/>
      <c r="K43" s="9"/>
      <c r="L43" s="206"/>
    </row>
    <row r="44" spans="1:15" s="44" customFormat="1" x14ac:dyDescent="0.55000000000000004">
      <c r="A44" s="40"/>
      <c r="B44" s="40"/>
      <c r="C44" s="40"/>
      <c r="D44" s="40"/>
      <c r="E44" s="24"/>
      <c r="F44" s="24"/>
      <c r="G44" s="24"/>
      <c r="H44" s="24"/>
      <c r="I44" s="24"/>
      <c r="J44" s="40"/>
      <c r="K44" s="40"/>
      <c r="L44" s="158"/>
      <c r="M44" s="14"/>
      <c r="N44" s="14"/>
      <c r="O44" s="14"/>
    </row>
    <row r="45" spans="1:15" s="44" customFormat="1" ht="15.5" thickBot="1" x14ac:dyDescent="0.4">
      <c r="A45" s="64" t="s">
        <v>43</v>
      </c>
      <c r="B45" s="65"/>
      <c r="C45" s="65"/>
      <c r="D45" s="66"/>
      <c r="E45" s="67"/>
      <c r="F45" s="67"/>
      <c r="G45" s="67"/>
      <c r="H45" s="67"/>
      <c r="I45" s="67"/>
      <c r="J45" s="68"/>
      <c r="K45" s="68"/>
      <c r="L45" s="159"/>
      <c r="M45" s="14"/>
      <c r="N45" s="14"/>
      <c r="O45" s="14"/>
    </row>
    <row r="46" spans="1:15" s="44" customFormat="1" ht="66.75" customHeight="1" thickBot="1" x14ac:dyDescent="0.6">
      <c r="A46" s="311"/>
      <c r="B46" s="312"/>
      <c r="C46" s="312"/>
      <c r="D46" s="312"/>
      <c r="E46" s="312"/>
      <c r="F46" s="312"/>
      <c r="G46" s="312"/>
      <c r="H46" s="312"/>
      <c r="I46" s="312"/>
      <c r="J46" s="312"/>
      <c r="K46" s="312"/>
      <c r="L46" s="313"/>
      <c r="M46" s="14"/>
      <c r="N46" s="14"/>
      <c r="O46" s="14"/>
    </row>
    <row r="47" spans="1:15" s="44" customFormat="1" x14ac:dyDescent="0.55000000000000004">
      <c r="A47" s="40"/>
      <c r="B47" s="40"/>
      <c r="C47" s="40"/>
      <c r="D47" s="40"/>
      <c r="E47" s="24"/>
      <c r="F47" s="24"/>
      <c r="G47" s="24"/>
      <c r="H47" s="24"/>
      <c r="I47" s="24"/>
      <c r="J47" s="40"/>
      <c r="K47" s="40"/>
      <c r="L47" s="158"/>
      <c r="M47" s="14"/>
      <c r="N47" s="14"/>
      <c r="O47" s="14"/>
    </row>
  </sheetData>
  <mergeCells count="7">
    <mergeCell ref="A46:L46"/>
    <mergeCell ref="J1:L1"/>
    <mergeCell ref="J2:L2"/>
    <mergeCell ref="J3:L3"/>
    <mergeCell ref="A4:C4"/>
    <mergeCell ref="J4:L4"/>
    <mergeCell ref="E5:H5"/>
  </mergeCells>
  <phoneticPr fontId="1"/>
  <dataValidations count="1">
    <dataValidation type="list" allowBlank="1" showInputMessage="1" sqref="K6:K43" xr:uid="{A6BEB13A-D211-4309-967F-37B6863D6642}">
      <formula1>#REF!</formula1>
    </dataValidation>
  </dataValidations>
  <pageMargins left="0.7" right="0.7" top="0.75" bottom="0.75" header="0.3" footer="0.3"/>
  <pageSetup paperSize="9" scale="34" orientation="portrait" horizontalDpi="300" verticalDpi="300" r:id="rId1"/>
  <colBreaks count="1" manualBreakCount="1">
    <brk id="12"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2ADCE-D0CF-4DE9-866D-603C73315757}">
  <sheetPr codeName="Sheet11">
    <tabColor theme="9" tint="0.59999389629810485"/>
  </sheetPr>
  <dimension ref="A1:CH1310"/>
  <sheetViews>
    <sheetView tabSelected="1" zoomScale="85" zoomScaleNormal="85" zoomScaleSheetLayoutView="100" workbookViewId="0">
      <pane ySplit="6" topLeftCell="A7" activePane="bottomLeft" state="frozen"/>
      <selection activeCell="J149" sqref="J149"/>
      <selection pane="bottomLeft"/>
    </sheetView>
  </sheetViews>
  <sheetFormatPr defaultColWidth="9" defaultRowHeight="13.5" x14ac:dyDescent="0.55000000000000004"/>
  <cols>
    <col min="1" max="1" width="3.5" style="46" customWidth="1"/>
    <col min="2" max="3" width="3.6640625" style="46" bestFit="1" customWidth="1"/>
    <col min="4" max="4" width="18.6640625" style="46" customWidth="1"/>
    <col min="5" max="7" width="3.08203125" style="48" customWidth="1"/>
    <col min="8" max="8" width="55.08203125" style="48" customWidth="1"/>
    <col min="9" max="9" width="56.5" style="48" customWidth="1"/>
    <col min="10" max="10" width="6.1640625" style="46" bestFit="1" customWidth="1"/>
    <col min="11" max="11" width="6.1640625" style="46" customWidth="1"/>
    <col min="12" max="12" width="5.58203125" style="46" bestFit="1" customWidth="1"/>
    <col min="13" max="13" width="65.08203125" style="48" customWidth="1"/>
    <col min="14" max="16" width="3.08203125" style="48" customWidth="1"/>
    <col min="17" max="16384" width="9" style="48"/>
  </cols>
  <sheetData>
    <row r="1" spans="1:13" s="44" customFormat="1" ht="19.5" x14ac:dyDescent="0.55000000000000004">
      <c r="A1" s="82" t="str" cm="1">
        <f t="array" aca="1" ref="A1" ca="1">RIGHT(CELL("filename",A1),LEN(CELL("filename",A1))-FIND("]",CELL("filename",A1)))</f>
        <v>雛型</v>
      </c>
      <c r="B1" s="82"/>
      <c r="C1" s="82"/>
      <c r="D1" s="82"/>
      <c r="E1" s="82"/>
      <c r="F1" s="58"/>
      <c r="G1" s="58"/>
      <c r="H1" s="58"/>
      <c r="I1" s="40"/>
      <c r="J1" s="238" t="s">
        <v>67</v>
      </c>
      <c r="K1" s="239" t="s">
        <v>6410</v>
      </c>
      <c r="L1" s="239" t="s">
        <v>13</v>
      </c>
      <c r="M1" s="240" t="s">
        <v>3</v>
      </c>
    </row>
    <row r="2" spans="1:13" s="44" customFormat="1" ht="19.5" x14ac:dyDescent="0.55000000000000004">
      <c r="A2" s="82"/>
      <c r="B2" s="82"/>
      <c r="C2" s="82"/>
      <c r="D2" s="82"/>
      <c r="E2" s="82"/>
      <c r="F2" s="58"/>
      <c r="G2" s="58"/>
      <c r="H2" s="58"/>
      <c r="I2" s="40"/>
      <c r="J2" s="245"/>
      <c r="K2" s="9">
        <v>1</v>
      </c>
      <c r="L2" s="246"/>
      <c r="M2" s="247"/>
    </row>
    <row r="3" spans="1:13" s="44" customFormat="1" ht="19.5" x14ac:dyDescent="0.55000000000000004">
      <c r="A3" s="82"/>
      <c r="B3" s="82"/>
      <c r="C3" s="82"/>
      <c r="E3" s="82"/>
      <c r="F3" s="58"/>
      <c r="G3" s="58"/>
      <c r="H3" s="58"/>
      <c r="I3" s="40"/>
      <c r="J3" s="241"/>
      <c r="K3" s="242"/>
      <c r="L3" s="242"/>
      <c r="M3" s="243"/>
    </row>
    <row r="4" spans="1:13" s="44" customFormat="1" ht="20" thickBot="1" x14ac:dyDescent="0.6">
      <c r="A4" s="84"/>
      <c r="B4" s="84"/>
      <c r="C4" s="84"/>
      <c r="D4" s="82"/>
      <c r="E4" s="82"/>
      <c r="F4" s="58"/>
      <c r="G4" s="58"/>
      <c r="H4" s="58"/>
      <c r="I4" s="40"/>
      <c r="J4" s="241"/>
      <c r="K4" s="242"/>
      <c r="L4" s="242"/>
      <c r="M4" s="243"/>
    </row>
    <row r="5" spans="1:13" s="44" customFormat="1" ht="18.75" customHeight="1" thickBot="1" x14ac:dyDescent="0.6">
      <c r="A5" s="320" t="s">
        <v>5</v>
      </c>
      <c r="B5" s="321"/>
      <c r="C5" s="322"/>
      <c r="D5" s="72"/>
      <c r="E5" s="73"/>
      <c r="F5" s="73"/>
      <c r="G5" s="73"/>
      <c r="H5" s="73"/>
      <c r="I5" s="83"/>
      <c r="J5" s="241"/>
      <c r="K5" s="242"/>
      <c r="L5" s="242"/>
      <c r="M5" s="243"/>
    </row>
    <row r="6" spans="1:13" s="44" customFormat="1" ht="18.75" customHeight="1" thickBot="1" x14ac:dyDescent="0.6">
      <c r="A6" s="74" t="s">
        <v>6</v>
      </c>
      <c r="B6" s="75" t="s">
        <v>7</v>
      </c>
      <c r="C6" s="75" t="s">
        <v>8</v>
      </c>
      <c r="D6" s="76" t="s">
        <v>35</v>
      </c>
      <c r="E6" s="323" t="s">
        <v>9</v>
      </c>
      <c r="F6" s="324"/>
      <c r="G6" s="324"/>
      <c r="H6" s="325"/>
      <c r="I6" s="76" t="s">
        <v>34</v>
      </c>
      <c r="J6" s="77" t="s">
        <v>67</v>
      </c>
      <c r="K6" s="78" t="s">
        <v>6411</v>
      </c>
      <c r="L6" s="78" t="s">
        <v>13</v>
      </c>
      <c r="M6" s="79" t="s">
        <v>10</v>
      </c>
    </row>
    <row r="7" spans="1:13" ht="18.75" customHeight="1" thickBot="1" x14ac:dyDescent="0.6">
      <c r="A7" s="71">
        <v>0</v>
      </c>
      <c r="B7" s="51">
        <v>0</v>
      </c>
      <c r="C7" s="51">
        <v>0</v>
      </c>
      <c r="D7" s="53"/>
      <c r="E7" s="60"/>
      <c r="F7" s="61"/>
      <c r="G7" s="61"/>
      <c r="H7" s="61"/>
      <c r="I7" s="52"/>
      <c r="J7" s="52"/>
      <c r="K7" s="52"/>
      <c r="L7" s="52"/>
      <c r="M7" s="57"/>
    </row>
    <row r="8" spans="1:13" s="44" customFormat="1" ht="18.75" customHeight="1" x14ac:dyDescent="0.55000000000000004">
      <c r="A8" s="70">
        <v>0</v>
      </c>
      <c r="B8" s="49">
        <v>1</v>
      </c>
      <c r="C8" s="49">
        <v>1</v>
      </c>
      <c r="D8" s="49"/>
      <c r="E8" s="59" t="s">
        <v>20</v>
      </c>
      <c r="F8" s="16"/>
      <c r="G8" s="16"/>
      <c r="H8" s="50"/>
      <c r="I8" s="15"/>
      <c r="J8" s="17"/>
      <c r="K8" s="87"/>
      <c r="L8" s="87"/>
      <c r="M8" s="86"/>
    </row>
    <row r="9" spans="1:13" s="44" customFormat="1" ht="18.75" customHeight="1" x14ac:dyDescent="0.55000000000000004">
      <c r="A9" s="70">
        <v>0</v>
      </c>
      <c r="B9" s="49">
        <v>1</v>
      </c>
      <c r="C9" s="49">
        <v>2</v>
      </c>
      <c r="D9" s="49"/>
      <c r="E9" s="59"/>
      <c r="F9" s="16" t="s">
        <v>21</v>
      </c>
      <c r="G9" s="16"/>
      <c r="H9" s="50"/>
      <c r="I9" s="15" t="s">
        <v>36</v>
      </c>
      <c r="J9" s="11" t="s">
        <v>12</v>
      </c>
      <c r="K9" s="46"/>
      <c r="L9" s="22" t="s">
        <v>66</v>
      </c>
      <c r="M9" s="85"/>
    </row>
    <row r="10" spans="1:13" s="44" customFormat="1" ht="18.75" customHeight="1" x14ac:dyDescent="0.55000000000000004">
      <c r="A10" s="70">
        <v>0</v>
      </c>
      <c r="B10" s="49">
        <v>1</v>
      </c>
      <c r="C10" s="49">
        <v>3</v>
      </c>
      <c r="D10" s="49"/>
      <c r="E10" s="59"/>
      <c r="F10" s="16" t="s">
        <v>22</v>
      </c>
      <c r="G10" s="16"/>
      <c r="H10" s="50"/>
      <c r="I10" s="15" t="s">
        <v>37</v>
      </c>
      <c r="J10" s="17"/>
      <c r="K10" s="87"/>
      <c r="L10" s="46"/>
      <c r="M10" s="85"/>
    </row>
    <row r="11" spans="1:13" s="44" customFormat="1" ht="18.75" customHeight="1" x14ac:dyDescent="0.55000000000000004">
      <c r="A11" s="70"/>
      <c r="B11" s="49"/>
      <c r="C11" s="49"/>
      <c r="D11" s="49"/>
      <c r="E11" s="59"/>
      <c r="F11" s="16"/>
      <c r="G11" s="16" t="s">
        <v>68</v>
      </c>
      <c r="H11" s="50"/>
      <c r="I11" s="15"/>
      <c r="J11" s="11" t="s">
        <v>12</v>
      </c>
      <c r="K11" s="46"/>
      <c r="L11" s="22" t="s">
        <v>66</v>
      </c>
      <c r="M11" s="88" t="s">
        <v>23</v>
      </c>
    </row>
    <row r="12" spans="1:13" s="44" customFormat="1" ht="18.75" customHeight="1" x14ac:dyDescent="0.55000000000000004">
      <c r="A12" s="70"/>
      <c r="B12" s="49"/>
      <c r="C12" s="49"/>
      <c r="D12" s="49"/>
      <c r="E12" s="59"/>
      <c r="F12" s="16"/>
      <c r="G12" s="16" t="s">
        <v>69</v>
      </c>
      <c r="H12" s="50"/>
      <c r="I12" s="15"/>
      <c r="J12" s="11" t="s">
        <v>12</v>
      </c>
      <c r="K12" s="46"/>
      <c r="L12" s="22" t="s">
        <v>66</v>
      </c>
      <c r="M12" s="88" t="s">
        <v>5982</v>
      </c>
    </row>
    <row r="13" spans="1:13" s="44" customFormat="1" ht="18.75" customHeight="1" x14ac:dyDescent="0.55000000000000004">
      <c r="A13" s="70"/>
      <c r="B13" s="49"/>
      <c r="C13" s="49"/>
      <c r="D13" s="49"/>
      <c r="E13" s="59"/>
      <c r="F13" s="16"/>
      <c r="G13" s="16" t="s">
        <v>70</v>
      </c>
      <c r="H13" s="50"/>
      <c r="I13" s="15"/>
      <c r="J13" s="11" t="s">
        <v>12</v>
      </c>
      <c r="K13" s="46"/>
      <c r="L13" s="22" t="s">
        <v>66</v>
      </c>
      <c r="M13" s="88" t="s">
        <v>25</v>
      </c>
    </row>
    <row r="14" spans="1:13" s="44" customFormat="1" ht="18.75" customHeight="1" x14ac:dyDescent="0.55000000000000004">
      <c r="A14" s="70"/>
      <c r="B14" s="49"/>
      <c r="C14" s="49"/>
      <c r="D14" s="49"/>
      <c r="E14" s="59"/>
      <c r="F14" s="16"/>
      <c r="G14" s="16" t="s">
        <v>71</v>
      </c>
      <c r="H14" s="50"/>
      <c r="I14" s="15"/>
      <c r="J14" s="11" t="s">
        <v>12</v>
      </c>
      <c r="K14" s="46"/>
      <c r="L14" s="22" t="s">
        <v>66</v>
      </c>
      <c r="M14" s="88" t="s">
        <v>25</v>
      </c>
    </row>
    <row r="15" spans="1:13" s="44" customFormat="1" ht="18.75" customHeight="1" x14ac:dyDescent="0.55000000000000004">
      <c r="A15" s="70"/>
      <c r="B15" s="49"/>
      <c r="C15" s="49"/>
      <c r="D15" s="49"/>
      <c r="E15" s="59"/>
      <c r="F15" s="16"/>
      <c r="G15" s="16" t="s">
        <v>72</v>
      </c>
      <c r="H15" s="50"/>
      <c r="I15" s="15"/>
      <c r="J15" s="11" t="s">
        <v>12</v>
      </c>
      <c r="K15" s="46"/>
      <c r="L15" s="22" t="s">
        <v>66</v>
      </c>
      <c r="M15" s="88" t="s">
        <v>25</v>
      </c>
    </row>
    <row r="16" spans="1:13" s="44" customFormat="1" ht="18.75" customHeight="1" x14ac:dyDescent="0.55000000000000004">
      <c r="A16" s="70"/>
      <c r="B16" s="49"/>
      <c r="C16" s="49"/>
      <c r="D16" s="49"/>
      <c r="E16" s="59"/>
      <c r="F16" s="16"/>
      <c r="G16" s="16" t="s">
        <v>73</v>
      </c>
      <c r="H16" s="50"/>
      <c r="I16" s="15"/>
      <c r="J16" s="11" t="s">
        <v>12</v>
      </c>
      <c r="K16" s="46"/>
      <c r="L16" s="22" t="s">
        <v>66</v>
      </c>
      <c r="M16" s="88" t="s">
        <v>26</v>
      </c>
    </row>
    <row r="17" spans="1:86" s="44" customFormat="1" ht="18.75" customHeight="1" x14ac:dyDescent="0.55000000000000004">
      <c r="A17" s="70">
        <v>0</v>
      </c>
      <c r="B17" s="49">
        <v>1</v>
      </c>
      <c r="C17" s="49">
        <v>4</v>
      </c>
      <c r="D17" s="49"/>
      <c r="E17" s="59"/>
      <c r="F17" s="16" t="s">
        <v>27</v>
      </c>
      <c r="G17" s="16"/>
      <c r="H17" s="50"/>
      <c r="I17" s="15" t="s">
        <v>38</v>
      </c>
      <c r="J17" s="11" t="s">
        <v>12</v>
      </c>
      <c r="K17" s="46"/>
      <c r="L17" s="22" t="s">
        <v>66</v>
      </c>
      <c r="M17" s="85"/>
    </row>
    <row r="18" spans="1:86" s="44" customFormat="1" ht="18.75" customHeight="1" x14ac:dyDescent="0.55000000000000004">
      <c r="A18" s="70"/>
      <c r="B18" s="49"/>
      <c r="C18" s="49"/>
      <c r="D18" s="49"/>
      <c r="E18" s="59"/>
      <c r="F18" s="16"/>
      <c r="G18" s="16"/>
      <c r="H18" s="50"/>
      <c r="I18" s="15"/>
      <c r="J18" s="11"/>
      <c r="K18" s="46"/>
      <c r="L18" s="46"/>
      <c r="M18" s="85"/>
    </row>
    <row r="19" spans="1:86" s="44" customFormat="1" ht="18.75" customHeight="1" x14ac:dyDescent="0.55000000000000004">
      <c r="A19" s="70">
        <v>0</v>
      </c>
      <c r="B19" s="49">
        <v>2</v>
      </c>
      <c r="C19" s="49">
        <v>1</v>
      </c>
      <c r="D19" s="49"/>
      <c r="E19" s="59" t="s">
        <v>28</v>
      </c>
      <c r="F19" s="16"/>
      <c r="G19" s="16"/>
      <c r="H19" s="50"/>
      <c r="I19" s="15"/>
      <c r="J19" s="17"/>
      <c r="K19" s="87"/>
      <c r="L19" s="22"/>
      <c r="M19" s="85"/>
    </row>
    <row r="20" spans="1:86" s="44" customFormat="1" ht="18.75" customHeight="1" x14ac:dyDescent="0.55000000000000004">
      <c r="A20" s="70">
        <v>0</v>
      </c>
      <c r="B20" s="49">
        <v>2</v>
      </c>
      <c r="C20" s="49">
        <v>2</v>
      </c>
      <c r="D20" s="49"/>
      <c r="E20" s="59"/>
      <c r="F20" s="16" t="s">
        <v>29</v>
      </c>
      <c r="G20" s="16"/>
      <c r="H20" s="50"/>
      <c r="I20" s="15" t="s">
        <v>39</v>
      </c>
      <c r="J20" s="11" t="s">
        <v>12</v>
      </c>
      <c r="K20" s="46"/>
      <c r="L20" s="22" t="s">
        <v>66</v>
      </c>
      <c r="M20" s="85"/>
    </row>
    <row r="21" spans="1:86" s="44" customFormat="1" ht="18.75" customHeight="1" x14ac:dyDescent="0.55000000000000004">
      <c r="A21" s="70">
        <v>0</v>
      </c>
      <c r="B21" s="49">
        <v>2</v>
      </c>
      <c r="C21" s="49">
        <v>3</v>
      </c>
      <c r="D21" s="49"/>
      <c r="E21" s="59"/>
      <c r="F21" s="16" t="s">
        <v>30</v>
      </c>
      <c r="G21" s="16"/>
      <c r="H21" s="50"/>
      <c r="I21" s="15" t="s">
        <v>40</v>
      </c>
      <c r="J21" s="11" t="s">
        <v>12</v>
      </c>
      <c r="K21" s="46"/>
      <c r="L21" s="22" t="s">
        <v>66</v>
      </c>
      <c r="M21" s="88" t="s">
        <v>31</v>
      </c>
    </row>
    <row r="22" spans="1:86" s="6" customFormat="1" ht="18.75" customHeight="1" thickBot="1" x14ac:dyDescent="0.6">
      <c r="A22" s="70"/>
      <c r="B22" s="49"/>
      <c r="C22" s="49"/>
      <c r="D22" s="49"/>
      <c r="E22" s="59"/>
      <c r="F22" s="16"/>
      <c r="G22" s="16"/>
      <c r="H22" s="50"/>
      <c r="I22" s="15"/>
      <c r="J22" s="17"/>
      <c r="K22" s="87"/>
      <c r="L22" s="87"/>
      <c r="M22" s="89"/>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c r="BI22" s="48"/>
      <c r="BJ22" s="48"/>
      <c r="BK22" s="48"/>
      <c r="BL22" s="48"/>
      <c r="BM22" s="48"/>
      <c r="BN22" s="48"/>
      <c r="BO22" s="48"/>
      <c r="BP22" s="48"/>
      <c r="BQ22" s="48"/>
      <c r="BR22" s="48"/>
      <c r="BS22" s="48"/>
      <c r="BT22" s="48"/>
      <c r="BU22" s="48"/>
      <c r="BV22" s="48"/>
      <c r="BW22" s="48"/>
      <c r="BX22" s="48"/>
      <c r="BY22" s="48"/>
      <c r="BZ22" s="48"/>
      <c r="CA22" s="48"/>
      <c r="CB22" s="48"/>
      <c r="CC22" s="48"/>
      <c r="CD22" s="48"/>
      <c r="CE22" s="48"/>
      <c r="CF22" s="48"/>
      <c r="CG22" s="48"/>
      <c r="CH22" s="48"/>
    </row>
    <row r="23" spans="1:86" ht="18.75" customHeight="1" x14ac:dyDescent="0.55000000000000004">
      <c r="A23" s="71">
        <v>1</v>
      </c>
      <c r="B23" s="51">
        <v>0</v>
      </c>
      <c r="C23" s="51">
        <v>0</v>
      </c>
      <c r="D23" s="53"/>
      <c r="E23" s="60"/>
      <c r="F23" s="61"/>
      <c r="G23" s="61"/>
      <c r="H23" s="61"/>
      <c r="I23" s="52"/>
      <c r="J23" s="52"/>
      <c r="K23" s="52"/>
      <c r="L23" s="52"/>
      <c r="M23" s="57"/>
    </row>
    <row r="24" spans="1:86" ht="18.75" customHeight="1" x14ac:dyDescent="0.55000000000000004">
      <c r="A24" s="28">
        <v>1</v>
      </c>
      <c r="B24" s="45">
        <v>1</v>
      </c>
      <c r="C24" s="49">
        <v>1</v>
      </c>
      <c r="D24" s="54"/>
      <c r="E24" s="62" t="s">
        <v>6054</v>
      </c>
      <c r="F24" s="4"/>
      <c r="G24" s="4"/>
      <c r="H24" s="1"/>
      <c r="I24" s="81" t="s">
        <v>46</v>
      </c>
      <c r="J24" s="21" t="s">
        <v>11</v>
      </c>
      <c r="K24" s="244"/>
      <c r="L24" s="46" t="s">
        <v>44</v>
      </c>
      <c r="M24" s="154"/>
      <c r="N24" s="80"/>
    </row>
    <row r="25" spans="1:86" ht="18.75" customHeight="1" x14ac:dyDescent="0.55000000000000004">
      <c r="A25" s="28"/>
      <c r="B25" s="45"/>
      <c r="C25" s="49"/>
      <c r="D25" s="54"/>
      <c r="E25" s="62"/>
      <c r="F25" s="4"/>
      <c r="G25" s="4"/>
      <c r="H25" s="1"/>
      <c r="I25" s="81" t="s">
        <v>47</v>
      </c>
      <c r="J25" s="25" t="s">
        <v>11</v>
      </c>
      <c r="K25" s="40"/>
      <c r="L25" s="40" t="s">
        <v>44</v>
      </c>
      <c r="M25" s="150"/>
    </row>
    <row r="26" spans="1:86" ht="18.75" customHeight="1" x14ac:dyDescent="0.55000000000000004">
      <c r="A26" s="28"/>
      <c r="B26" s="45"/>
      <c r="C26" s="49"/>
      <c r="D26" s="91"/>
      <c r="E26" s="62"/>
      <c r="F26" s="4"/>
      <c r="G26" s="4"/>
      <c r="H26" s="1"/>
      <c r="I26" s="81" t="s">
        <v>48</v>
      </c>
      <c r="J26" s="25" t="s">
        <v>11</v>
      </c>
      <c r="K26" s="40"/>
      <c r="L26" s="40" t="s">
        <v>44</v>
      </c>
      <c r="M26" s="150"/>
    </row>
    <row r="27" spans="1:86" ht="18.75" customHeight="1" x14ac:dyDescent="0.55000000000000004">
      <c r="A27" s="28"/>
      <c r="B27" s="45"/>
      <c r="C27" s="49"/>
      <c r="D27" s="54"/>
      <c r="E27" s="62"/>
      <c r="F27" s="4"/>
      <c r="G27" s="4"/>
      <c r="H27" s="1"/>
      <c r="I27" s="81" t="s">
        <v>49</v>
      </c>
      <c r="J27" s="25" t="s">
        <v>11</v>
      </c>
      <c r="K27" s="40"/>
      <c r="L27" s="40" t="s">
        <v>7217</v>
      </c>
      <c r="M27" s="154"/>
    </row>
    <row r="28" spans="1:86" ht="18.75" customHeight="1" x14ac:dyDescent="0.55000000000000004">
      <c r="A28" s="28"/>
      <c r="B28" s="45"/>
      <c r="C28" s="49"/>
      <c r="D28" s="54"/>
      <c r="E28" s="62"/>
      <c r="F28" s="4"/>
      <c r="G28" s="4"/>
      <c r="H28" s="1"/>
      <c r="I28" s="81" t="s">
        <v>50</v>
      </c>
      <c r="J28" s="25" t="s">
        <v>11</v>
      </c>
      <c r="K28" s="40"/>
      <c r="L28" s="40" t="s">
        <v>7217</v>
      </c>
      <c r="M28" s="154"/>
    </row>
    <row r="29" spans="1:86" ht="18.75" customHeight="1" x14ac:dyDescent="0.55000000000000004">
      <c r="A29" s="28"/>
      <c r="B29" s="45"/>
      <c r="C29" s="49"/>
      <c r="D29" s="54"/>
      <c r="E29" s="42"/>
      <c r="F29" s="24"/>
      <c r="G29" s="24"/>
      <c r="H29" s="7"/>
      <c r="I29" s="47"/>
      <c r="J29" s="25"/>
      <c r="K29" s="40"/>
      <c r="L29" s="40"/>
      <c r="M29" s="154"/>
    </row>
    <row r="30" spans="1:86" ht="18.75" customHeight="1" x14ac:dyDescent="0.55000000000000004">
      <c r="A30" s="28">
        <v>1</v>
      </c>
      <c r="B30" s="45">
        <v>1</v>
      </c>
      <c r="C30" s="49">
        <v>2</v>
      </c>
      <c r="D30" s="54"/>
      <c r="E30" s="42"/>
      <c r="F30" s="23" t="s">
        <v>6053</v>
      </c>
      <c r="G30" s="24"/>
      <c r="H30" s="7"/>
      <c r="I30" s="47"/>
      <c r="J30" s="25" t="s">
        <v>11</v>
      </c>
      <c r="K30" s="40"/>
      <c r="L30" s="40" t="s">
        <v>6433</v>
      </c>
      <c r="M30" s="143" t="s">
        <v>15</v>
      </c>
    </row>
    <row r="31" spans="1:86" ht="18.75" customHeight="1" x14ac:dyDescent="0.55000000000000004">
      <c r="A31" s="28"/>
      <c r="B31" s="45"/>
      <c r="C31" s="49"/>
      <c r="D31" s="54"/>
      <c r="E31" s="42"/>
      <c r="F31" s="23"/>
      <c r="G31" s="23"/>
      <c r="H31" s="7"/>
      <c r="I31" s="47" t="s">
        <v>96</v>
      </c>
      <c r="J31" s="25" t="s">
        <v>11</v>
      </c>
      <c r="K31" s="40"/>
      <c r="L31" s="40" t="s">
        <v>6447</v>
      </c>
      <c r="M31" s="155">
        <f>J$5</f>
        <v>0</v>
      </c>
    </row>
    <row r="32" spans="1:86" ht="18.75" customHeight="1" x14ac:dyDescent="0.55000000000000004">
      <c r="A32" s="28"/>
      <c r="B32" s="45"/>
      <c r="C32" s="49"/>
      <c r="D32" s="54"/>
      <c r="E32" s="42"/>
      <c r="F32" s="23"/>
      <c r="G32" s="23"/>
      <c r="H32" s="7"/>
      <c r="I32" s="47" t="s">
        <v>96</v>
      </c>
      <c r="J32" s="25" t="s">
        <v>11</v>
      </c>
      <c r="K32" s="40"/>
      <c r="L32" s="40" t="s">
        <v>6447</v>
      </c>
      <c r="M32" s="155">
        <f>M27</f>
        <v>0</v>
      </c>
    </row>
    <row r="33" spans="1:14" ht="19.75" customHeight="1" x14ac:dyDescent="0.55000000000000004">
      <c r="A33" s="28"/>
      <c r="B33" s="45"/>
      <c r="C33" s="49"/>
      <c r="D33" s="54"/>
      <c r="E33" s="63"/>
      <c r="F33" s="23"/>
      <c r="G33" s="23"/>
      <c r="H33" s="7"/>
      <c r="I33" s="47"/>
      <c r="J33" s="25"/>
      <c r="K33" s="40"/>
      <c r="L33" s="40"/>
      <c r="M33" s="228"/>
    </row>
    <row r="34" spans="1:14" ht="18.75" customHeight="1" x14ac:dyDescent="0.55000000000000004">
      <c r="A34" s="28"/>
      <c r="B34" s="45"/>
      <c r="C34" s="49"/>
      <c r="D34" s="54"/>
      <c r="E34" s="63"/>
      <c r="F34" s="23"/>
      <c r="G34" s="23"/>
      <c r="H34" s="7"/>
      <c r="I34" s="47"/>
      <c r="J34" s="25"/>
      <c r="K34" s="40"/>
      <c r="L34" s="40"/>
      <c r="M34" s="228"/>
    </row>
    <row r="35" spans="1:14" ht="18.75" customHeight="1" thickBot="1" x14ac:dyDescent="0.6">
      <c r="A35" s="28"/>
      <c r="B35" s="45"/>
      <c r="C35" s="49"/>
      <c r="D35" s="54"/>
      <c r="E35" s="63"/>
      <c r="F35" s="23"/>
      <c r="G35" s="23"/>
      <c r="H35" s="7"/>
      <c r="I35" s="47"/>
      <c r="J35" s="11"/>
      <c r="L35" s="40"/>
      <c r="M35" s="228"/>
    </row>
    <row r="36" spans="1:14" ht="18.75" customHeight="1" x14ac:dyDescent="0.55000000000000004">
      <c r="A36" s="71">
        <v>1</v>
      </c>
      <c r="B36" s="51">
        <v>0</v>
      </c>
      <c r="C36" s="51">
        <v>0</v>
      </c>
      <c r="D36" s="53"/>
      <c r="E36" s="60"/>
      <c r="F36" s="61"/>
      <c r="G36" s="61"/>
      <c r="H36" s="61"/>
      <c r="I36" s="52"/>
      <c r="J36" s="52"/>
      <c r="K36" s="52"/>
      <c r="L36" s="52"/>
      <c r="M36" s="57"/>
    </row>
    <row r="37" spans="1:14" ht="18.75" customHeight="1" x14ac:dyDescent="0.55000000000000004">
      <c r="A37" s="28">
        <v>1</v>
      </c>
      <c r="B37" s="45">
        <v>1</v>
      </c>
      <c r="C37" s="49">
        <v>1</v>
      </c>
      <c r="D37" s="54"/>
      <c r="E37" s="62" t="s">
        <v>6054</v>
      </c>
      <c r="F37" s="4"/>
      <c r="G37" s="4"/>
      <c r="H37" s="1"/>
      <c r="I37" s="81" t="s">
        <v>46</v>
      </c>
      <c r="J37" s="21" t="s">
        <v>11</v>
      </c>
      <c r="K37" s="244"/>
      <c r="L37" s="46" t="s">
        <v>44</v>
      </c>
      <c r="M37" s="154"/>
      <c r="N37" s="80"/>
    </row>
    <row r="38" spans="1:14" ht="18.75" customHeight="1" x14ac:dyDescent="0.55000000000000004">
      <c r="A38" s="28"/>
      <c r="B38" s="45"/>
      <c r="C38" s="49"/>
      <c r="D38" s="54"/>
      <c r="E38" s="62"/>
      <c r="F38" s="4"/>
      <c r="G38" s="4"/>
      <c r="H38" s="1"/>
      <c r="I38" s="81" t="s">
        <v>47</v>
      </c>
      <c r="J38" s="25" t="s">
        <v>11</v>
      </c>
      <c r="K38" s="40"/>
      <c r="L38" s="40" t="s">
        <v>44</v>
      </c>
      <c r="M38" s="150"/>
    </row>
    <row r="39" spans="1:14" ht="18.75" customHeight="1" x14ac:dyDescent="0.55000000000000004">
      <c r="A39" s="28"/>
      <c r="B39" s="45"/>
      <c r="C39" s="49"/>
      <c r="D39" s="91"/>
      <c r="E39" s="62"/>
      <c r="F39" s="4"/>
      <c r="G39" s="4"/>
      <c r="H39" s="1"/>
      <c r="I39" s="81" t="s">
        <v>48</v>
      </c>
      <c r="J39" s="25" t="s">
        <v>11</v>
      </c>
      <c r="K39" s="40"/>
      <c r="L39" s="40" t="s">
        <v>44</v>
      </c>
      <c r="M39" s="150"/>
    </row>
    <row r="40" spans="1:14" ht="18.75" customHeight="1" x14ac:dyDescent="0.55000000000000004">
      <c r="A40" s="28"/>
      <c r="B40" s="45"/>
      <c r="C40" s="49"/>
      <c r="D40" s="54"/>
      <c r="E40" s="62"/>
      <c r="F40" s="4"/>
      <c r="G40" s="4"/>
      <c r="H40" s="1"/>
      <c r="I40" s="81" t="s">
        <v>49</v>
      </c>
      <c r="J40" s="25" t="s">
        <v>11</v>
      </c>
      <c r="K40" s="40"/>
      <c r="L40" s="40" t="s">
        <v>7217</v>
      </c>
      <c r="M40" s="154"/>
    </row>
    <row r="41" spans="1:14" ht="18.75" customHeight="1" x14ac:dyDescent="0.55000000000000004">
      <c r="A41" s="28"/>
      <c r="B41" s="45"/>
      <c r="C41" s="49"/>
      <c r="D41" s="54"/>
      <c r="E41" s="62"/>
      <c r="F41" s="4"/>
      <c r="G41" s="4"/>
      <c r="H41" s="1"/>
      <c r="I41" s="81" t="s">
        <v>50</v>
      </c>
      <c r="J41" s="25" t="s">
        <v>11</v>
      </c>
      <c r="K41" s="40"/>
      <c r="L41" s="40" t="s">
        <v>7217</v>
      </c>
      <c r="M41" s="154"/>
    </row>
    <row r="42" spans="1:14" ht="18.75" customHeight="1" x14ac:dyDescent="0.55000000000000004">
      <c r="A42" s="28"/>
      <c r="B42" s="45"/>
      <c r="C42" s="49"/>
      <c r="D42" s="54"/>
      <c r="E42" s="42"/>
      <c r="F42" s="24"/>
      <c r="G42" s="24"/>
      <c r="H42" s="7"/>
      <c r="I42" s="47"/>
      <c r="J42" s="25"/>
      <c r="K42" s="40"/>
      <c r="L42" s="40"/>
      <c r="M42" s="154"/>
    </row>
    <row r="43" spans="1:14" ht="18.75" customHeight="1" x14ac:dyDescent="0.55000000000000004">
      <c r="A43" s="28">
        <v>1</v>
      </c>
      <c r="B43" s="45">
        <v>1</v>
      </c>
      <c r="C43" s="49">
        <v>2</v>
      </c>
      <c r="D43" s="54"/>
      <c r="E43" s="42"/>
      <c r="F43" s="23" t="s">
        <v>6053</v>
      </c>
      <c r="G43" s="24"/>
      <c r="H43" s="7"/>
      <c r="I43" s="47"/>
      <c r="J43" s="25" t="s">
        <v>11</v>
      </c>
      <c r="K43" s="40"/>
      <c r="L43" s="40" t="s">
        <v>6433</v>
      </c>
      <c r="M43" s="143" t="s">
        <v>15</v>
      </c>
    </row>
    <row r="44" spans="1:14" ht="18.75" customHeight="1" x14ac:dyDescent="0.55000000000000004">
      <c r="A44" s="28"/>
      <c r="B44" s="45"/>
      <c r="C44" s="49"/>
      <c r="D44" s="54"/>
      <c r="E44" s="42"/>
      <c r="F44" s="23"/>
      <c r="G44" s="23"/>
      <c r="H44" s="7"/>
      <c r="I44" s="47" t="s">
        <v>96</v>
      </c>
      <c r="J44" s="25" t="s">
        <v>11</v>
      </c>
      <c r="K44" s="40"/>
      <c r="L44" s="40" t="s">
        <v>6447</v>
      </c>
      <c r="M44" s="155">
        <f>J$5</f>
        <v>0</v>
      </c>
    </row>
    <row r="45" spans="1:14" ht="18.75" customHeight="1" x14ac:dyDescent="0.55000000000000004">
      <c r="A45" s="28"/>
      <c r="B45" s="45"/>
      <c r="C45" s="49"/>
      <c r="D45" s="54"/>
      <c r="E45" s="42"/>
      <c r="F45" s="23"/>
      <c r="G45" s="23"/>
      <c r="H45" s="7"/>
      <c r="I45" s="47" t="s">
        <v>96</v>
      </c>
      <c r="J45" s="25" t="s">
        <v>11</v>
      </c>
      <c r="K45" s="40"/>
      <c r="L45" s="40" t="s">
        <v>6447</v>
      </c>
      <c r="M45" s="155">
        <f>M40</f>
        <v>0</v>
      </c>
    </row>
    <row r="46" spans="1:14" ht="19.75" customHeight="1" x14ac:dyDescent="0.55000000000000004">
      <c r="A46" s="28"/>
      <c r="B46" s="45"/>
      <c r="C46" s="49"/>
      <c r="D46" s="54"/>
      <c r="E46" s="63"/>
      <c r="F46" s="23"/>
      <c r="G46" s="23"/>
      <c r="H46" s="7"/>
      <c r="I46" s="47"/>
      <c r="J46" s="25"/>
      <c r="K46" s="40"/>
      <c r="L46" s="40"/>
      <c r="M46" s="228"/>
    </row>
    <row r="47" spans="1:14" ht="18.75" customHeight="1" x14ac:dyDescent="0.55000000000000004">
      <c r="A47" s="28"/>
      <c r="B47" s="45"/>
      <c r="C47" s="49"/>
      <c r="D47" s="54"/>
      <c r="E47" s="63"/>
      <c r="F47" s="23"/>
      <c r="G47" s="23"/>
      <c r="H47" s="7"/>
      <c r="I47" s="47"/>
      <c r="J47" s="25"/>
      <c r="K47" s="40"/>
      <c r="L47" s="40"/>
      <c r="M47" s="228"/>
    </row>
    <row r="48" spans="1:14" ht="18.75" customHeight="1" x14ac:dyDescent="0.55000000000000004">
      <c r="A48" s="28"/>
      <c r="B48" s="45"/>
      <c r="C48" s="49"/>
      <c r="D48" s="54"/>
      <c r="E48" s="63"/>
      <c r="F48" s="23"/>
      <c r="G48" s="23"/>
      <c r="H48" s="7"/>
      <c r="I48" s="47"/>
      <c r="J48" s="11"/>
      <c r="L48" s="40"/>
      <c r="M48" s="228"/>
    </row>
    <row r="49" spans="1:14" ht="18.75" customHeight="1" x14ac:dyDescent="0.55000000000000004">
      <c r="A49" s="28"/>
      <c r="B49" s="45"/>
      <c r="C49" s="49"/>
      <c r="D49" s="54"/>
      <c r="E49" s="63"/>
      <c r="F49" s="23"/>
      <c r="G49" s="23"/>
      <c r="H49" s="7"/>
      <c r="I49" s="47"/>
      <c r="J49" s="25"/>
      <c r="K49" s="40"/>
      <c r="L49" s="40"/>
      <c r="M49" s="228"/>
    </row>
    <row r="50" spans="1:14" ht="18.75" customHeight="1" x14ac:dyDescent="0.55000000000000004">
      <c r="A50" s="28"/>
      <c r="B50" s="45"/>
      <c r="C50" s="49"/>
      <c r="D50" s="54"/>
      <c r="E50" s="63"/>
      <c r="F50" s="23"/>
      <c r="G50" s="23"/>
      <c r="H50" s="7"/>
      <c r="I50" s="47"/>
      <c r="J50" s="11"/>
      <c r="L50" s="40"/>
      <c r="M50" s="228"/>
    </row>
    <row r="51" spans="1:14" ht="18.75" customHeight="1" x14ac:dyDescent="0.55000000000000004">
      <c r="A51" s="28"/>
      <c r="B51" s="45"/>
      <c r="C51" s="49"/>
      <c r="D51" s="54"/>
      <c r="E51" s="63"/>
      <c r="F51" s="23"/>
      <c r="G51" s="23"/>
      <c r="H51" s="7"/>
      <c r="I51" s="47"/>
      <c r="J51" s="11"/>
      <c r="L51" s="40"/>
      <c r="M51" s="228"/>
    </row>
    <row r="52" spans="1:14" ht="18.75" customHeight="1" x14ac:dyDescent="0.55000000000000004">
      <c r="A52" s="28"/>
      <c r="B52" s="45"/>
      <c r="C52" s="49"/>
      <c r="D52" s="54"/>
      <c r="E52" s="42"/>
      <c r="F52" s="23"/>
      <c r="G52" s="23"/>
      <c r="H52" s="7"/>
      <c r="I52" s="47"/>
      <c r="J52" s="11"/>
      <c r="L52" s="40"/>
      <c r="M52" s="227"/>
      <c r="N52" s="80"/>
    </row>
    <row r="53" spans="1:14" ht="18.75" customHeight="1" x14ac:dyDescent="0.55000000000000004">
      <c r="A53" s="28"/>
      <c r="B53" s="45"/>
      <c r="C53" s="49"/>
      <c r="D53" s="54"/>
      <c r="E53" s="42"/>
      <c r="F53" s="23"/>
      <c r="G53" s="23"/>
      <c r="H53" s="7"/>
      <c r="I53" s="47"/>
      <c r="J53" s="11"/>
      <c r="L53" s="40"/>
      <c r="M53" s="30"/>
    </row>
    <row r="54" spans="1:14" ht="18.75" customHeight="1" x14ac:dyDescent="0.55000000000000004">
      <c r="A54" s="28"/>
      <c r="B54" s="45"/>
      <c r="C54" s="49"/>
      <c r="D54" s="54"/>
      <c r="E54" s="63"/>
      <c r="F54" s="23"/>
      <c r="G54" s="23"/>
      <c r="H54" s="7"/>
      <c r="I54" s="47"/>
      <c r="J54" s="25"/>
      <c r="K54" s="40"/>
      <c r="L54" s="40"/>
      <c r="M54" s="228"/>
    </row>
    <row r="55" spans="1:14" ht="18.75" customHeight="1" x14ac:dyDescent="0.55000000000000004">
      <c r="A55" s="28"/>
      <c r="B55" s="45"/>
      <c r="C55" s="49"/>
      <c r="D55" s="54"/>
      <c r="E55" s="63"/>
      <c r="F55" s="23"/>
      <c r="G55" s="23"/>
      <c r="H55" s="7"/>
      <c r="I55" s="47"/>
      <c r="J55" s="11"/>
      <c r="L55" s="40"/>
      <c r="M55" s="228"/>
    </row>
    <row r="56" spans="1:14" ht="18.75" customHeight="1" x14ac:dyDescent="0.55000000000000004">
      <c r="A56" s="28"/>
      <c r="B56" s="45"/>
      <c r="C56" s="49"/>
      <c r="D56" s="54"/>
      <c r="E56" s="63"/>
      <c r="F56" s="23"/>
      <c r="G56" s="23"/>
      <c r="H56" s="7"/>
      <c r="I56" s="47"/>
      <c r="J56" s="11"/>
      <c r="L56" s="40"/>
      <c r="M56" s="228"/>
    </row>
    <row r="57" spans="1:14" ht="18.75" customHeight="1" x14ac:dyDescent="0.55000000000000004">
      <c r="A57" s="28"/>
      <c r="B57" s="45"/>
      <c r="C57" s="49"/>
      <c r="D57" s="54"/>
      <c r="E57" s="42"/>
      <c r="F57" s="23"/>
      <c r="G57" s="23"/>
      <c r="H57" s="7"/>
      <c r="I57" s="47"/>
      <c r="J57" s="11"/>
      <c r="L57" s="40"/>
      <c r="M57" s="227"/>
      <c r="N57" s="80"/>
    </row>
    <row r="58" spans="1:14" ht="18.75" customHeight="1" x14ac:dyDescent="0.55000000000000004">
      <c r="A58" s="28"/>
      <c r="B58" s="45"/>
      <c r="C58" s="49"/>
      <c r="D58" s="54"/>
      <c r="E58" s="42"/>
      <c r="F58" s="23"/>
      <c r="G58" s="23"/>
      <c r="H58" s="7"/>
      <c r="I58" s="47"/>
      <c r="J58" s="11"/>
      <c r="L58" s="40"/>
      <c r="M58" s="30"/>
    </row>
    <row r="59" spans="1:14" ht="18.75" customHeight="1" x14ac:dyDescent="0.55000000000000004">
      <c r="A59" s="28"/>
      <c r="B59" s="45"/>
      <c r="C59" s="49"/>
      <c r="D59" s="54"/>
      <c r="E59" s="63"/>
      <c r="F59" s="23"/>
      <c r="G59" s="23"/>
      <c r="H59" s="7"/>
      <c r="I59" s="47"/>
      <c r="J59" s="25"/>
      <c r="K59" s="40"/>
      <c r="L59" s="40"/>
      <c r="M59" s="228"/>
    </row>
    <row r="60" spans="1:14" ht="18.75" customHeight="1" x14ac:dyDescent="0.55000000000000004">
      <c r="A60" s="28"/>
      <c r="B60" s="45"/>
      <c r="C60" s="49"/>
      <c r="D60" s="54"/>
      <c r="E60" s="63"/>
      <c r="F60" s="23"/>
      <c r="G60" s="23"/>
      <c r="H60" s="7"/>
      <c r="I60" s="47"/>
      <c r="J60" s="11"/>
      <c r="L60" s="40"/>
      <c r="M60" s="228"/>
    </row>
    <row r="61" spans="1:14" ht="18.75" customHeight="1" x14ac:dyDescent="0.55000000000000004">
      <c r="A61" s="28"/>
      <c r="B61" s="45"/>
      <c r="C61" s="49"/>
      <c r="D61" s="54"/>
      <c r="E61" s="63"/>
      <c r="F61" s="23"/>
      <c r="G61" s="23"/>
      <c r="H61" s="7"/>
      <c r="I61" s="47"/>
      <c r="J61" s="11"/>
      <c r="L61" s="40"/>
      <c r="M61" s="228"/>
    </row>
    <row r="62" spans="1:14" ht="18.75" customHeight="1" x14ac:dyDescent="0.55000000000000004">
      <c r="A62" s="28"/>
      <c r="B62" s="45"/>
      <c r="C62" s="49"/>
      <c r="D62" s="54"/>
      <c r="E62" s="42"/>
      <c r="F62" s="23"/>
      <c r="G62" s="23"/>
      <c r="H62" s="7"/>
      <c r="I62" s="47"/>
      <c r="J62" s="11"/>
      <c r="L62" s="40"/>
      <c r="M62" s="227"/>
      <c r="N62" s="80"/>
    </row>
    <row r="63" spans="1:14" ht="18.75" customHeight="1" x14ac:dyDescent="0.55000000000000004">
      <c r="A63" s="28"/>
      <c r="B63" s="45"/>
      <c r="C63" s="49"/>
      <c r="D63" s="54"/>
      <c r="E63" s="42"/>
      <c r="F63" s="23"/>
      <c r="G63" s="23"/>
      <c r="H63" s="7"/>
      <c r="I63" s="47"/>
      <c r="J63" s="11"/>
      <c r="L63" s="40"/>
      <c r="M63" s="30"/>
    </row>
    <row r="64" spans="1:14" ht="18.75" customHeight="1" x14ac:dyDescent="0.55000000000000004">
      <c r="A64" s="28"/>
      <c r="B64" s="45"/>
      <c r="C64" s="49"/>
      <c r="D64" s="54"/>
      <c r="E64" s="63"/>
      <c r="F64" s="23"/>
      <c r="G64" s="23"/>
      <c r="H64" s="7"/>
      <c r="I64" s="47"/>
      <c r="J64" s="25"/>
      <c r="K64" s="40"/>
      <c r="L64" s="40"/>
      <c r="M64" s="228"/>
    </row>
    <row r="65" spans="1:14" ht="18.75" customHeight="1" x14ac:dyDescent="0.55000000000000004">
      <c r="A65" s="28"/>
      <c r="B65" s="45"/>
      <c r="C65" s="49"/>
      <c r="D65" s="54"/>
      <c r="E65" s="63"/>
      <c r="F65" s="23"/>
      <c r="G65" s="23"/>
      <c r="H65" s="7"/>
      <c r="I65" s="47"/>
      <c r="J65" s="11"/>
      <c r="L65" s="40"/>
      <c r="M65" s="228"/>
    </row>
    <row r="66" spans="1:14" ht="18.75" customHeight="1" x14ac:dyDescent="0.55000000000000004">
      <c r="A66" s="28"/>
      <c r="B66" s="45"/>
      <c r="C66" s="49"/>
      <c r="D66" s="54"/>
      <c r="E66" s="63"/>
      <c r="F66" s="23"/>
      <c r="G66" s="23"/>
      <c r="H66" s="7"/>
      <c r="I66" s="47"/>
      <c r="J66" s="11"/>
      <c r="L66" s="40"/>
      <c r="M66" s="228"/>
    </row>
    <row r="67" spans="1:14" ht="18.75" customHeight="1" x14ac:dyDescent="0.55000000000000004">
      <c r="A67" s="28"/>
      <c r="B67" s="45"/>
      <c r="C67" s="49"/>
      <c r="D67" s="54"/>
      <c r="E67" s="42"/>
      <c r="F67" s="23"/>
      <c r="G67" s="23"/>
      <c r="H67" s="7"/>
      <c r="I67" s="47"/>
      <c r="J67" s="11"/>
      <c r="L67" s="40"/>
      <c r="M67" s="227"/>
      <c r="N67" s="80"/>
    </row>
    <row r="68" spans="1:14" ht="18.75" customHeight="1" x14ac:dyDescent="0.55000000000000004">
      <c r="A68" s="28"/>
      <c r="B68" s="45"/>
      <c r="C68" s="49"/>
      <c r="D68" s="54"/>
      <c r="E68" s="42"/>
      <c r="F68" s="23"/>
      <c r="G68" s="23"/>
      <c r="H68" s="7"/>
      <c r="I68" s="47"/>
      <c r="J68" s="11"/>
      <c r="L68" s="40"/>
      <c r="M68" s="30"/>
    </row>
    <row r="69" spans="1:14" ht="18.75" customHeight="1" x14ac:dyDescent="0.55000000000000004">
      <c r="A69" s="28"/>
      <c r="B69" s="45"/>
      <c r="C69" s="49"/>
      <c r="D69" s="54"/>
      <c r="E69" s="63"/>
      <c r="F69" s="23"/>
      <c r="G69" s="23"/>
      <c r="H69" s="7"/>
      <c r="I69" s="47"/>
      <c r="J69" s="25"/>
      <c r="K69" s="40"/>
      <c r="L69" s="40"/>
      <c r="M69" s="228"/>
    </row>
    <row r="70" spans="1:14" ht="18.75" customHeight="1" x14ac:dyDescent="0.55000000000000004">
      <c r="A70" s="28"/>
      <c r="B70" s="45"/>
      <c r="C70" s="49"/>
      <c r="D70" s="54"/>
      <c r="E70" s="63"/>
      <c r="F70" s="23"/>
      <c r="G70" s="23"/>
      <c r="H70" s="7"/>
      <c r="I70" s="47"/>
      <c r="J70" s="11"/>
      <c r="L70" s="40"/>
      <c r="M70" s="228"/>
    </row>
    <row r="71" spans="1:14" ht="18.75" customHeight="1" x14ac:dyDescent="0.55000000000000004">
      <c r="A71" s="28"/>
      <c r="B71" s="45"/>
      <c r="C71" s="49"/>
      <c r="D71" s="54"/>
      <c r="E71" s="63"/>
      <c r="F71" s="23"/>
      <c r="G71" s="23"/>
      <c r="H71" s="7"/>
      <c r="I71" s="47"/>
      <c r="J71" s="11"/>
      <c r="L71" s="40"/>
      <c r="M71" s="228"/>
    </row>
    <row r="72" spans="1:14" ht="18.75" customHeight="1" x14ac:dyDescent="0.55000000000000004">
      <c r="A72" s="28"/>
      <c r="B72" s="45"/>
      <c r="C72" s="49"/>
      <c r="D72" s="54"/>
      <c r="E72" s="42"/>
      <c r="F72" s="23"/>
      <c r="G72" s="23"/>
      <c r="H72" s="7"/>
      <c r="I72" s="47"/>
      <c r="J72" s="11"/>
      <c r="L72" s="40"/>
      <c r="M72" s="227"/>
      <c r="N72" s="80"/>
    </row>
    <row r="73" spans="1:14" ht="18.75" customHeight="1" x14ac:dyDescent="0.55000000000000004">
      <c r="A73" s="28"/>
      <c r="B73" s="45"/>
      <c r="C73" s="49"/>
      <c r="D73" s="54"/>
      <c r="E73" s="42"/>
      <c r="F73" s="23"/>
      <c r="G73" s="23"/>
      <c r="H73" s="7"/>
      <c r="I73" s="47"/>
      <c r="J73" s="11"/>
      <c r="L73" s="40"/>
      <c r="M73" s="30"/>
    </row>
    <row r="74" spans="1:14" ht="18.75" customHeight="1" x14ac:dyDescent="0.55000000000000004">
      <c r="A74" s="28"/>
      <c r="B74" s="45"/>
      <c r="C74" s="49"/>
      <c r="D74" s="54"/>
      <c r="E74" s="63"/>
      <c r="F74" s="23"/>
      <c r="G74" s="23"/>
      <c r="H74" s="7"/>
      <c r="I74" s="47"/>
      <c r="J74" s="25"/>
      <c r="K74" s="40"/>
      <c r="L74" s="40"/>
      <c r="M74" s="228"/>
    </row>
    <row r="75" spans="1:14" ht="18.75" customHeight="1" x14ac:dyDescent="0.55000000000000004">
      <c r="A75" s="28"/>
      <c r="B75" s="45"/>
      <c r="C75" s="49"/>
      <c r="D75" s="54"/>
      <c r="E75" s="63"/>
      <c r="F75" s="23"/>
      <c r="G75" s="23"/>
      <c r="H75" s="7"/>
      <c r="I75" s="47"/>
      <c r="J75" s="11"/>
      <c r="L75" s="40"/>
      <c r="M75" s="228"/>
    </row>
    <row r="76" spans="1:14" ht="18.75" customHeight="1" x14ac:dyDescent="0.55000000000000004">
      <c r="A76" s="28"/>
      <c r="B76" s="45"/>
      <c r="C76" s="49"/>
      <c r="D76" s="54"/>
      <c r="E76" s="63"/>
      <c r="F76" s="23"/>
      <c r="G76" s="23"/>
      <c r="H76" s="7"/>
      <c r="I76" s="47"/>
      <c r="J76" s="11"/>
      <c r="L76" s="40"/>
      <c r="M76" s="228"/>
    </row>
    <row r="77" spans="1:14" ht="18.75" customHeight="1" x14ac:dyDescent="0.55000000000000004">
      <c r="A77" s="28"/>
      <c r="B77" s="45"/>
      <c r="C77" s="49"/>
      <c r="D77" s="54"/>
      <c r="E77" s="42"/>
      <c r="F77" s="23"/>
      <c r="G77" s="23"/>
      <c r="H77" s="7"/>
      <c r="I77" s="47"/>
      <c r="J77" s="11"/>
      <c r="L77" s="40"/>
      <c r="M77" s="227"/>
      <c r="N77" s="80"/>
    </row>
    <row r="78" spans="1:14" ht="18.75" customHeight="1" x14ac:dyDescent="0.55000000000000004">
      <c r="A78" s="28"/>
      <c r="B78" s="45"/>
      <c r="C78" s="49"/>
      <c r="D78" s="54"/>
      <c r="E78" s="42"/>
      <c r="F78" s="23"/>
      <c r="G78" s="23"/>
      <c r="H78" s="7"/>
      <c r="I78" s="47"/>
      <c r="J78" s="11"/>
      <c r="L78" s="40"/>
      <c r="M78" s="30"/>
    </row>
    <row r="79" spans="1:14" ht="18.75" customHeight="1" x14ac:dyDescent="0.55000000000000004">
      <c r="A79" s="28"/>
      <c r="B79" s="45"/>
      <c r="C79" s="49"/>
      <c r="D79" s="54"/>
      <c r="E79" s="63"/>
      <c r="F79" s="23"/>
      <c r="G79" s="23"/>
      <c r="H79" s="7"/>
      <c r="I79" s="47"/>
      <c r="J79" s="25"/>
      <c r="K79" s="40"/>
      <c r="L79" s="40"/>
      <c r="M79" s="228"/>
    </row>
    <row r="80" spans="1:14" ht="18.75" customHeight="1" x14ac:dyDescent="0.55000000000000004">
      <c r="A80" s="28"/>
      <c r="B80" s="45"/>
      <c r="C80" s="49"/>
      <c r="D80" s="54"/>
      <c r="E80" s="63"/>
      <c r="F80" s="23"/>
      <c r="G80" s="23"/>
      <c r="H80" s="7"/>
      <c r="I80" s="47"/>
      <c r="J80" s="11"/>
      <c r="L80" s="40"/>
      <c r="M80" s="228"/>
    </row>
    <row r="81" spans="1:14" ht="18.75" customHeight="1" x14ac:dyDescent="0.55000000000000004">
      <c r="A81" s="28"/>
      <c r="B81" s="45"/>
      <c r="C81" s="49"/>
      <c r="D81" s="54"/>
      <c r="E81" s="63"/>
      <c r="F81" s="23"/>
      <c r="G81" s="23"/>
      <c r="H81" s="7"/>
      <c r="I81" s="47"/>
      <c r="J81" s="11"/>
      <c r="L81" s="40"/>
      <c r="M81" s="228"/>
    </row>
    <row r="82" spans="1:14" ht="18.75" customHeight="1" x14ac:dyDescent="0.55000000000000004">
      <c r="A82" s="28"/>
      <c r="B82" s="45"/>
      <c r="C82" s="49"/>
      <c r="D82" s="54"/>
      <c r="E82" s="42"/>
      <c r="F82" s="23"/>
      <c r="G82" s="23"/>
      <c r="H82" s="7"/>
      <c r="I82" s="47"/>
      <c r="J82" s="11"/>
      <c r="L82" s="40"/>
      <c r="M82" s="227"/>
      <c r="N82" s="80"/>
    </row>
    <row r="83" spans="1:14" ht="18.75" customHeight="1" x14ac:dyDescent="0.55000000000000004">
      <c r="A83" s="28"/>
      <c r="B83" s="45"/>
      <c r="C83" s="49"/>
      <c r="D83" s="54"/>
      <c r="E83" s="42"/>
      <c r="F83" s="23"/>
      <c r="G83" s="23"/>
      <c r="H83" s="7"/>
      <c r="I83" s="47"/>
      <c r="J83" s="11"/>
      <c r="L83" s="40"/>
      <c r="M83" s="30"/>
    </row>
    <row r="84" spans="1:14" ht="18.75" customHeight="1" x14ac:dyDescent="0.55000000000000004">
      <c r="A84" s="28"/>
      <c r="B84" s="45"/>
      <c r="C84" s="49"/>
      <c r="D84" s="54"/>
      <c r="E84" s="63"/>
      <c r="F84" s="23"/>
      <c r="G84" s="23"/>
      <c r="H84" s="7"/>
      <c r="I84" s="47"/>
      <c r="J84" s="25"/>
      <c r="K84" s="40"/>
      <c r="L84" s="40"/>
      <c r="M84" s="228"/>
    </row>
    <row r="85" spans="1:14" ht="18.75" customHeight="1" x14ac:dyDescent="0.55000000000000004">
      <c r="A85" s="28"/>
      <c r="B85" s="45"/>
      <c r="C85" s="49"/>
      <c r="D85" s="54"/>
      <c r="E85" s="63"/>
      <c r="F85" s="23"/>
      <c r="G85" s="23"/>
      <c r="H85" s="7"/>
      <c r="I85" s="47"/>
      <c r="J85" s="11"/>
      <c r="L85" s="40"/>
      <c r="M85" s="228"/>
    </row>
    <row r="86" spans="1:14" ht="18.75" customHeight="1" x14ac:dyDescent="0.55000000000000004">
      <c r="A86" s="28"/>
      <c r="B86" s="45"/>
      <c r="C86" s="49"/>
      <c r="D86" s="54"/>
      <c r="E86" s="63"/>
      <c r="F86" s="23"/>
      <c r="G86" s="23"/>
      <c r="H86" s="7"/>
      <c r="I86" s="47"/>
      <c r="J86" s="11"/>
      <c r="L86" s="40"/>
      <c r="M86" s="228"/>
    </row>
    <row r="87" spans="1:14" ht="18.75" customHeight="1" x14ac:dyDescent="0.55000000000000004">
      <c r="A87" s="28"/>
      <c r="B87" s="45"/>
      <c r="C87" s="49"/>
      <c r="D87" s="54"/>
      <c r="E87" s="42"/>
      <c r="F87" s="23"/>
      <c r="G87" s="23"/>
      <c r="H87" s="7"/>
      <c r="I87" s="47"/>
      <c r="J87" s="11"/>
      <c r="L87" s="40"/>
      <c r="M87" s="227"/>
      <c r="N87" s="80"/>
    </row>
    <row r="88" spans="1:14" ht="18.75" customHeight="1" x14ac:dyDescent="0.55000000000000004">
      <c r="A88" s="28"/>
      <c r="B88" s="45"/>
      <c r="C88" s="49"/>
      <c r="D88" s="54"/>
      <c r="E88" s="42"/>
      <c r="F88" s="23"/>
      <c r="G88" s="23"/>
      <c r="H88" s="7"/>
      <c r="I88" s="47"/>
      <c r="J88" s="11"/>
      <c r="L88" s="40"/>
      <c r="M88" s="30"/>
    </row>
    <row r="89" spans="1:14" ht="18.75" customHeight="1" x14ac:dyDescent="0.55000000000000004">
      <c r="A89" s="28"/>
      <c r="B89" s="45"/>
      <c r="C89" s="49"/>
      <c r="D89" s="54"/>
      <c r="E89" s="63"/>
      <c r="F89" s="23"/>
      <c r="G89" s="23"/>
      <c r="H89" s="7"/>
      <c r="I89" s="47"/>
      <c r="J89" s="25"/>
      <c r="K89" s="40"/>
      <c r="L89" s="40"/>
      <c r="M89" s="228"/>
    </row>
    <row r="90" spans="1:14" ht="18.75" customHeight="1" x14ac:dyDescent="0.55000000000000004">
      <c r="A90" s="28"/>
      <c r="B90" s="45"/>
      <c r="C90" s="49"/>
      <c r="D90" s="54"/>
      <c r="E90" s="63"/>
      <c r="F90" s="23"/>
      <c r="G90" s="23"/>
      <c r="H90" s="7"/>
      <c r="I90" s="47"/>
      <c r="J90" s="11"/>
      <c r="L90" s="40"/>
      <c r="M90" s="228"/>
    </row>
    <row r="91" spans="1:14" ht="18.75" customHeight="1" x14ac:dyDescent="0.55000000000000004">
      <c r="A91" s="28"/>
      <c r="B91" s="45"/>
      <c r="C91" s="49"/>
      <c r="D91" s="54"/>
      <c r="E91" s="63"/>
      <c r="F91" s="23"/>
      <c r="G91" s="23"/>
      <c r="H91" s="7"/>
      <c r="I91" s="47"/>
      <c r="J91" s="11"/>
      <c r="L91" s="40"/>
      <c r="M91" s="228"/>
    </row>
    <row r="92" spans="1:14" ht="18.75" customHeight="1" x14ac:dyDescent="0.55000000000000004">
      <c r="A92" s="28"/>
      <c r="B92" s="45"/>
      <c r="C92" s="49"/>
      <c r="D92" s="54"/>
      <c r="E92" s="42"/>
      <c r="F92" s="23"/>
      <c r="G92" s="23"/>
      <c r="H92" s="7"/>
      <c r="I92" s="47"/>
      <c r="J92" s="11"/>
      <c r="L92" s="40"/>
      <c r="M92" s="227"/>
      <c r="N92" s="80"/>
    </row>
    <row r="93" spans="1:14" ht="18.75" customHeight="1" x14ac:dyDescent="0.55000000000000004">
      <c r="A93" s="28"/>
      <c r="B93" s="45"/>
      <c r="C93" s="49"/>
      <c r="D93" s="54"/>
      <c r="E93" s="42"/>
      <c r="F93" s="23"/>
      <c r="G93" s="23"/>
      <c r="H93" s="7"/>
      <c r="I93" s="47"/>
      <c r="J93" s="11"/>
      <c r="L93" s="40"/>
      <c r="M93" s="30"/>
    </row>
    <row r="94" spans="1:14" ht="18.75" customHeight="1" x14ac:dyDescent="0.55000000000000004">
      <c r="A94" s="28"/>
      <c r="B94" s="45"/>
      <c r="C94" s="49"/>
      <c r="D94" s="54"/>
      <c r="E94" s="63"/>
      <c r="F94" s="23"/>
      <c r="G94" s="23"/>
      <c r="H94" s="7"/>
      <c r="I94" s="47"/>
      <c r="J94" s="25"/>
      <c r="K94" s="40"/>
      <c r="L94" s="40"/>
      <c r="M94" s="228"/>
    </row>
    <row r="95" spans="1:14" ht="18.75" customHeight="1" x14ac:dyDescent="0.55000000000000004">
      <c r="A95" s="28"/>
      <c r="B95" s="45"/>
      <c r="C95" s="49"/>
      <c r="D95" s="54"/>
      <c r="E95" s="63"/>
      <c r="F95" s="23"/>
      <c r="G95" s="23"/>
      <c r="H95" s="7"/>
      <c r="I95" s="47"/>
      <c r="J95" s="11"/>
      <c r="L95" s="40"/>
      <c r="M95" s="228"/>
    </row>
    <row r="96" spans="1:14" ht="18.75" customHeight="1" x14ac:dyDescent="0.55000000000000004">
      <c r="A96" s="28"/>
      <c r="B96" s="45"/>
      <c r="C96" s="49"/>
      <c r="D96" s="54"/>
      <c r="E96" s="63"/>
      <c r="F96" s="23"/>
      <c r="G96" s="23"/>
      <c r="H96" s="7"/>
      <c r="I96" s="47"/>
      <c r="J96" s="11"/>
      <c r="L96" s="40"/>
      <c r="M96" s="228"/>
    </row>
    <row r="97" spans="1:14" ht="18.75" customHeight="1" x14ac:dyDescent="0.55000000000000004">
      <c r="A97" s="28"/>
      <c r="B97" s="45"/>
      <c r="C97" s="49"/>
      <c r="D97" s="54"/>
      <c r="E97" s="42"/>
      <c r="F97" s="23"/>
      <c r="G97" s="23"/>
      <c r="H97" s="7"/>
      <c r="I97" s="47"/>
      <c r="J97" s="11"/>
      <c r="L97" s="40"/>
      <c r="M97" s="227"/>
      <c r="N97" s="80"/>
    </row>
    <row r="98" spans="1:14" ht="18.75" customHeight="1" x14ac:dyDescent="0.55000000000000004">
      <c r="A98" s="28"/>
      <c r="B98" s="45"/>
      <c r="C98" s="49"/>
      <c r="D98" s="54"/>
      <c r="E98" s="42"/>
      <c r="F98" s="23"/>
      <c r="G98" s="23"/>
      <c r="H98" s="7"/>
      <c r="I98" s="47"/>
      <c r="J98" s="11"/>
      <c r="L98" s="40"/>
      <c r="M98" s="30"/>
    </row>
    <row r="99" spans="1:14" ht="18.75" customHeight="1" x14ac:dyDescent="0.55000000000000004">
      <c r="A99" s="28"/>
      <c r="B99" s="45"/>
      <c r="C99" s="49"/>
      <c r="D99" s="54"/>
      <c r="E99" s="63"/>
      <c r="F99" s="23"/>
      <c r="G99" s="23"/>
      <c r="H99" s="7"/>
      <c r="I99" s="47"/>
      <c r="J99" s="25"/>
      <c r="K99" s="40"/>
      <c r="L99" s="40"/>
      <c r="M99" s="228"/>
    </row>
    <row r="100" spans="1:14" ht="18.75" customHeight="1" x14ac:dyDescent="0.55000000000000004">
      <c r="A100" s="28"/>
      <c r="B100" s="45"/>
      <c r="C100" s="49"/>
      <c r="D100" s="54"/>
      <c r="E100" s="63"/>
      <c r="F100" s="23"/>
      <c r="G100" s="23"/>
      <c r="H100" s="7"/>
      <c r="I100" s="47"/>
      <c r="J100" s="11"/>
      <c r="L100" s="40"/>
      <c r="M100" s="228"/>
    </row>
    <row r="101" spans="1:14" ht="18.75" customHeight="1" x14ac:dyDescent="0.55000000000000004">
      <c r="A101" s="28"/>
      <c r="B101" s="45"/>
      <c r="C101" s="49"/>
      <c r="D101" s="54"/>
      <c r="E101" s="63"/>
      <c r="F101" s="23"/>
      <c r="G101" s="23"/>
      <c r="H101" s="7"/>
      <c r="I101" s="47"/>
      <c r="J101" s="11"/>
      <c r="L101" s="40"/>
      <c r="M101" s="228"/>
    </row>
    <row r="102" spans="1:14" ht="18.75" customHeight="1" x14ac:dyDescent="0.55000000000000004">
      <c r="A102" s="28"/>
      <c r="B102" s="45"/>
      <c r="C102" s="49"/>
      <c r="D102" s="54"/>
      <c r="E102" s="42"/>
      <c r="F102" s="23"/>
      <c r="G102" s="23"/>
      <c r="H102" s="7"/>
      <c r="I102" s="47"/>
      <c r="J102" s="11"/>
      <c r="L102" s="40"/>
      <c r="M102" s="227"/>
      <c r="N102" s="80"/>
    </row>
    <row r="103" spans="1:14" ht="18.75" customHeight="1" x14ac:dyDescent="0.55000000000000004">
      <c r="A103" s="28"/>
      <c r="B103" s="45"/>
      <c r="C103" s="49"/>
      <c r="D103" s="54"/>
      <c r="E103" s="42"/>
      <c r="F103" s="23"/>
      <c r="G103" s="23"/>
      <c r="H103" s="7"/>
      <c r="I103" s="47"/>
      <c r="J103" s="11"/>
      <c r="L103" s="40"/>
      <c r="M103" s="30"/>
    </row>
    <row r="104" spans="1:14" ht="18.75" customHeight="1" x14ac:dyDescent="0.55000000000000004">
      <c r="A104" s="28"/>
      <c r="B104" s="45"/>
      <c r="C104" s="49"/>
      <c r="D104" s="54"/>
      <c r="E104" s="63"/>
      <c r="F104" s="23"/>
      <c r="G104" s="23"/>
      <c r="H104" s="7"/>
      <c r="I104" s="47"/>
      <c r="J104" s="25"/>
      <c r="K104" s="40"/>
      <c r="L104" s="40"/>
      <c r="M104" s="228"/>
    </row>
    <row r="105" spans="1:14" ht="18.75" customHeight="1" x14ac:dyDescent="0.55000000000000004">
      <c r="A105" s="28"/>
      <c r="B105" s="45"/>
      <c r="C105" s="49"/>
      <c r="D105" s="54"/>
      <c r="E105" s="63"/>
      <c r="F105" s="23"/>
      <c r="G105" s="23"/>
      <c r="H105" s="7"/>
      <c r="I105" s="47"/>
      <c r="J105" s="11"/>
      <c r="L105" s="40"/>
      <c r="M105" s="228"/>
    </row>
    <row r="106" spans="1:14" ht="18.75" customHeight="1" x14ac:dyDescent="0.55000000000000004">
      <c r="A106" s="28"/>
      <c r="B106" s="45"/>
      <c r="C106" s="49"/>
      <c r="D106" s="54"/>
      <c r="E106" s="63"/>
      <c r="F106" s="23"/>
      <c r="G106" s="23"/>
      <c r="H106" s="7"/>
      <c r="I106" s="47"/>
      <c r="J106" s="11"/>
      <c r="L106" s="40"/>
      <c r="M106" s="228"/>
    </row>
    <row r="107" spans="1:14" ht="18.75" customHeight="1" x14ac:dyDescent="0.55000000000000004">
      <c r="A107" s="28"/>
      <c r="B107" s="45"/>
      <c r="C107" s="49"/>
      <c r="D107" s="54"/>
      <c r="E107" s="42"/>
      <c r="F107" s="23"/>
      <c r="G107" s="23"/>
      <c r="H107" s="7"/>
      <c r="I107" s="47"/>
      <c r="J107" s="11"/>
      <c r="L107" s="40"/>
      <c r="M107" s="227"/>
      <c r="N107" s="80"/>
    </row>
    <row r="108" spans="1:14" ht="18.75" customHeight="1" x14ac:dyDescent="0.55000000000000004">
      <c r="A108" s="28"/>
      <c r="B108" s="45"/>
      <c r="C108" s="49"/>
      <c r="D108" s="54"/>
      <c r="E108" s="42"/>
      <c r="F108" s="23"/>
      <c r="G108" s="23"/>
      <c r="H108" s="7"/>
      <c r="I108" s="47"/>
      <c r="J108" s="11"/>
      <c r="L108" s="40"/>
      <c r="M108" s="30"/>
    </row>
    <row r="109" spans="1:14" ht="18.75" customHeight="1" x14ac:dyDescent="0.55000000000000004">
      <c r="A109" s="28"/>
      <c r="B109" s="45"/>
      <c r="C109" s="49"/>
      <c r="D109" s="54"/>
      <c r="E109" s="63"/>
      <c r="F109" s="23"/>
      <c r="G109" s="23"/>
      <c r="H109" s="7"/>
      <c r="I109" s="47"/>
      <c r="J109" s="25"/>
      <c r="K109" s="40"/>
      <c r="L109" s="40"/>
      <c r="M109" s="228"/>
    </row>
    <row r="110" spans="1:14" ht="18.75" customHeight="1" x14ac:dyDescent="0.55000000000000004">
      <c r="A110" s="28"/>
      <c r="B110" s="45"/>
      <c r="C110" s="49"/>
      <c r="D110" s="54"/>
      <c r="E110" s="63"/>
      <c r="F110" s="23"/>
      <c r="G110" s="23"/>
      <c r="H110" s="7"/>
      <c r="I110" s="47"/>
      <c r="J110" s="11"/>
      <c r="L110" s="40"/>
      <c r="M110" s="228"/>
    </row>
    <row r="111" spans="1:14" ht="18.75" customHeight="1" x14ac:dyDescent="0.55000000000000004">
      <c r="A111" s="28"/>
      <c r="B111" s="45"/>
      <c r="C111" s="49"/>
      <c r="D111" s="54"/>
      <c r="E111" s="63"/>
      <c r="F111" s="23"/>
      <c r="G111" s="23"/>
      <c r="H111" s="7"/>
      <c r="I111" s="47"/>
      <c r="J111" s="11"/>
      <c r="L111" s="40"/>
      <c r="M111" s="228"/>
    </row>
    <row r="112" spans="1:14" ht="18.75" customHeight="1" x14ac:dyDescent="0.55000000000000004">
      <c r="A112" s="28"/>
      <c r="B112" s="45"/>
      <c r="C112" s="49"/>
      <c r="D112" s="54"/>
      <c r="E112" s="42"/>
      <c r="F112" s="23"/>
      <c r="G112" s="23"/>
      <c r="H112" s="7"/>
      <c r="I112" s="47"/>
      <c r="J112" s="11"/>
      <c r="L112" s="40"/>
      <c r="M112" s="227"/>
      <c r="N112" s="80"/>
    </row>
    <row r="113" spans="1:14" ht="18.75" customHeight="1" x14ac:dyDescent="0.55000000000000004">
      <c r="A113" s="28"/>
      <c r="B113" s="45"/>
      <c r="C113" s="49"/>
      <c r="D113" s="54"/>
      <c r="E113" s="42"/>
      <c r="F113" s="23"/>
      <c r="G113" s="23"/>
      <c r="H113" s="7"/>
      <c r="I113" s="47"/>
      <c r="J113" s="11"/>
      <c r="L113" s="40"/>
      <c r="M113" s="30"/>
    </row>
    <row r="114" spans="1:14" ht="18.75" customHeight="1" x14ac:dyDescent="0.55000000000000004">
      <c r="A114" s="28"/>
      <c r="B114" s="45"/>
      <c r="C114" s="49"/>
      <c r="D114" s="54"/>
      <c r="E114" s="63"/>
      <c r="F114" s="23"/>
      <c r="G114" s="23"/>
      <c r="H114" s="7"/>
      <c r="I114" s="47"/>
      <c r="J114" s="25"/>
      <c r="K114" s="40"/>
      <c r="L114" s="40"/>
      <c r="M114" s="228"/>
    </row>
    <row r="115" spans="1:14" ht="18.75" customHeight="1" x14ac:dyDescent="0.55000000000000004">
      <c r="A115" s="28"/>
      <c r="B115" s="45"/>
      <c r="C115" s="49"/>
      <c r="D115" s="54"/>
      <c r="E115" s="63"/>
      <c r="F115" s="23"/>
      <c r="G115" s="23"/>
      <c r="H115" s="7"/>
      <c r="I115" s="47"/>
      <c r="J115" s="11"/>
      <c r="L115" s="40"/>
      <c r="M115" s="228"/>
    </row>
    <row r="116" spans="1:14" ht="18.75" customHeight="1" x14ac:dyDescent="0.55000000000000004">
      <c r="A116" s="28"/>
      <c r="B116" s="45"/>
      <c r="C116" s="49"/>
      <c r="D116" s="54"/>
      <c r="E116" s="63"/>
      <c r="F116" s="23"/>
      <c r="G116" s="23"/>
      <c r="H116" s="7"/>
      <c r="I116" s="47"/>
      <c r="J116" s="11"/>
      <c r="L116" s="40"/>
      <c r="M116" s="228"/>
    </row>
    <row r="117" spans="1:14" ht="18.75" customHeight="1" x14ac:dyDescent="0.55000000000000004">
      <c r="A117" s="28"/>
      <c r="B117" s="45"/>
      <c r="C117" s="49"/>
      <c r="D117" s="54"/>
      <c r="E117" s="42"/>
      <c r="F117" s="23"/>
      <c r="G117" s="23"/>
      <c r="H117" s="7"/>
      <c r="I117" s="47"/>
      <c r="J117" s="11"/>
      <c r="L117" s="40"/>
      <c r="M117" s="227"/>
      <c r="N117" s="80"/>
    </row>
    <row r="118" spans="1:14" ht="18.75" customHeight="1" x14ac:dyDescent="0.55000000000000004">
      <c r="A118" s="28"/>
      <c r="B118" s="45"/>
      <c r="C118" s="49"/>
      <c r="D118" s="54"/>
      <c r="E118" s="42"/>
      <c r="F118" s="23"/>
      <c r="G118" s="23"/>
      <c r="H118" s="7"/>
      <c r="I118" s="47"/>
      <c r="J118" s="11"/>
      <c r="L118" s="40"/>
      <c r="M118" s="30"/>
    </row>
    <row r="119" spans="1:14" ht="18.75" customHeight="1" x14ac:dyDescent="0.55000000000000004">
      <c r="A119" s="28"/>
      <c r="B119" s="45"/>
      <c r="C119" s="49"/>
      <c r="D119" s="54"/>
      <c r="E119" s="63"/>
      <c r="F119" s="23"/>
      <c r="G119" s="23"/>
      <c r="H119" s="7"/>
      <c r="I119" s="47"/>
      <c r="J119" s="25"/>
      <c r="K119" s="40"/>
      <c r="L119" s="40"/>
      <c r="M119" s="228"/>
    </row>
    <row r="120" spans="1:14" ht="18.75" customHeight="1" x14ac:dyDescent="0.55000000000000004">
      <c r="A120" s="28"/>
      <c r="B120" s="45"/>
      <c r="C120" s="49"/>
      <c r="D120" s="54"/>
      <c r="E120" s="63"/>
      <c r="F120" s="23"/>
      <c r="G120" s="23"/>
      <c r="H120" s="7"/>
      <c r="I120" s="47"/>
      <c r="J120" s="11"/>
      <c r="L120" s="40"/>
      <c r="M120" s="228"/>
    </row>
    <row r="121" spans="1:14" ht="18.75" customHeight="1" x14ac:dyDescent="0.55000000000000004">
      <c r="A121" s="28"/>
      <c r="B121" s="45"/>
      <c r="C121" s="49"/>
      <c r="D121" s="54"/>
      <c r="E121" s="63"/>
      <c r="F121" s="23"/>
      <c r="G121" s="23"/>
      <c r="H121" s="7"/>
      <c r="I121" s="47"/>
      <c r="J121" s="11"/>
      <c r="L121" s="40"/>
      <c r="M121" s="228"/>
    </row>
    <row r="122" spans="1:14" ht="18.75" customHeight="1" x14ac:dyDescent="0.55000000000000004">
      <c r="A122" s="28"/>
      <c r="B122" s="45"/>
      <c r="C122" s="49"/>
      <c r="D122" s="54"/>
      <c r="E122" s="42"/>
      <c r="F122" s="23"/>
      <c r="G122" s="23"/>
      <c r="H122" s="7"/>
      <c r="I122" s="47"/>
      <c r="J122" s="11"/>
      <c r="L122" s="40"/>
      <c r="M122" s="227"/>
      <c r="N122" s="80"/>
    </row>
    <row r="123" spans="1:14" ht="18.75" customHeight="1" x14ac:dyDescent="0.55000000000000004">
      <c r="A123" s="28"/>
      <c r="B123" s="45"/>
      <c r="C123" s="49"/>
      <c r="D123" s="54"/>
      <c r="E123" s="42"/>
      <c r="F123" s="23"/>
      <c r="G123" s="23"/>
      <c r="H123" s="7"/>
      <c r="I123" s="47"/>
      <c r="J123" s="11"/>
      <c r="L123" s="40"/>
      <c r="M123" s="30"/>
    </row>
    <row r="124" spans="1:14" ht="18.75" customHeight="1" x14ac:dyDescent="0.55000000000000004">
      <c r="A124" s="28"/>
      <c r="B124" s="45"/>
      <c r="C124" s="49"/>
      <c r="D124" s="54"/>
      <c r="E124" s="63"/>
      <c r="F124" s="23"/>
      <c r="G124" s="23"/>
      <c r="H124" s="7"/>
      <c r="I124" s="47"/>
      <c r="J124" s="25"/>
      <c r="K124" s="40"/>
      <c r="L124" s="40"/>
      <c r="M124" s="228"/>
    </row>
    <row r="125" spans="1:14" ht="18.75" customHeight="1" x14ac:dyDescent="0.55000000000000004">
      <c r="A125" s="28"/>
      <c r="B125" s="45"/>
      <c r="C125" s="49"/>
      <c r="D125" s="54"/>
      <c r="E125" s="63"/>
      <c r="F125" s="23"/>
      <c r="G125" s="23"/>
      <c r="H125" s="7"/>
      <c r="I125" s="47"/>
      <c r="J125" s="11"/>
      <c r="L125" s="40"/>
      <c r="M125" s="228"/>
    </row>
    <row r="126" spans="1:14" ht="18.75" customHeight="1" x14ac:dyDescent="0.55000000000000004">
      <c r="A126" s="28"/>
      <c r="B126" s="45"/>
      <c r="C126" s="49"/>
      <c r="D126" s="54"/>
      <c r="E126" s="63"/>
      <c r="F126" s="23"/>
      <c r="G126" s="23"/>
      <c r="H126" s="7"/>
      <c r="I126" s="47"/>
      <c r="J126" s="11"/>
      <c r="L126" s="40"/>
      <c r="M126" s="228"/>
    </row>
    <row r="127" spans="1:14" ht="18.75" customHeight="1" x14ac:dyDescent="0.55000000000000004">
      <c r="A127" s="28"/>
      <c r="B127" s="45"/>
      <c r="C127" s="49"/>
      <c r="D127" s="54"/>
      <c r="E127" s="42"/>
      <c r="F127" s="23"/>
      <c r="G127" s="23"/>
      <c r="H127" s="7"/>
      <c r="I127" s="47"/>
      <c r="J127" s="11"/>
      <c r="L127" s="40"/>
      <c r="M127" s="227"/>
      <c r="N127" s="80"/>
    </row>
    <row r="128" spans="1:14" ht="18.75" customHeight="1" x14ac:dyDescent="0.55000000000000004">
      <c r="A128" s="28"/>
      <c r="B128" s="45"/>
      <c r="C128" s="49"/>
      <c r="D128" s="54"/>
      <c r="E128" s="42"/>
      <c r="F128" s="23"/>
      <c r="G128" s="23"/>
      <c r="H128" s="7"/>
      <c r="I128" s="47"/>
      <c r="J128" s="11"/>
      <c r="L128" s="40"/>
      <c r="M128" s="30"/>
    </row>
    <row r="129" spans="1:14" ht="18.75" customHeight="1" x14ac:dyDescent="0.55000000000000004">
      <c r="A129" s="28"/>
      <c r="B129" s="45"/>
      <c r="C129" s="49"/>
      <c r="D129" s="54"/>
      <c r="E129" s="63"/>
      <c r="F129" s="23"/>
      <c r="G129" s="23"/>
      <c r="H129" s="7"/>
      <c r="I129" s="47"/>
      <c r="J129" s="25"/>
      <c r="K129" s="40"/>
      <c r="L129" s="40"/>
      <c r="M129" s="228"/>
    </row>
    <row r="130" spans="1:14" ht="18.75" customHeight="1" x14ac:dyDescent="0.55000000000000004">
      <c r="A130" s="28"/>
      <c r="B130" s="45"/>
      <c r="C130" s="49"/>
      <c r="D130" s="54"/>
      <c r="E130" s="63"/>
      <c r="F130" s="23"/>
      <c r="G130" s="23"/>
      <c r="H130" s="7"/>
      <c r="I130" s="47"/>
      <c r="J130" s="11"/>
      <c r="L130" s="40"/>
      <c r="M130" s="228"/>
    </row>
    <row r="131" spans="1:14" ht="18.75" customHeight="1" x14ac:dyDescent="0.55000000000000004">
      <c r="A131" s="28"/>
      <c r="B131" s="45"/>
      <c r="C131" s="49"/>
      <c r="D131" s="54"/>
      <c r="E131" s="63"/>
      <c r="F131" s="23"/>
      <c r="G131" s="23"/>
      <c r="H131" s="7"/>
      <c r="I131" s="47"/>
      <c r="J131" s="11"/>
      <c r="L131" s="40"/>
      <c r="M131" s="228"/>
    </row>
    <row r="132" spans="1:14" ht="18.75" customHeight="1" x14ac:dyDescent="0.55000000000000004">
      <c r="A132" s="28"/>
      <c r="B132" s="45"/>
      <c r="C132" s="49"/>
      <c r="D132" s="54"/>
      <c r="E132" s="42"/>
      <c r="F132" s="23"/>
      <c r="G132" s="23"/>
      <c r="H132" s="7"/>
      <c r="I132" s="47"/>
      <c r="J132" s="11"/>
      <c r="L132" s="40"/>
      <c r="M132" s="227"/>
      <c r="N132" s="80"/>
    </row>
    <row r="133" spans="1:14" ht="18.75" customHeight="1" x14ac:dyDescent="0.55000000000000004">
      <c r="A133" s="28"/>
      <c r="B133" s="45"/>
      <c r="C133" s="49"/>
      <c r="D133" s="54"/>
      <c r="E133" s="42"/>
      <c r="F133" s="23"/>
      <c r="G133" s="23"/>
      <c r="H133" s="7"/>
      <c r="I133" s="47"/>
      <c r="J133" s="11"/>
      <c r="L133" s="40"/>
      <c r="M133" s="30"/>
    </row>
    <row r="134" spans="1:14" ht="18.75" customHeight="1" x14ac:dyDescent="0.55000000000000004">
      <c r="A134" s="28"/>
      <c r="B134" s="45"/>
      <c r="C134" s="49"/>
      <c r="D134" s="54"/>
      <c r="E134" s="63"/>
      <c r="F134" s="23"/>
      <c r="G134" s="23"/>
      <c r="H134" s="7"/>
      <c r="I134" s="47"/>
      <c r="J134" s="25"/>
      <c r="K134" s="40"/>
      <c r="L134" s="40"/>
      <c r="M134" s="228"/>
    </row>
    <row r="135" spans="1:14" ht="18.75" customHeight="1" x14ac:dyDescent="0.55000000000000004">
      <c r="A135" s="28"/>
      <c r="B135" s="45"/>
      <c r="C135" s="49"/>
      <c r="D135" s="54"/>
      <c r="E135" s="63"/>
      <c r="F135" s="23"/>
      <c r="G135" s="23"/>
      <c r="H135" s="7"/>
      <c r="I135" s="47"/>
      <c r="J135" s="11"/>
      <c r="L135" s="40"/>
      <c r="M135" s="228"/>
    </row>
    <row r="136" spans="1:14" ht="18.75" customHeight="1" x14ac:dyDescent="0.55000000000000004">
      <c r="A136" s="28"/>
      <c r="B136" s="45"/>
      <c r="C136" s="49"/>
      <c r="D136" s="54"/>
      <c r="E136" s="63"/>
      <c r="F136" s="23"/>
      <c r="G136" s="23"/>
      <c r="H136" s="7"/>
      <c r="I136" s="47"/>
      <c r="J136" s="11"/>
      <c r="L136" s="40"/>
      <c r="M136" s="228"/>
    </row>
    <row r="137" spans="1:14" ht="18.75" customHeight="1" x14ac:dyDescent="0.55000000000000004">
      <c r="A137" s="28"/>
      <c r="B137" s="45"/>
      <c r="C137" s="49"/>
      <c r="D137" s="54"/>
      <c r="E137" s="42"/>
      <c r="F137" s="23"/>
      <c r="G137" s="23"/>
      <c r="H137" s="7"/>
      <c r="I137" s="47"/>
      <c r="J137" s="11"/>
      <c r="L137" s="40"/>
      <c r="M137" s="227"/>
      <c r="N137" s="80"/>
    </row>
    <row r="138" spans="1:14" ht="18.75" customHeight="1" x14ac:dyDescent="0.55000000000000004">
      <c r="A138" s="28"/>
      <c r="B138" s="45"/>
      <c r="C138" s="49"/>
      <c r="D138" s="54"/>
      <c r="E138" s="42"/>
      <c r="F138" s="23"/>
      <c r="G138" s="23"/>
      <c r="H138" s="7"/>
      <c r="I138" s="47"/>
      <c r="J138" s="11"/>
      <c r="L138" s="40"/>
      <c r="M138" s="30"/>
    </row>
    <row r="139" spans="1:14" ht="18.75" customHeight="1" x14ac:dyDescent="0.55000000000000004">
      <c r="A139" s="28"/>
      <c r="B139" s="45"/>
      <c r="C139" s="49"/>
      <c r="D139" s="54"/>
      <c r="E139" s="63"/>
      <c r="F139" s="23"/>
      <c r="G139" s="23"/>
      <c r="H139" s="7"/>
      <c r="I139" s="47"/>
      <c r="J139" s="25"/>
      <c r="K139" s="40"/>
      <c r="L139" s="40"/>
      <c r="M139" s="228"/>
    </row>
    <row r="140" spans="1:14" ht="18.75" customHeight="1" x14ac:dyDescent="0.55000000000000004">
      <c r="A140" s="28"/>
      <c r="B140" s="45"/>
      <c r="C140" s="49"/>
      <c r="D140" s="54"/>
      <c r="E140" s="63"/>
      <c r="F140" s="23"/>
      <c r="G140" s="23"/>
      <c r="H140" s="7"/>
      <c r="I140" s="47"/>
      <c r="J140" s="11"/>
      <c r="L140" s="40"/>
      <c r="M140" s="228"/>
    </row>
    <row r="141" spans="1:14" ht="18.75" customHeight="1" x14ac:dyDescent="0.55000000000000004">
      <c r="A141" s="28"/>
      <c r="B141" s="45"/>
      <c r="C141" s="49"/>
      <c r="D141" s="54"/>
      <c r="E141" s="63"/>
      <c r="F141" s="23"/>
      <c r="G141" s="23"/>
      <c r="H141" s="7"/>
      <c r="I141" s="47"/>
      <c r="J141" s="11"/>
      <c r="L141" s="40"/>
      <c r="M141" s="228"/>
    </row>
    <row r="142" spans="1:14" ht="18.75" customHeight="1" x14ac:dyDescent="0.55000000000000004">
      <c r="A142" s="28"/>
      <c r="B142" s="45"/>
      <c r="C142" s="49"/>
      <c r="D142" s="54"/>
      <c r="E142" s="42"/>
      <c r="F142" s="23"/>
      <c r="G142" s="23"/>
      <c r="H142" s="7"/>
      <c r="I142" s="47"/>
      <c r="J142" s="11"/>
      <c r="L142" s="40"/>
      <c r="M142" s="227"/>
      <c r="N142" s="80"/>
    </row>
    <row r="143" spans="1:14" ht="18.75" customHeight="1" x14ac:dyDescent="0.55000000000000004">
      <c r="A143" s="28"/>
      <c r="B143" s="45"/>
      <c r="C143" s="49"/>
      <c r="D143" s="54"/>
      <c r="E143" s="42"/>
      <c r="F143" s="23"/>
      <c r="G143" s="23"/>
      <c r="H143" s="7"/>
      <c r="I143" s="47"/>
      <c r="J143" s="11"/>
      <c r="L143" s="40"/>
      <c r="M143" s="30"/>
    </row>
    <row r="144" spans="1:14" ht="18.75" customHeight="1" x14ac:dyDescent="0.55000000000000004">
      <c r="A144" s="28"/>
      <c r="B144" s="45"/>
      <c r="C144" s="49"/>
      <c r="D144" s="54"/>
      <c r="E144" s="63"/>
      <c r="F144" s="23"/>
      <c r="G144" s="23"/>
      <c r="H144" s="7"/>
      <c r="I144" s="47"/>
      <c r="J144" s="25"/>
      <c r="K144" s="40"/>
      <c r="L144" s="40"/>
      <c r="M144" s="228"/>
    </row>
    <row r="145" spans="1:14" ht="18.75" customHeight="1" x14ac:dyDescent="0.55000000000000004">
      <c r="A145" s="28"/>
      <c r="B145" s="45"/>
      <c r="C145" s="49"/>
      <c r="D145" s="54"/>
      <c r="E145" s="63"/>
      <c r="F145" s="23"/>
      <c r="G145" s="23"/>
      <c r="H145" s="7"/>
      <c r="I145" s="47"/>
      <c r="J145" s="11"/>
      <c r="L145" s="40"/>
      <c r="M145" s="228"/>
    </row>
    <row r="146" spans="1:14" ht="18.75" customHeight="1" x14ac:dyDescent="0.55000000000000004">
      <c r="A146" s="28"/>
      <c r="B146" s="45"/>
      <c r="C146" s="49"/>
      <c r="D146" s="54"/>
      <c r="E146" s="63"/>
      <c r="F146" s="23"/>
      <c r="G146" s="23"/>
      <c r="H146" s="7"/>
      <c r="I146" s="47"/>
      <c r="J146" s="11"/>
      <c r="L146" s="40"/>
      <c r="M146" s="228"/>
    </row>
    <row r="147" spans="1:14" ht="18.75" customHeight="1" x14ac:dyDescent="0.55000000000000004">
      <c r="A147" s="28"/>
      <c r="B147" s="45"/>
      <c r="C147" s="49"/>
      <c r="D147" s="54"/>
      <c r="E147" s="42"/>
      <c r="F147" s="23"/>
      <c r="G147" s="23"/>
      <c r="H147" s="7"/>
      <c r="I147" s="47"/>
      <c r="J147" s="11"/>
      <c r="L147" s="40"/>
      <c r="M147" s="227"/>
      <c r="N147" s="80"/>
    </row>
    <row r="148" spans="1:14" ht="18.75" customHeight="1" x14ac:dyDescent="0.55000000000000004">
      <c r="A148" s="28"/>
      <c r="B148" s="45"/>
      <c r="C148" s="49"/>
      <c r="D148" s="54"/>
      <c r="E148" s="42"/>
      <c r="F148" s="23"/>
      <c r="G148" s="23"/>
      <c r="H148" s="7"/>
      <c r="I148" s="47"/>
      <c r="J148" s="11"/>
      <c r="L148" s="40"/>
      <c r="M148" s="30"/>
    </row>
    <row r="149" spans="1:14" ht="18.75" customHeight="1" x14ac:dyDescent="0.55000000000000004">
      <c r="A149" s="28"/>
      <c r="B149" s="45"/>
      <c r="C149" s="49"/>
      <c r="D149" s="54"/>
      <c r="E149" s="63"/>
      <c r="F149" s="23"/>
      <c r="G149" s="23"/>
      <c r="H149" s="7"/>
      <c r="I149" s="47"/>
      <c r="J149" s="25"/>
      <c r="K149" s="40"/>
      <c r="L149" s="40"/>
      <c r="M149" s="228"/>
    </row>
    <row r="150" spans="1:14" ht="18.75" customHeight="1" x14ac:dyDescent="0.55000000000000004">
      <c r="A150" s="28"/>
      <c r="B150" s="45"/>
      <c r="C150" s="49"/>
      <c r="D150" s="54"/>
      <c r="E150" s="63"/>
      <c r="F150" s="23"/>
      <c r="G150" s="23"/>
      <c r="H150" s="7"/>
      <c r="I150" s="47"/>
      <c r="J150" s="11"/>
      <c r="L150" s="40"/>
      <c r="M150" s="228"/>
    </row>
    <row r="151" spans="1:14" ht="18.75" customHeight="1" x14ac:dyDescent="0.55000000000000004">
      <c r="A151" s="28"/>
      <c r="B151" s="45"/>
      <c r="C151" s="49"/>
      <c r="D151" s="54"/>
      <c r="E151" s="63"/>
      <c r="F151" s="23"/>
      <c r="G151" s="23"/>
      <c r="H151" s="7"/>
      <c r="I151" s="47"/>
      <c r="J151" s="11"/>
      <c r="L151" s="40"/>
      <c r="M151" s="228"/>
    </row>
    <row r="152" spans="1:14" ht="18.75" customHeight="1" x14ac:dyDescent="0.55000000000000004">
      <c r="A152" s="28"/>
      <c r="B152" s="45"/>
      <c r="C152" s="49"/>
      <c r="D152" s="54"/>
      <c r="E152" s="42"/>
      <c r="F152" s="23"/>
      <c r="G152" s="23"/>
      <c r="H152" s="7"/>
      <c r="I152" s="47"/>
      <c r="J152" s="11"/>
      <c r="L152" s="40"/>
      <c r="M152" s="227"/>
      <c r="N152" s="80"/>
    </row>
    <row r="153" spans="1:14" ht="18.75" customHeight="1" x14ac:dyDescent="0.55000000000000004">
      <c r="A153" s="28"/>
      <c r="B153" s="45"/>
      <c r="C153" s="49"/>
      <c r="D153" s="54"/>
      <c r="E153" s="42"/>
      <c r="F153" s="23"/>
      <c r="G153" s="23"/>
      <c r="H153" s="7"/>
      <c r="I153" s="47"/>
      <c r="J153" s="11"/>
      <c r="L153" s="40"/>
      <c r="M153" s="30"/>
    </row>
    <row r="154" spans="1:14" ht="18.75" customHeight="1" x14ac:dyDescent="0.55000000000000004">
      <c r="A154" s="28"/>
      <c r="B154" s="45"/>
      <c r="C154" s="49"/>
      <c r="D154" s="54"/>
      <c r="E154" s="63"/>
      <c r="F154" s="23"/>
      <c r="G154" s="23"/>
      <c r="H154" s="7"/>
      <c r="I154" s="47"/>
      <c r="J154" s="25"/>
      <c r="K154" s="40"/>
      <c r="L154" s="40"/>
      <c r="M154" s="228"/>
    </row>
    <row r="155" spans="1:14" ht="18.75" customHeight="1" x14ac:dyDescent="0.55000000000000004">
      <c r="A155" s="28"/>
      <c r="B155" s="45"/>
      <c r="C155" s="49"/>
      <c r="D155" s="54"/>
      <c r="E155" s="63"/>
      <c r="F155" s="23"/>
      <c r="G155" s="23"/>
      <c r="H155" s="7"/>
      <c r="I155" s="47"/>
      <c r="J155" s="11"/>
      <c r="L155" s="40"/>
      <c r="M155" s="228"/>
    </row>
    <row r="156" spans="1:14" ht="18.75" customHeight="1" x14ac:dyDescent="0.55000000000000004">
      <c r="A156" s="28"/>
      <c r="B156" s="45"/>
      <c r="C156" s="49"/>
      <c r="D156" s="54"/>
      <c r="E156" s="63"/>
      <c r="F156" s="23"/>
      <c r="G156" s="23"/>
      <c r="H156" s="7"/>
      <c r="I156" s="47"/>
      <c r="J156" s="11"/>
      <c r="L156" s="40"/>
      <c r="M156" s="228"/>
    </row>
    <row r="157" spans="1:14" ht="18.75" customHeight="1" x14ac:dyDescent="0.55000000000000004">
      <c r="A157" s="28"/>
      <c r="B157" s="45"/>
      <c r="C157" s="49"/>
      <c r="D157" s="54"/>
      <c r="E157" s="42"/>
      <c r="F157" s="23"/>
      <c r="G157" s="23"/>
      <c r="H157" s="7"/>
      <c r="I157" s="47"/>
      <c r="J157" s="11"/>
      <c r="L157" s="40"/>
      <c r="M157" s="227"/>
      <c r="N157" s="80"/>
    </row>
    <row r="158" spans="1:14" ht="18.75" customHeight="1" x14ac:dyDescent="0.55000000000000004">
      <c r="A158" s="28"/>
      <c r="B158" s="45"/>
      <c r="C158" s="49"/>
      <c r="D158" s="54"/>
      <c r="E158" s="42"/>
      <c r="F158" s="23"/>
      <c r="G158" s="23"/>
      <c r="H158" s="7"/>
      <c r="I158" s="47"/>
      <c r="J158" s="11"/>
      <c r="L158" s="40"/>
      <c r="M158" s="30"/>
    </row>
    <row r="159" spans="1:14" ht="18.75" customHeight="1" x14ac:dyDescent="0.55000000000000004">
      <c r="A159" s="28"/>
      <c r="B159" s="45"/>
      <c r="C159" s="49"/>
      <c r="D159" s="54"/>
      <c r="E159" s="63"/>
      <c r="F159" s="23"/>
      <c r="G159" s="23"/>
      <c r="H159" s="7"/>
      <c r="I159" s="47"/>
      <c r="J159" s="25"/>
      <c r="K159" s="40"/>
      <c r="L159" s="40"/>
      <c r="M159" s="228"/>
    </row>
    <row r="160" spans="1:14" ht="18.75" customHeight="1" x14ac:dyDescent="0.55000000000000004">
      <c r="A160" s="28"/>
      <c r="B160" s="45"/>
      <c r="C160" s="49"/>
      <c r="D160" s="54"/>
      <c r="E160" s="63"/>
      <c r="F160" s="23"/>
      <c r="G160" s="23"/>
      <c r="H160" s="7"/>
      <c r="I160" s="47"/>
      <c r="J160" s="11"/>
      <c r="L160" s="40"/>
      <c r="M160" s="228"/>
    </row>
    <row r="161" spans="1:14" ht="18.75" customHeight="1" x14ac:dyDescent="0.55000000000000004">
      <c r="A161" s="28"/>
      <c r="B161" s="45"/>
      <c r="C161" s="49"/>
      <c r="D161" s="54"/>
      <c r="E161" s="63"/>
      <c r="F161" s="23"/>
      <c r="G161" s="23"/>
      <c r="H161" s="7"/>
      <c r="I161" s="47"/>
      <c r="J161" s="11"/>
      <c r="L161" s="40"/>
      <c r="M161" s="228"/>
    </row>
    <row r="162" spans="1:14" ht="18.75" customHeight="1" x14ac:dyDescent="0.55000000000000004">
      <c r="A162" s="28"/>
      <c r="B162" s="45"/>
      <c r="C162" s="49"/>
      <c r="D162" s="54"/>
      <c r="E162" s="42"/>
      <c r="F162" s="23"/>
      <c r="G162" s="23"/>
      <c r="H162" s="7"/>
      <c r="I162" s="47"/>
      <c r="J162" s="11"/>
      <c r="L162" s="40"/>
      <c r="M162" s="227"/>
      <c r="N162" s="80"/>
    </row>
    <row r="163" spans="1:14" ht="18.75" customHeight="1" x14ac:dyDescent="0.55000000000000004">
      <c r="A163" s="28"/>
      <c r="B163" s="45"/>
      <c r="C163" s="49"/>
      <c r="D163" s="54"/>
      <c r="E163" s="42"/>
      <c r="F163" s="23"/>
      <c r="G163" s="23"/>
      <c r="H163" s="7"/>
      <c r="I163" s="47"/>
      <c r="J163" s="11"/>
      <c r="L163" s="40"/>
      <c r="M163" s="30"/>
    </row>
    <row r="164" spans="1:14" ht="18.75" customHeight="1" x14ac:dyDescent="0.55000000000000004">
      <c r="A164" s="28"/>
      <c r="B164" s="45"/>
      <c r="C164" s="49"/>
      <c r="D164" s="54"/>
      <c r="E164" s="63"/>
      <c r="F164" s="23"/>
      <c r="G164" s="23"/>
      <c r="H164" s="7"/>
      <c r="I164" s="47"/>
      <c r="J164" s="25"/>
      <c r="K164" s="40"/>
      <c r="L164" s="40"/>
      <c r="M164" s="228"/>
    </row>
    <row r="165" spans="1:14" ht="18.75" customHeight="1" x14ac:dyDescent="0.55000000000000004">
      <c r="A165" s="28"/>
      <c r="B165" s="45"/>
      <c r="C165" s="49"/>
      <c r="D165" s="54"/>
      <c r="E165" s="63"/>
      <c r="F165" s="23"/>
      <c r="G165" s="23"/>
      <c r="H165" s="7"/>
      <c r="I165" s="47"/>
      <c r="J165" s="11"/>
      <c r="L165" s="40"/>
      <c r="M165" s="228"/>
    </row>
    <row r="166" spans="1:14" ht="18.75" customHeight="1" x14ac:dyDescent="0.55000000000000004">
      <c r="A166" s="28"/>
      <c r="B166" s="45"/>
      <c r="C166" s="49"/>
      <c r="D166" s="54"/>
      <c r="E166" s="63"/>
      <c r="F166" s="23"/>
      <c r="G166" s="23"/>
      <c r="H166" s="7"/>
      <c r="I166" s="47"/>
      <c r="J166" s="11"/>
      <c r="L166" s="40"/>
      <c r="M166" s="228"/>
    </row>
    <row r="167" spans="1:14" ht="18.75" customHeight="1" x14ac:dyDescent="0.55000000000000004">
      <c r="A167" s="28"/>
      <c r="B167" s="45"/>
      <c r="C167" s="49"/>
      <c r="D167" s="54"/>
      <c r="E167" s="42"/>
      <c r="F167" s="23"/>
      <c r="G167" s="23"/>
      <c r="H167" s="7"/>
      <c r="I167" s="47"/>
      <c r="J167" s="11"/>
      <c r="L167" s="40"/>
      <c r="M167" s="227"/>
      <c r="N167" s="80"/>
    </row>
    <row r="168" spans="1:14" ht="18.75" customHeight="1" x14ac:dyDescent="0.55000000000000004">
      <c r="A168" s="28"/>
      <c r="B168" s="45"/>
      <c r="C168" s="49"/>
      <c r="D168" s="54"/>
      <c r="E168" s="42"/>
      <c r="F168" s="23"/>
      <c r="G168" s="23"/>
      <c r="H168" s="7"/>
      <c r="I168" s="47"/>
      <c r="J168" s="11"/>
      <c r="L168" s="40"/>
      <c r="M168" s="30"/>
    </row>
    <row r="169" spans="1:14" ht="18.75" customHeight="1" x14ac:dyDescent="0.55000000000000004">
      <c r="A169" s="28"/>
      <c r="B169" s="45"/>
      <c r="C169" s="49"/>
      <c r="D169" s="54"/>
      <c r="E169" s="63"/>
      <c r="F169" s="23"/>
      <c r="G169" s="23"/>
      <c r="H169" s="7"/>
      <c r="I169" s="47"/>
      <c r="J169" s="25"/>
      <c r="K169" s="40"/>
      <c r="L169" s="40"/>
      <c r="M169" s="228"/>
    </row>
    <row r="170" spans="1:14" ht="18.75" customHeight="1" x14ac:dyDescent="0.55000000000000004">
      <c r="A170" s="28"/>
      <c r="B170" s="45"/>
      <c r="C170" s="49"/>
      <c r="D170" s="54"/>
      <c r="E170" s="63"/>
      <c r="F170" s="23"/>
      <c r="G170" s="23"/>
      <c r="H170" s="7"/>
      <c r="I170" s="47"/>
      <c r="J170" s="11"/>
      <c r="L170" s="40"/>
      <c r="M170" s="228"/>
    </row>
    <row r="171" spans="1:14" ht="18.75" customHeight="1" x14ac:dyDescent="0.55000000000000004">
      <c r="A171" s="28"/>
      <c r="B171" s="45"/>
      <c r="C171" s="49"/>
      <c r="D171" s="54"/>
      <c r="E171" s="63"/>
      <c r="F171" s="23"/>
      <c r="G171" s="23"/>
      <c r="H171" s="7"/>
      <c r="I171" s="47"/>
      <c r="J171" s="11"/>
      <c r="L171" s="40"/>
      <c r="M171" s="228"/>
    </row>
    <row r="172" spans="1:14" ht="18.75" customHeight="1" x14ac:dyDescent="0.55000000000000004">
      <c r="A172" s="28"/>
      <c r="B172" s="45"/>
      <c r="C172" s="49"/>
      <c r="D172" s="54"/>
      <c r="E172" s="42"/>
      <c r="F172" s="23"/>
      <c r="G172" s="23"/>
      <c r="H172" s="7"/>
      <c r="I172" s="47"/>
      <c r="J172" s="11"/>
      <c r="L172" s="40"/>
      <c r="M172" s="227"/>
      <c r="N172" s="80"/>
    </row>
    <row r="173" spans="1:14" ht="18.75" customHeight="1" x14ac:dyDescent="0.55000000000000004">
      <c r="A173" s="28"/>
      <c r="B173" s="45"/>
      <c r="C173" s="49"/>
      <c r="D173" s="54"/>
      <c r="E173" s="42"/>
      <c r="F173" s="23"/>
      <c r="G173" s="23"/>
      <c r="H173" s="7"/>
      <c r="I173" s="47"/>
      <c r="J173" s="11"/>
      <c r="L173" s="40"/>
      <c r="M173" s="30"/>
    </row>
    <row r="174" spans="1:14" ht="18.75" customHeight="1" x14ac:dyDescent="0.55000000000000004">
      <c r="A174" s="28"/>
      <c r="B174" s="45"/>
      <c r="C174" s="49"/>
      <c r="D174" s="54"/>
      <c r="E174" s="63"/>
      <c r="F174" s="23"/>
      <c r="G174" s="23"/>
      <c r="H174" s="7"/>
      <c r="I174" s="47"/>
      <c r="J174" s="25"/>
      <c r="K174" s="40"/>
      <c r="L174" s="40"/>
      <c r="M174" s="228"/>
    </row>
    <row r="175" spans="1:14" ht="18.75" customHeight="1" x14ac:dyDescent="0.55000000000000004">
      <c r="A175" s="28"/>
      <c r="B175" s="45"/>
      <c r="C175" s="49"/>
      <c r="D175" s="54"/>
      <c r="E175" s="63"/>
      <c r="F175" s="23"/>
      <c r="G175" s="23"/>
      <c r="H175" s="7"/>
      <c r="I175" s="47"/>
      <c r="J175" s="11"/>
      <c r="L175" s="40"/>
      <c r="M175" s="228"/>
    </row>
    <row r="176" spans="1:14" ht="18.75" customHeight="1" x14ac:dyDescent="0.55000000000000004">
      <c r="A176" s="28"/>
      <c r="B176" s="45"/>
      <c r="C176" s="49"/>
      <c r="D176" s="54"/>
      <c r="E176" s="63"/>
      <c r="F176" s="23"/>
      <c r="G176" s="23"/>
      <c r="H176" s="7"/>
      <c r="I176" s="47"/>
      <c r="J176" s="11"/>
      <c r="L176" s="40"/>
      <c r="M176" s="228"/>
    </row>
    <row r="177" spans="1:14" ht="18.75" customHeight="1" x14ac:dyDescent="0.55000000000000004">
      <c r="A177" s="28"/>
      <c r="B177" s="45"/>
      <c r="C177" s="49"/>
      <c r="D177" s="54"/>
      <c r="E177" s="42"/>
      <c r="F177" s="23"/>
      <c r="G177" s="23"/>
      <c r="H177" s="7"/>
      <c r="I177" s="47"/>
      <c r="J177" s="11"/>
      <c r="L177" s="40"/>
      <c r="M177" s="227"/>
      <c r="N177" s="80"/>
    </row>
    <row r="178" spans="1:14" ht="18.75" customHeight="1" x14ac:dyDescent="0.55000000000000004">
      <c r="A178" s="28"/>
      <c r="B178" s="45"/>
      <c r="C178" s="49"/>
      <c r="D178" s="54"/>
      <c r="E178" s="42"/>
      <c r="F178" s="23"/>
      <c r="G178" s="23"/>
      <c r="H178" s="7"/>
      <c r="I178" s="47"/>
      <c r="J178" s="11"/>
      <c r="L178" s="40"/>
      <c r="M178" s="30"/>
    </row>
    <row r="179" spans="1:14" ht="18.75" customHeight="1" x14ac:dyDescent="0.55000000000000004">
      <c r="A179" s="28"/>
      <c r="B179" s="45"/>
      <c r="C179" s="49"/>
      <c r="D179" s="54"/>
      <c r="E179" s="63"/>
      <c r="F179" s="23"/>
      <c r="G179" s="23"/>
      <c r="H179" s="7"/>
      <c r="I179" s="47"/>
      <c r="J179" s="25"/>
      <c r="K179" s="40"/>
      <c r="L179" s="40"/>
      <c r="M179" s="228"/>
    </row>
    <row r="180" spans="1:14" ht="18.75" customHeight="1" x14ac:dyDescent="0.55000000000000004">
      <c r="A180" s="28"/>
      <c r="B180" s="45"/>
      <c r="C180" s="49"/>
      <c r="D180" s="54"/>
      <c r="E180" s="63"/>
      <c r="F180" s="23"/>
      <c r="G180" s="23"/>
      <c r="H180" s="7"/>
      <c r="I180" s="47"/>
      <c r="J180" s="11"/>
      <c r="L180" s="40"/>
      <c r="M180" s="228"/>
    </row>
    <row r="181" spans="1:14" ht="18.75" customHeight="1" x14ac:dyDescent="0.55000000000000004">
      <c r="A181" s="28"/>
      <c r="B181" s="45"/>
      <c r="C181" s="49"/>
      <c r="D181" s="54"/>
      <c r="E181" s="63"/>
      <c r="F181" s="23"/>
      <c r="G181" s="23"/>
      <c r="H181" s="7"/>
      <c r="I181" s="47"/>
      <c r="J181" s="11"/>
      <c r="L181" s="40"/>
      <c r="M181" s="228"/>
    </row>
    <row r="182" spans="1:14" ht="18.75" customHeight="1" x14ac:dyDescent="0.55000000000000004">
      <c r="A182" s="28"/>
      <c r="B182" s="45"/>
      <c r="C182" s="49"/>
      <c r="D182" s="54"/>
      <c r="E182" s="42"/>
      <c r="F182" s="23"/>
      <c r="G182" s="23"/>
      <c r="H182" s="7"/>
      <c r="I182" s="47"/>
      <c r="J182" s="11"/>
      <c r="L182" s="40"/>
      <c r="M182" s="227"/>
      <c r="N182" s="80"/>
    </row>
    <row r="183" spans="1:14" ht="18.75" customHeight="1" x14ac:dyDescent="0.55000000000000004">
      <c r="A183" s="28"/>
      <c r="B183" s="45"/>
      <c r="C183" s="49"/>
      <c r="D183" s="54"/>
      <c r="E183" s="42"/>
      <c r="F183" s="23"/>
      <c r="G183" s="23"/>
      <c r="H183" s="7"/>
      <c r="I183" s="47"/>
      <c r="J183" s="11"/>
      <c r="L183" s="40"/>
      <c r="M183" s="30"/>
    </row>
    <row r="184" spans="1:14" ht="18.75" customHeight="1" x14ac:dyDescent="0.55000000000000004">
      <c r="A184" s="28"/>
      <c r="B184" s="45"/>
      <c r="C184" s="49"/>
      <c r="D184" s="54"/>
      <c r="E184" s="63"/>
      <c r="F184" s="23"/>
      <c r="G184" s="23"/>
      <c r="H184" s="7"/>
      <c r="I184" s="47"/>
      <c r="J184" s="25"/>
      <c r="K184" s="40"/>
      <c r="L184" s="40"/>
      <c r="M184" s="228"/>
    </row>
    <row r="185" spans="1:14" ht="18.75" customHeight="1" x14ac:dyDescent="0.55000000000000004">
      <c r="A185" s="28"/>
      <c r="B185" s="45"/>
      <c r="C185" s="49"/>
      <c r="D185" s="54"/>
      <c r="E185" s="63"/>
      <c r="F185" s="23"/>
      <c r="G185" s="23"/>
      <c r="H185" s="7"/>
      <c r="I185" s="47"/>
      <c r="J185" s="11"/>
      <c r="L185" s="40"/>
      <c r="M185" s="228"/>
    </row>
    <row r="186" spans="1:14" ht="18.75" customHeight="1" x14ac:dyDescent="0.55000000000000004">
      <c r="A186" s="28"/>
      <c r="B186" s="45"/>
      <c r="C186" s="49"/>
      <c r="D186" s="54"/>
      <c r="E186" s="63"/>
      <c r="F186" s="23"/>
      <c r="G186" s="23"/>
      <c r="H186" s="7"/>
      <c r="I186" s="47"/>
      <c r="J186" s="11"/>
      <c r="L186" s="40"/>
      <c r="M186" s="228"/>
    </row>
    <row r="187" spans="1:14" ht="18.75" customHeight="1" x14ac:dyDescent="0.55000000000000004">
      <c r="A187" s="28"/>
      <c r="B187" s="45"/>
      <c r="C187" s="49"/>
      <c r="D187" s="54"/>
      <c r="E187" s="42"/>
      <c r="F187" s="23"/>
      <c r="G187" s="23"/>
      <c r="H187" s="7"/>
      <c r="I187" s="47"/>
      <c r="J187" s="11"/>
      <c r="L187" s="40"/>
      <c r="M187" s="227"/>
      <c r="N187" s="80"/>
    </row>
    <row r="188" spans="1:14" ht="18.75" customHeight="1" x14ac:dyDescent="0.55000000000000004">
      <c r="A188" s="28"/>
      <c r="B188" s="45"/>
      <c r="C188" s="49"/>
      <c r="D188" s="54"/>
      <c r="E188" s="42"/>
      <c r="F188" s="23"/>
      <c r="G188" s="23"/>
      <c r="H188" s="7"/>
      <c r="I188" s="47"/>
      <c r="J188" s="11"/>
      <c r="L188" s="40"/>
      <c r="M188" s="30"/>
    </row>
    <row r="189" spans="1:14" ht="18.75" customHeight="1" x14ac:dyDescent="0.55000000000000004">
      <c r="A189" s="28"/>
      <c r="B189" s="45"/>
      <c r="C189" s="49"/>
      <c r="D189" s="54"/>
      <c r="E189" s="63"/>
      <c r="F189" s="23"/>
      <c r="G189" s="23"/>
      <c r="H189" s="7"/>
      <c r="I189" s="47"/>
      <c r="J189" s="25"/>
      <c r="K189" s="40"/>
      <c r="L189" s="40"/>
      <c r="M189" s="228"/>
    </row>
    <row r="190" spans="1:14" ht="18.75" customHeight="1" x14ac:dyDescent="0.55000000000000004">
      <c r="A190" s="28"/>
      <c r="B190" s="45"/>
      <c r="C190" s="49"/>
      <c r="D190" s="54"/>
      <c r="E190" s="63"/>
      <c r="F190" s="23"/>
      <c r="G190" s="23"/>
      <c r="H190" s="7"/>
      <c r="I190" s="47"/>
      <c r="J190" s="11"/>
      <c r="L190" s="40"/>
      <c r="M190" s="228"/>
    </row>
    <row r="191" spans="1:14" ht="18.75" customHeight="1" x14ac:dyDescent="0.55000000000000004">
      <c r="A191" s="28"/>
      <c r="B191" s="45"/>
      <c r="C191" s="49"/>
      <c r="D191" s="54"/>
      <c r="E191" s="63"/>
      <c r="F191" s="23"/>
      <c r="G191" s="23"/>
      <c r="H191" s="7"/>
      <c r="I191" s="47"/>
      <c r="J191" s="11"/>
      <c r="L191" s="40"/>
      <c r="M191" s="228"/>
    </row>
    <row r="192" spans="1:14" ht="18.75" customHeight="1" x14ac:dyDescent="0.55000000000000004">
      <c r="A192" s="28"/>
      <c r="B192" s="45"/>
      <c r="C192" s="49"/>
      <c r="D192" s="54"/>
      <c r="E192" s="42"/>
      <c r="F192" s="23"/>
      <c r="G192" s="23"/>
      <c r="H192" s="7"/>
      <c r="I192" s="47"/>
      <c r="J192" s="11"/>
      <c r="L192" s="40"/>
      <c r="M192" s="227"/>
      <c r="N192" s="80"/>
    </row>
    <row r="193" spans="1:14" ht="18.75" customHeight="1" x14ac:dyDescent="0.55000000000000004">
      <c r="A193" s="28"/>
      <c r="B193" s="45"/>
      <c r="C193" s="49"/>
      <c r="D193" s="54"/>
      <c r="E193" s="63"/>
      <c r="F193" s="23"/>
      <c r="G193" s="23"/>
      <c r="H193" s="7"/>
      <c r="I193" s="47"/>
      <c r="J193" s="25"/>
      <c r="K193" s="40"/>
      <c r="L193" s="40"/>
      <c r="M193" s="228"/>
    </row>
    <row r="194" spans="1:14" ht="18.75" customHeight="1" x14ac:dyDescent="0.55000000000000004">
      <c r="A194" s="28"/>
      <c r="B194" s="45"/>
      <c r="C194" s="49"/>
      <c r="D194" s="54"/>
      <c r="E194" s="63"/>
      <c r="F194" s="23"/>
      <c r="G194" s="23"/>
      <c r="H194" s="7"/>
      <c r="I194" s="47"/>
      <c r="J194" s="11"/>
      <c r="L194" s="40"/>
      <c r="M194" s="228"/>
    </row>
    <row r="195" spans="1:14" ht="18.75" customHeight="1" x14ac:dyDescent="0.55000000000000004">
      <c r="A195" s="28"/>
      <c r="B195" s="45"/>
      <c r="C195" s="49"/>
      <c r="D195" s="54"/>
      <c r="E195" s="63"/>
      <c r="F195" s="23"/>
      <c r="G195" s="23"/>
      <c r="H195" s="7"/>
      <c r="I195" s="47"/>
      <c r="J195" s="11"/>
      <c r="L195" s="40"/>
      <c r="M195" s="228"/>
    </row>
    <row r="196" spans="1:14" ht="18.75" customHeight="1" x14ac:dyDescent="0.55000000000000004">
      <c r="A196" s="28"/>
      <c r="B196" s="45"/>
      <c r="C196" s="49"/>
      <c r="D196" s="54"/>
      <c r="E196" s="42"/>
      <c r="F196" s="23"/>
      <c r="G196" s="23"/>
      <c r="H196" s="7"/>
      <c r="I196" s="47"/>
      <c r="J196" s="11"/>
      <c r="L196" s="40"/>
      <c r="M196" s="227"/>
      <c r="N196" s="80"/>
    </row>
    <row r="197" spans="1:14" ht="18.75" customHeight="1" x14ac:dyDescent="0.55000000000000004">
      <c r="A197" s="28"/>
      <c r="B197" s="45"/>
      <c r="C197" s="49"/>
      <c r="D197" s="54"/>
      <c r="E197" s="42"/>
      <c r="F197" s="23"/>
      <c r="G197" s="23"/>
      <c r="H197" s="7"/>
      <c r="I197" s="47"/>
      <c r="J197" s="11"/>
      <c r="L197" s="40"/>
      <c r="M197" s="30"/>
    </row>
    <row r="198" spans="1:14" ht="18.75" customHeight="1" x14ac:dyDescent="0.55000000000000004">
      <c r="A198" s="28"/>
      <c r="B198" s="45"/>
      <c r="C198" s="49"/>
      <c r="D198" s="54"/>
      <c r="E198" s="63"/>
      <c r="F198" s="23"/>
      <c r="G198" s="23"/>
      <c r="H198" s="7"/>
      <c r="I198" s="47"/>
      <c r="J198" s="25"/>
      <c r="K198" s="40"/>
      <c r="L198" s="40"/>
      <c r="M198" s="228"/>
    </row>
    <row r="199" spans="1:14" ht="18.75" customHeight="1" x14ac:dyDescent="0.55000000000000004">
      <c r="A199" s="28"/>
      <c r="B199" s="45"/>
      <c r="C199" s="49"/>
      <c r="D199" s="54"/>
      <c r="E199" s="63"/>
      <c r="F199" s="23"/>
      <c r="G199" s="23"/>
      <c r="H199" s="7"/>
      <c r="I199" s="47"/>
      <c r="J199" s="11"/>
      <c r="L199" s="40"/>
      <c r="M199" s="228"/>
    </row>
    <row r="200" spans="1:14" ht="18.75" customHeight="1" x14ac:dyDescent="0.55000000000000004">
      <c r="A200" s="28"/>
      <c r="B200" s="45"/>
      <c r="C200" s="49"/>
      <c r="D200" s="54"/>
      <c r="E200" s="63"/>
      <c r="F200" s="23"/>
      <c r="G200" s="23"/>
      <c r="H200" s="7"/>
      <c r="I200" s="47"/>
      <c r="J200" s="11"/>
      <c r="L200" s="40"/>
      <c r="M200" s="228"/>
    </row>
    <row r="201" spans="1:14" ht="18.75" customHeight="1" x14ac:dyDescent="0.55000000000000004">
      <c r="A201" s="28"/>
      <c r="B201" s="45"/>
      <c r="C201" s="49"/>
      <c r="D201" s="54"/>
      <c r="E201" s="42"/>
      <c r="F201" s="23"/>
      <c r="G201" s="23"/>
      <c r="H201" s="7"/>
      <c r="I201" s="47"/>
      <c r="J201" s="11"/>
      <c r="L201" s="40"/>
      <c r="M201" s="227"/>
      <c r="N201" s="80"/>
    </row>
    <row r="202" spans="1:14" ht="18.75" customHeight="1" x14ac:dyDescent="0.55000000000000004">
      <c r="A202" s="28"/>
      <c r="B202" s="45"/>
      <c r="C202" s="49"/>
      <c r="D202" s="54"/>
      <c r="E202" s="42"/>
      <c r="F202" s="23"/>
      <c r="G202" s="23"/>
      <c r="H202" s="7"/>
      <c r="I202" s="47"/>
      <c r="J202" s="11"/>
      <c r="L202" s="40"/>
      <c r="M202" s="30"/>
    </row>
    <row r="203" spans="1:14" ht="18.75" customHeight="1" x14ac:dyDescent="0.55000000000000004">
      <c r="A203" s="28"/>
      <c r="B203" s="45"/>
      <c r="C203" s="49"/>
      <c r="D203" s="54"/>
      <c r="E203" s="63"/>
      <c r="F203" s="23"/>
      <c r="G203" s="23"/>
      <c r="H203" s="7"/>
      <c r="I203" s="47"/>
      <c r="J203" s="25"/>
      <c r="K203" s="40"/>
      <c r="L203" s="40"/>
      <c r="M203" s="228"/>
    </row>
    <row r="204" spans="1:14" ht="18.75" customHeight="1" x14ac:dyDescent="0.55000000000000004">
      <c r="A204" s="28"/>
      <c r="B204" s="45"/>
      <c r="C204" s="49"/>
      <c r="D204" s="54"/>
      <c r="E204" s="63"/>
      <c r="F204" s="23"/>
      <c r="G204" s="23"/>
      <c r="H204" s="7"/>
      <c r="I204" s="47"/>
      <c r="J204" s="11"/>
      <c r="L204" s="40"/>
      <c r="M204" s="228"/>
    </row>
    <row r="205" spans="1:14" ht="18.75" customHeight="1" x14ac:dyDescent="0.55000000000000004">
      <c r="A205" s="28"/>
      <c r="B205" s="45"/>
      <c r="C205" s="49"/>
      <c r="D205" s="54"/>
      <c r="E205" s="63"/>
      <c r="F205" s="23"/>
      <c r="G205" s="23"/>
      <c r="H205" s="7"/>
      <c r="I205" s="47"/>
      <c r="J205" s="11"/>
      <c r="L205" s="40"/>
      <c r="M205" s="228"/>
    </row>
    <row r="206" spans="1:14" ht="18.75" customHeight="1" x14ac:dyDescent="0.55000000000000004">
      <c r="A206" s="28"/>
      <c r="B206" s="45"/>
      <c r="C206" s="49"/>
      <c r="D206" s="54"/>
      <c r="E206" s="42"/>
      <c r="F206" s="23"/>
      <c r="G206" s="23"/>
      <c r="H206" s="7"/>
      <c r="I206" s="47"/>
      <c r="J206" s="11"/>
      <c r="L206" s="40"/>
      <c r="M206" s="227"/>
      <c r="N206" s="80"/>
    </row>
    <row r="207" spans="1:14" ht="18.75" customHeight="1" x14ac:dyDescent="0.55000000000000004">
      <c r="A207" s="28"/>
      <c r="B207" s="45"/>
      <c r="C207" s="49"/>
      <c r="D207" s="54"/>
      <c r="E207" s="42"/>
      <c r="F207" s="23"/>
      <c r="G207" s="23"/>
      <c r="H207" s="7"/>
      <c r="I207" s="47"/>
      <c r="J207" s="11"/>
      <c r="L207" s="40"/>
      <c r="M207" s="30"/>
    </row>
    <row r="208" spans="1:14" ht="18.75" customHeight="1" x14ac:dyDescent="0.55000000000000004">
      <c r="A208" s="28"/>
      <c r="B208" s="45"/>
      <c r="C208" s="49"/>
      <c r="D208" s="54"/>
      <c r="E208" s="63"/>
      <c r="F208" s="23"/>
      <c r="G208" s="23"/>
      <c r="H208" s="7"/>
      <c r="I208" s="47"/>
      <c r="J208" s="25"/>
      <c r="K208" s="40"/>
      <c r="L208" s="40"/>
      <c r="M208" s="228"/>
    </row>
    <row r="209" spans="1:14" ht="18.75" customHeight="1" x14ac:dyDescent="0.55000000000000004">
      <c r="A209" s="28"/>
      <c r="B209" s="45"/>
      <c r="C209" s="49"/>
      <c r="D209" s="54"/>
      <c r="E209" s="63"/>
      <c r="F209" s="23"/>
      <c r="G209" s="23"/>
      <c r="H209" s="7"/>
      <c r="I209" s="47"/>
      <c r="J209" s="11"/>
      <c r="L209" s="40"/>
      <c r="M209" s="228"/>
    </row>
    <row r="210" spans="1:14" ht="18.75" customHeight="1" x14ac:dyDescent="0.55000000000000004">
      <c r="A210" s="28"/>
      <c r="B210" s="45"/>
      <c r="C210" s="49"/>
      <c r="D210" s="54"/>
      <c r="E210" s="63"/>
      <c r="F210" s="23"/>
      <c r="G210" s="23"/>
      <c r="H210" s="7"/>
      <c r="I210" s="47"/>
      <c r="J210" s="11"/>
      <c r="L210" s="40"/>
      <c r="M210" s="228"/>
    </row>
    <row r="211" spans="1:14" ht="18.75" customHeight="1" x14ac:dyDescent="0.55000000000000004">
      <c r="A211" s="28"/>
      <c r="B211" s="45"/>
      <c r="C211" s="49"/>
      <c r="D211" s="54"/>
      <c r="E211" s="42"/>
      <c r="F211" s="23"/>
      <c r="G211" s="23"/>
      <c r="H211" s="7"/>
      <c r="I211" s="47"/>
      <c r="J211" s="11"/>
      <c r="L211" s="40"/>
      <c r="M211" s="227"/>
      <c r="N211" s="80"/>
    </row>
    <row r="212" spans="1:14" ht="18.75" customHeight="1" x14ac:dyDescent="0.55000000000000004">
      <c r="A212" s="28"/>
      <c r="B212" s="45"/>
      <c r="C212" s="49"/>
      <c r="D212" s="54"/>
      <c r="E212" s="42"/>
      <c r="F212" s="23"/>
      <c r="G212" s="23"/>
      <c r="H212" s="7"/>
      <c r="I212" s="47"/>
      <c r="J212" s="11"/>
      <c r="L212" s="40"/>
      <c r="M212" s="30"/>
    </row>
    <row r="213" spans="1:14" ht="18.75" customHeight="1" x14ac:dyDescent="0.55000000000000004">
      <c r="A213" s="28"/>
      <c r="B213" s="45"/>
      <c r="C213" s="49"/>
      <c r="D213" s="54"/>
      <c r="E213" s="63"/>
      <c r="F213" s="23"/>
      <c r="G213" s="23"/>
      <c r="H213" s="7"/>
      <c r="I213" s="47"/>
      <c r="J213" s="25"/>
      <c r="K213" s="40"/>
      <c r="L213" s="40"/>
      <c r="M213" s="228"/>
    </row>
    <row r="214" spans="1:14" ht="18.75" customHeight="1" x14ac:dyDescent="0.55000000000000004">
      <c r="A214" s="28"/>
      <c r="B214" s="45"/>
      <c r="C214" s="49"/>
      <c r="D214" s="54"/>
      <c r="E214" s="63"/>
      <c r="F214" s="23"/>
      <c r="G214" s="23"/>
      <c r="H214" s="7"/>
      <c r="I214" s="47"/>
      <c r="J214" s="11"/>
      <c r="L214" s="40"/>
      <c r="M214" s="228"/>
    </row>
    <row r="215" spans="1:14" ht="18.75" customHeight="1" x14ac:dyDescent="0.55000000000000004">
      <c r="A215" s="28"/>
      <c r="B215" s="45"/>
      <c r="C215" s="49"/>
      <c r="D215" s="54"/>
      <c r="E215" s="63"/>
      <c r="F215" s="23"/>
      <c r="G215" s="23"/>
      <c r="H215" s="7"/>
      <c r="I215" s="47"/>
      <c r="J215" s="11"/>
      <c r="L215" s="40"/>
      <c r="M215" s="228"/>
    </row>
    <row r="216" spans="1:14" ht="18.75" customHeight="1" x14ac:dyDescent="0.55000000000000004">
      <c r="A216" s="28"/>
      <c r="B216" s="45"/>
      <c r="C216" s="49"/>
      <c r="D216" s="54"/>
      <c r="E216" s="42"/>
      <c r="F216" s="23"/>
      <c r="G216" s="23"/>
      <c r="H216" s="7"/>
      <c r="I216" s="47"/>
      <c r="J216" s="11"/>
      <c r="L216" s="40"/>
      <c r="M216" s="227"/>
      <c r="N216" s="80"/>
    </row>
    <row r="217" spans="1:14" ht="18.75" customHeight="1" x14ac:dyDescent="0.55000000000000004">
      <c r="A217" s="28"/>
      <c r="B217" s="45"/>
      <c r="C217" s="49"/>
      <c r="D217" s="54"/>
      <c r="E217" s="42"/>
      <c r="F217" s="23"/>
      <c r="G217" s="23"/>
      <c r="H217" s="7"/>
      <c r="I217" s="47"/>
      <c r="J217" s="11"/>
      <c r="L217" s="40"/>
      <c r="M217" s="30"/>
    </row>
    <row r="218" spans="1:14" ht="18.75" customHeight="1" x14ac:dyDescent="0.55000000000000004">
      <c r="A218" s="28"/>
      <c r="B218" s="45"/>
      <c r="C218" s="49"/>
      <c r="D218" s="54"/>
      <c r="E218" s="63"/>
      <c r="F218" s="23"/>
      <c r="G218" s="23"/>
      <c r="H218" s="7"/>
      <c r="I218" s="47"/>
      <c r="J218" s="25"/>
      <c r="K218" s="40"/>
      <c r="L218" s="40"/>
      <c r="M218" s="228"/>
    </row>
    <row r="219" spans="1:14" ht="18.75" customHeight="1" x14ac:dyDescent="0.55000000000000004">
      <c r="A219" s="28"/>
      <c r="B219" s="45"/>
      <c r="C219" s="49"/>
      <c r="D219" s="54"/>
      <c r="E219" s="63"/>
      <c r="F219" s="23"/>
      <c r="G219" s="23"/>
      <c r="H219" s="7"/>
      <c r="I219" s="47"/>
      <c r="J219" s="11"/>
      <c r="L219" s="40"/>
      <c r="M219" s="228"/>
    </row>
    <row r="220" spans="1:14" ht="18.75" customHeight="1" x14ac:dyDescent="0.55000000000000004">
      <c r="A220" s="28"/>
      <c r="B220" s="45"/>
      <c r="C220" s="49"/>
      <c r="D220" s="54"/>
      <c r="E220" s="63"/>
      <c r="F220" s="23"/>
      <c r="G220" s="23"/>
      <c r="H220" s="7"/>
      <c r="I220" s="47"/>
      <c r="J220" s="11"/>
      <c r="L220" s="40"/>
      <c r="M220" s="228"/>
    </row>
    <row r="221" spans="1:14" ht="18.75" customHeight="1" x14ac:dyDescent="0.55000000000000004">
      <c r="A221" s="28"/>
      <c r="B221" s="45"/>
      <c r="C221" s="49"/>
      <c r="D221" s="54"/>
      <c r="E221" s="42"/>
      <c r="F221" s="23"/>
      <c r="G221" s="23"/>
      <c r="H221" s="7"/>
      <c r="I221" s="47"/>
      <c r="J221" s="11"/>
      <c r="L221" s="40"/>
      <c r="M221" s="227"/>
      <c r="N221" s="80"/>
    </row>
    <row r="222" spans="1:14" ht="18.75" customHeight="1" x14ac:dyDescent="0.55000000000000004">
      <c r="A222" s="28"/>
      <c r="B222" s="45"/>
      <c r="C222" s="49"/>
      <c r="D222" s="54"/>
      <c r="E222" s="42"/>
      <c r="F222" s="23"/>
      <c r="G222" s="23"/>
      <c r="H222" s="7"/>
      <c r="I222" s="47"/>
      <c r="J222" s="11"/>
      <c r="L222" s="40"/>
      <c r="M222" s="30"/>
    </row>
    <row r="223" spans="1:14" ht="18.75" customHeight="1" x14ac:dyDescent="0.55000000000000004">
      <c r="A223" s="28"/>
      <c r="B223" s="45"/>
      <c r="C223" s="49"/>
      <c r="D223" s="54"/>
      <c r="E223" s="63"/>
      <c r="F223" s="23"/>
      <c r="G223" s="23"/>
      <c r="H223" s="7"/>
      <c r="I223" s="47"/>
      <c r="J223" s="25"/>
      <c r="K223" s="40"/>
      <c r="L223" s="40"/>
      <c r="M223" s="228"/>
    </row>
    <row r="224" spans="1:14" ht="18.75" customHeight="1" x14ac:dyDescent="0.55000000000000004">
      <c r="A224" s="28"/>
      <c r="B224" s="45"/>
      <c r="C224" s="49"/>
      <c r="D224" s="54"/>
      <c r="E224" s="63"/>
      <c r="F224" s="23"/>
      <c r="G224" s="23"/>
      <c r="H224" s="7"/>
      <c r="I224" s="47"/>
      <c r="J224" s="11"/>
      <c r="L224" s="40"/>
      <c r="M224" s="228"/>
    </row>
    <row r="225" spans="1:14" ht="18.75" customHeight="1" x14ac:dyDescent="0.55000000000000004">
      <c r="A225" s="28"/>
      <c r="B225" s="45"/>
      <c r="C225" s="49"/>
      <c r="D225" s="54"/>
      <c r="E225" s="63"/>
      <c r="F225" s="23"/>
      <c r="G225" s="23"/>
      <c r="H225" s="7"/>
      <c r="I225" s="47"/>
      <c r="J225" s="11"/>
      <c r="L225" s="40"/>
      <c r="M225" s="228"/>
    </row>
    <row r="226" spans="1:14" ht="18.75" customHeight="1" x14ac:dyDescent="0.55000000000000004">
      <c r="A226" s="28"/>
      <c r="B226" s="45"/>
      <c r="C226" s="49"/>
      <c r="D226" s="54"/>
      <c r="E226" s="42"/>
      <c r="F226" s="23"/>
      <c r="G226" s="23"/>
      <c r="H226" s="7"/>
      <c r="I226" s="47"/>
      <c r="J226" s="11"/>
      <c r="L226" s="40"/>
      <c r="M226" s="227"/>
      <c r="N226" s="80"/>
    </row>
    <row r="227" spans="1:14" ht="18.75" customHeight="1" x14ac:dyDescent="0.55000000000000004">
      <c r="A227" s="28"/>
      <c r="B227" s="45"/>
      <c r="C227" s="49"/>
      <c r="D227" s="54"/>
      <c r="E227" s="42"/>
      <c r="F227" s="23"/>
      <c r="G227" s="23"/>
      <c r="H227" s="7"/>
      <c r="I227" s="47"/>
      <c r="J227" s="11"/>
      <c r="L227" s="40"/>
      <c r="M227" s="30"/>
    </row>
    <row r="228" spans="1:14" ht="18.75" customHeight="1" x14ac:dyDescent="0.55000000000000004">
      <c r="A228" s="28"/>
      <c r="B228" s="45"/>
      <c r="C228" s="49"/>
      <c r="D228" s="54"/>
      <c r="E228" s="63"/>
      <c r="F228" s="23"/>
      <c r="G228" s="23"/>
      <c r="H228" s="7"/>
      <c r="I228" s="47"/>
      <c r="J228" s="25"/>
      <c r="K228" s="40"/>
      <c r="L228" s="40"/>
      <c r="M228" s="228"/>
    </row>
    <row r="229" spans="1:14" ht="18.75" customHeight="1" x14ac:dyDescent="0.55000000000000004">
      <c r="A229" s="28"/>
      <c r="B229" s="45"/>
      <c r="C229" s="49"/>
      <c r="D229" s="54"/>
      <c r="E229" s="63"/>
      <c r="F229" s="23"/>
      <c r="G229" s="23"/>
      <c r="H229" s="7"/>
      <c r="I229" s="47"/>
      <c r="J229" s="11"/>
      <c r="L229" s="40"/>
      <c r="M229" s="228"/>
    </row>
    <row r="230" spans="1:14" ht="18.75" customHeight="1" x14ac:dyDescent="0.55000000000000004">
      <c r="A230" s="28"/>
      <c r="B230" s="45"/>
      <c r="C230" s="49"/>
      <c r="D230" s="54"/>
      <c r="E230" s="63"/>
      <c r="F230" s="23"/>
      <c r="G230" s="23"/>
      <c r="H230" s="7"/>
      <c r="I230" s="47"/>
      <c r="J230" s="11"/>
      <c r="L230" s="40"/>
      <c r="M230" s="228"/>
    </row>
    <row r="231" spans="1:14" ht="18.75" customHeight="1" x14ac:dyDescent="0.55000000000000004">
      <c r="A231" s="28"/>
      <c r="B231" s="45"/>
      <c r="C231" s="49"/>
      <c r="D231" s="54"/>
      <c r="E231" s="42"/>
      <c r="F231" s="23"/>
      <c r="G231" s="23"/>
      <c r="H231" s="7"/>
      <c r="I231" s="47"/>
      <c r="J231" s="11"/>
      <c r="L231" s="40"/>
      <c r="M231" s="227"/>
      <c r="N231" s="80"/>
    </row>
    <row r="232" spans="1:14" ht="18.75" customHeight="1" x14ac:dyDescent="0.55000000000000004">
      <c r="A232" s="28"/>
      <c r="B232" s="45"/>
      <c r="C232" s="49"/>
      <c r="D232" s="54"/>
      <c r="E232" s="42"/>
      <c r="F232" s="23"/>
      <c r="G232" s="23"/>
      <c r="H232" s="7"/>
      <c r="I232" s="47"/>
      <c r="J232" s="11"/>
      <c r="L232" s="40"/>
      <c r="M232" s="30"/>
    </row>
    <row r="233" spans="1:14" ht="18.75" customHeight="1" x14ac:dyDescent="0.55000000000000004">
      <c r="A233" s="28"/>
      <c r="B233" s="45"/>
      <c r="C233" s="49"/>
      <c r="D233" s="54"/>
      <c r="E233" s="63"/>
      <c r="F233" s="23"/>
      <c r="G233" s="23"/>
      <c r="H233" s="7"/>
      <c r="I233" s="47"/>
      <c r="J233" s="25"/>
      <c r="K233" s="40"/>
      <c r="L233" s="40"/>
      <c r="M233" s="228"/>
    </row>
    <row r="234" spans="1:14" ht="18.75" customHeight="1" x14ac:dyDescent="0.55000000000000004">
      <c r="A234" s="28"/>
      <c r="B234" s="45"/>
      <c r="C234" s="49"/>
      <c r="D234" s="54"/>
      <c r="E234" s="63"/>
      <c r="F234" s="23"/>
      <c r="G234" s="23"/>
      <c r="H234" s="7"/>
      <c r="I234" s="47"/>
      <c r="J234" s="11"/>
      <c r="L234" s="40"/>
      <c r="M234" s="228"/>
    </row>
    <row r="235" spans="1:14" ht="18.75" customHeight="1" x14ac:dyDescent="0.55000000000000004">
      <c r="A235" s="28"/>
      <c r="B235" s="45"/>
      <c r="C235" s="49"/>
      <c r="D235" s="54"/>
      <c r="E235" s="63"/>
      <c r="F235" s="23"/>
      <c r="G235" s="23"/>
      <c r="H235" s="7"/>
      <c r="I235" s="47"/>
      <c r="J235" s="11"/>
      <c r="L235" s="40"/>
      <c r="M235" s="228"/>
    </row>
    <row r="236" spans="1:14" ht="18.75" customHeight="1" x14ac:dyDescent="0.55000000000000004">
      <c r="A236" s="28"/>
      <c r="B236" s="45"/>
      <c r="C236" s="49"/>
      <c r="D236" s="54"/>
      <c r="E236" s="42"/>
      <c r="F236" s="23"/>
      <c r="G236" s="23"/>
      <c r="H236" s="7"/>
      <c r="I236" s="47"/>
      <c r="J236" s="11"/>
      <c r="L236" s="40"/>
      <c r="M236" s="227"/>
      <c r="N236" s="80"/>
    </row>
    <row r="237" spans="1:14" ht="18.75" customHeight="1" x14ac:dyDescent="0.55000000000000004">
      <c r="A237" s="28"/>
      <c r="B237" s="45"/>
      <c r="C237" s="49"/>
      <c r="D237" s="54"/>
      <c r="E237" s="42"/>
      <c r="F237" s="23"/>
      <c r="G237" s="23"/>
      <c r="H237" s="7"/>
      <c r="I237" s="47"/>
      <c r="J237" s="11"/>
      <c r="L237" s="40"/>
      <c r="M237" s="30"/>
    </row>
    <row r="238" spans="1:14" ht="18.75" customHeight="1" x14ac:dyDescent="0.55000000000000004">
      <c r="A238" s="28"/>
      <c r="B238" s="45"/>
      <c r="C238" s="49"/>
      <c r="D238" s="54"/>
      <c r="E238" s="63"/>
      <c r="F238" s="23"/>
      <c r="G238" s="23"/>
      <c r="H238" s="7"/>
      <c r="I238" s="47"/>
      <c r="J238" s="25"/>
      <c r="K238" s="40"/>
      <c r="L238" s="40"/>
      <c r="M238" s="228"/>
    </row>
    <row r="239" spans="1:14" ht="18.75" customHeight="1" x14ac:dyDescent="0.55000000000000004">
      <c r="A239" s="28"/>
      <c r="B239" s="45"/>
      <c r="C239" s="49"/>
      <c r="D239" s="54"/>
      <c r="E239" s="63"/>
      <c r="F239" s="23"/>
      <c r="G239" s="23"/>
      <c r="H239" s="7"/>
      <c r="I239" s="47"/>
      <c r="J239" s="11"/>
      <c r="L239" s="40"/>
      <c r="M239" s="228"/>
    </row>
    <row r="240" spans="1:14" ht="18.75" customHeight="1" x14ac:dyDescent="0.55000000000000004">
      <c r="A240" s="28"/>
      <c r="B240" s="45"/>
      <c r="C240" s="49"/>
      <c r="D240" s="54"/>
      <c r="E240" s="63"/>
      <c r="F240" s="23"/>
      <c r="G240" s="23"/>
      <c r="H240" s="7"/>
      <c r="I240" s="47"/>
      <c r="J240" s="11"/>
      <c r="L240" s="40"/>
      <c r="M240" s="228"/>
    </row>
    <row r="241" spans="1:14" ht="18.75" customHeight="1" x14ac:dyDescent="0.55000000000000004">
      <c r="A241" s="28"/>
      <c r="B241" s="45"/>
      <c r="C241" s="49"/>
      <c r="D241" s="54"/>
      <c r="E241" s="42"/>
      <c r="F241" s="23"/>
      <c r="G241" s="23"/>
      <c r="H241" s="7"/>
      <c r="I241" s="47"/>
      <c r="J241" s="11"/>
      <c r="L241" s="40"/>
      <c r="M241" s="227"/>
      <c r="N241" s="80"/>
    </row>
    <row r="242" spans="1:14" ht="18.75" customHeight="1" x14ac:dyDescent="0.55000000000000004">
      <c r="A242" s="28"/>
      <c r="B242" s="45"/>
      <c r="C242" s="49"/>
      <c r="D242" s="54"/>
      <c r="E242" s="42"/>
      <c r="F242" s="23"/>
      <c r="G242" s="23"/>
      <c r="H242" s="7"/>
      <c r="I242" s="47"/>
      <c r="J242" s="11"/>
      <c r="L242" s="40"/>
      <c r="M242" s="30"/>
    </row>
    <row r="243" spans="1:14" ht="18.75" customHeight="1" x14ac:dyDescent="0.55000000000000004">
      <c r="A243" s="28"/>
      <c r="B243" s="45"/>
      <c r="C243" s="49"/>
      <c r="D243" s="54"/>
      <c r="E243" s="63"/>
      <c r="F243" s="23"/>
      <c r="G243" s="23"/>
      <c r="H243" s="7"/>
      <c r="I243" s="47"/>
      <c r="J243" s="25"/>
      <c r="K243" s="40"/>
      <c r="L243" s="40"/>
      <c r="M243" s="228"/>
    </row>
    <row r="244" spans="1:14" ht="18.75" customHeight="1" x14ac:dyDescent="0.55000000000000004">
      <c r="A244" s="28"/>
      <c r="B244" s="45"/>
      <c r="C244" s="49"/>
      <c r="D244" s="54"/>
      <c r="E244" s="63"/>
      <c r="F244" s="23"/>
      <c r="G244" s="23"/>
      <c r="H244" s="7"/>
      <c r="I244" s="47"/>
      <c r="J244" s="11"/>
      <c r="L244" s="40"/>
      <c r="M244" s="228"/>
    </row>
    <row r="245" spans="1:14" ht="18.75" customHeight="1" x14ac:dyDescent="0.55000000000000004">
      <c r="A245" s="28"/>
      <c r="B245" s="45"/>
      <c r="C245" s="49"/>
      <c r="D245" s="54"/>
      <c r="E245" s="63"/>
      <c r="F245" s="23"/>
      <c r="G245" s="23"/>
      <c r="H245" s="7"/>
      <c r="I245" s="47"/>
      <c r="J245" s="11"/>
      <c r="L245" s="40"/>
      <c r="M245" s="228"/>
    </row>
    <row r="246" spans="1:14" ht="18.75" customHeight="1" x14ac:dyDescent="0.55000000000000004">
      <c r="A246" s="28"/>
      <c r="B246" s="45"/>
      <c r="C246" s="49"/>
      <c r="D246" s="54"/>
      <c r="E246" s="42"/>
      <c r="F246" s="23"/>
      <c r="G246" s="23"/>
      <c r="H246" s="7"/>
      <c r="I246" s="47"/>
      <c r="J246" s="11"/>
      <c r="L246" s="40"/>
      <c r="M246" s="227"/>
      <c r="N246" s="80"/>
    </row>
    <row r="247" spans="1:14" ht="18.75" customHeight="1" x14ac:dyDescent="0.55000000000000004">
      <c r="A247" s="28"/>
      <c r="B247" s="45"/>
      <c r="C247" s="49"/>
      <c r="D247" s="54"/>
      <c r="E247" s="42"/>
      <c r="F247" s="23"/>
      <c r="G247" s="23"/>
      <c r="H247" s="7"/>
      <c r="I247" s="47"/>
      <c r="J247" s="11"/>
      <c r="L247" s="40"/>
      <c r="M247" s="30"/>
    </row>
    <row r="248" spans="1:14" ht="18.75" customHeight="1" x14ac:dyDescent="0.55000000000000004">
      <c r="A248" s="28"/>
      <c r="B248" s="45"/>
      <c r="C248" s="49"/>
      <c r="D248" s="54"/>
      <c r="E248" s="63"/>
      <c r="F248" s="23"/>
      <c r="G248" s="23"/>
      <c r="H248" s="7"/>
      <c r="I248" s="47"/>
      <c r="J248" s="25"/>
      <c r="K248" s="40"/>
      <c r="L248" s="40"/>
      <c r="M248" s="228"/>
    </row>
    <row r="249" spans="1:14" ht="18.75" customHeight="1" x14ac:dyDescent="0.55000000000000004">
      <c r="A249" s="28"/>
      <c r="B249" s="45"/>
      <c r="C249" s="49"/>
      <c r="D249" s="54"/>
      <c r="E249" s="63"/>
      <c r="F249" s="23"/>
      <c r="G249" s="23"/>
      <c r="H249" s="7"/>
      <c r="I249" s="47"/>
      <c r="J249" s="11"/>
      <c r="L249" s="40"/>
      <c r="M249" s="228"/>
    </row>
    <row r="250" spans="1:14" ht="18.75" customHeight="1" x14ac:dyDescent="0.55000000000000004">
      <c r="A250" s="28"/>
      <c r="B250" s="45"/>
      <c r="C250" s="49"/>
      <c r="D250" s="54"/>
      <c r="E250" s="63"/>
      <c r="F250" s="23"/>
      <c r="G250" s="23"/>
      <c r="H250" s="7"/>
      <c r="I250" s="47"/>
      <c r="J250" s="11"/>
      <c r="L250" s="40"/>
      <c r="M250" s="228"/>
    </row>
    <row r="251" spans="1:14" ht="18.75" customHeight="1" x14ac:dyDescent="0.55000000000000004">
      <c r="A251" s="28"/>
      <c r="B251" s="45"/>
      <c r="C251" s="49"/>
      <c r="D251" s="54"/>
      <c r="E251" s="42"/>
      <c r="F251" s="23"/>
      <c r="G251" s="23"/>
      <c r="H251" s="7"/>
      <c r="I251" s="47"/>
      <c r="J251" s="11"/>
      <c r="L251" s="40"/>
      <c r="M251" s="227"/>
      <c r="N251" s="80"/>
    </row>
    <row r="252" spans="1:14" ht="18.75" customHeight="1" x14ac:dyDescent="0.55000000000000004">
      <c r="A252" s="28"/>
      <c r="B252" s="45"/>
      <c r="C252" s="49"/>
      <c r="D252" s="54"/>
      <c r="E252" s="42"/>
      <c r="F252" s="23"/>
      <c r="G252" s="23"/>
      <c r="H252" s="7"/>
      <c r="I252" s="47"/>
      <c r="J252" s="11"/>
      <c r="L252" s="40"/>
      <c r="M252" s="30"/>
    </row>
    <row r="253" spans="1:14" ht="18.75" customHeight="1" x14ac:dyDescent="0.55000000000000004">
      <c r="A253" s="28"/>
      <c r="B253" s="45"/>
      <c r="C253" s="49"/>
      <c r="D253" s="54"/>
      <c r="E253" s="63"/>
      <c r="F253" s="23"/>
      <c r="G253" s="23"/>
      <c r="H253" s="7"/>
      <c r="I253" s="47"/>
      <c r="J253" s="25"/>
      <c r="K253" s="40"/>
      <c r="L253" s="40"/>
      <c r="M253" s="228"/>
    </row>
    <row r="254" spans="1:14" ht="18.75" customHeight="1" x14ac:dyDescent="0.55000000000000004">
      <c r="A254" s="28"/>
      <c r="B254" s="45"/>
      <c r="C254" s="49"/>
      <c r="D254" s="54"/>
      <c r="E254" s="63"/>
      <c r="F254" s="23"/>
      <c r="G254" s="23"/>
      <c r="H254" s="7"/>
      <c r="I254" s="47"/>
      <c r="J254" s="11"/>
      <c r="L254" s="40"/>
      <c r="M254" s="228"/>
    </row>
    <row r="255" spans="1:14" ht="18.75" customHeight="1" x14ac:dyDescent="0.55000000000000004">
      <c r="A255" s="28"/>
      <c r="B255" s="45"/>
      <c r="C255" s="49"/>
      <c r="D255" s="54"/>
      <c r="E255" s="63"/>
      <c r="F255" s="23"/>
      <c r="G255" s="23"/>
      <c r="H255" s="7"/>
      <c r="I255" s="47"/>
      <c r="J255" s="11"/>
      <c r="L255" s="40"/>
      <c r="M255" s="228"/>
    </row>
    <row r="256" spans="1:14" ht="18.75" customHeight="1" x14ac:dyDescent="0.55000000000000004">
      <c r="A256" s="28"/>
      <c r="B256" s="45"/>
      <c r="C256" s="49"/>
      <c r="D256" s="54"/>
      <c r="E256" s="42"/>
      <c r="F256" s="23"/>
      <c r="G256" s="23"/>
      <c r="H256" s="7"/>
      <c r="I256" s="47"/>
      <c r="J256" s="11"/>
      <c r="L256" s="40"/>
      <c r="M256" s="227"/>
      <c r="N256" s="80"/>
    </row>
    <row r="257" spans="1:14" ht="18.75" customHeight="1" x14ac:dyDescent="0.55000000000000004">
      <c r="A257" s="28"/>
      <c r="B257" s="45"/>
      <c r="C257" s="49"/>
      <c r="D257" s="54"/>
      <c r="E257" s="42"/>
      <c r="F257" s="23"/>
      <c r="G257" s="23"/>
      <c r="H257" s="7"/>
      <c r="I257" s="47"/>
      <c r="J257" s="11"/>
      <c r="L257" s="40"/>
      <c r="M257" s="30"/>
    </row>
    <row r="258" spans="1:14" ht="18.75" customHeight="1" x14ac:dyDescent="0.55000000000000004">
      <c r="A258" s="28"/>
      <c r="B258" s="45"/>
      <c r="C258" s="49"/>
      <c r="D258" s="54"/>
      <c r="E258" s="63"/>
      <c r="F258" s="23"/>
      <c r="G258" s="23"/>
      <c r="H258" s="7"/>
      <c r="I258" s="47"/>
      <c r="J258" s="25"/>
      <c r="K258" s="40"/>
      <c r="L258" s="40"/>
      <c r="M258" s="228"/>
    </row>
    <row r="259" spans="1:14" ht="18.75" customHeight="1" x14ac:dyDescent="0.55000000000000004">
      <c r="A259" s="28"/>
      <c r="B259" s="45"/>
      <c r="C259" s="49"/>
      <c r="D259" s="54"/>
      <c r="E259" s="63"/>
      <c r="F259" s="23"/>
      <c r="G259" s="23"/>
      <c r="H259" s="7"/>
      <c r="I259" s="47"/>
      <c r="J259" s="11"/>
      <c r="L259" s="40"/>
      <c r="M259" s="228"/>
    </row>
    <row r="260" spans="1:14" ht="18.75" customHeight="1" x14ac:dyDescent="0.55000000000000004">
      <c r="A260" s="28"/>
      <c r="B260" s="45"/>
      <c r="C260" s="49"/>
      <c r="D260" s="54"/>
      <c r="E260" s="63"/>
      <c r="F260" s="23"/>
      <c r="G260" s="23"/>
      <c r="H260" s="7"/>
      <c r="I260" s="47"/>
      <c r="J260" s="11"/>
      <c r="L260" s="40"/>
      <c r="M260" s="228"/>
    </row>
    <row r="261" spans="1:14" ht="18.75" customHeight="1" x14ac:dyDescent="0.55000000000000004">
      <c r="A261" s="28"/>
      <c r="B261" s="45"/>
      <c r="C261" s="49"/>
      <c r="D261" s="54"/>
      <c r="E261" s="42"/>
      <c r="F261" s="23"/>
      <c r="G261" s="23"/>
      <c r="H261" s="7"/>
      <c r="I261" s="47"/>
      <c r="J261" s="11"/>
      <c r="L261" s="40"/>
      <c r="M261" s="227"/>
      <c r="N261" s="80"/>
    </row>
    <row r="262" spans="1:14" ht="18.75" customHeight="1" x14ac:dyDescent="0.55000000000000004">
      <c r="A262" s="28"/>
      <c r="B262" s="45"/>
      <c r="C262" s="49"/>
      <c r="D262" s="54"/>
      <c r="E262" s="42"/>
      <c r="F262" s="23"/>
      <c r="G262" s="23"/>
      <c r="H262" s="7"/>
      <c r="I262" s="47"/>
      <c r="J262" s="11"/>
      <c r="L262" s="40"/>
      <c r="M262" s="30"/>
    </row>
    <row r="263" spans="1:14" ht="18.75" customHeight="1" x14ac:dyDescent="0.55000000000000004">
      <c r="A263" s="28"/>
      <c r="B263" s="45"/>
      <c r="C263" s="49"/>
      <c r="D263" s="54"/>
      <c r="E263" s="63"/>
      <c r="F263" s="23"/>
      <c r="G263" s="23"/>
      <c r="H263" s="7"/>
      <c r="I263" s="47"/>
      <c r="J263" s="25"/>
      <c r="K263" s="40"/>
      <c r="L263" s="40"/>
      <c r="M263" s="228"/>
    </row>
    <row r="264" spans="1:14" ht="18.75" customHeight="1" x14ac:dyDescent="0.55000000000000004">
      <c r="A264" s="28"/>
      <c r="B264" s="45"/>
      <c r="C264" s="49"/>
      <c r="D264" s="54"/>
      <c r="E264" s="63"/>
      <c r="F264" s="23"/>
      <c r="G264" s="23"/>
      <c r="H264" s="7"/>
      <c r="I264" s="47"/>
      <c r="J264" s="11"/>
      <c r="L264" s="40"/>
      <c r="M264" s="228"/>
    </row>
    <row r="265" spans="1:14" ht="18.75" customHeight="1" x14ac:dyDescent="0.55000000000000004">
      <c r="A265" s="28"/>
      <c r="B265" s="45"/>
      <c r="C265" s="49"/>
      <c r="D265" s="54"/>
      <c r="E265" s="63"/>
      <c r="F265" s="23"/>
      <c r="G265" s="23"/>
      <c r="H265" s="7"/>
      <c r="I265" s="47"/>
      <c r="J265" s="11"/>
      <c r="L265" s="40"/>
      <c r="M265" s="228"/>
    </row>
    <row r="266" spans="1:14" ht="18.75" customHeight="1" x14ac:dyDescent="0.55000000000000004">
      <c r="A266" s="28"/>
      <c r="B266" s="45"/>
      <c r="C266" s="49"/>
      <c r="D266" s="54"/>
      <c r="E266" s="42"/>
      <c r="F266" s="23"/>
      <c r="G266" s="23"/>
      <c r="H266" s="7"/>
      <c r="I266" s="47"/>
      <c r="J266" s="11"/>
      <c r="L266" s="40"/>
      <c r="M266" s="227"/>
      <c r="N266" s="80"/>
    </row>
    <row r="267" spans="1:14" ht="18.75" customHeight="1" x14ac:dyDescent="0.55000000000000004">
      <c r="A267" s="28"/>
      <c r="B267" s="45"/>
      <c r="C267" s="49"/>
      <c r="D267" s="54"/>
      <c r="E267" s="42"/>
      <c r="F267" s="23"/>
      <c r="G267" s="23"/>
      <c r="H267" s="7"/>
      <c r="I267" s="47"/>
      <c r="J267" s="11"/>
      <c r="L267" s="40"/>
      <c r="M267" s="30"/>
    </row>
    <row r="268" spans="1:14" ht="18.75" customHeight="1" x14ac:dyDescent="0.55000000000000004">
      <c r="A268" s="28"/>
      <c r="B268" s="45"/>
      <c r="C268" s="49"/>
      <c r="D268" s="54"/>
      <c r="E268" s="63"/>
      <c r="F268" s="23"/>
      <c r="G268" s="23"/>
      <c r="H268" s="7"/>
      <c r="I268" s="47"/>
      <c r="J268" s="25"/>
      <c r="K268" s="40"/>
      <c r="L268" s="40"/>
      <c r="M268" s="228"/>
    </row>
    <row r="269" spans="1:14" ht="18.75" customHeight="1" x14ac:dyDescent="0.55000000000000004">
      <c r="A269" s="28"/>
      <c r="B269" s="45"/>
      <c r="C269" s="49"/>
      <c r="D269" s="54"/>
      <c r="E269" s="63"/>
      <c r="F269" s="23"/>
      <c r="G269" s="23"/>
      <c r="H269" s="7"/>
      <c r="I269" s="47"/>
      <c r="J269" s="11"/>
      <c r="L269" s="40"/>
      <c r="M269" s="228"/>
    </row>
    <row r="270" spans="1:14" ht="18.75" customHeight="1" x14ac:dyDescent="0.55000000000000004">
      <c r="A270" s="28"/>
      <c r="B270" s="45"/>
      <c r="C270" s="49"/>
      <c r="D270" s="54"/>
      <c r="E270" s="63"/>
      <c r="F270" s="23"/>
      <c r="G270" s="23"/>
      <c r="H270" s="7"/>
      <c r="I270" s="47"/>
      <c r="J270" s="11"/>
      <c r="L270" s="40"/>
      <c r="M270" s="228"/>
    </row>
    <row r="271" spans="1:14" ht="18.75" customHeight="1" x14ac:dyDescent="0.55000000000000004">
      <c r="A271" s="28"/>
      <c r="B271" s="45"/>
      <c r="C271" s="49"/>
      <c r="D271" s="54"/>
      <c r="E271" s="42"/>
      <c r="F271" s="23"/>
      <c r="G271" s="23"/>
      <c r="H271" s="7"/>
      <c r="I271" s="47"/>
      <c r="J271" s="11"/>
      <c r="L271" s="40"/>
      <c r="M271" s="227"/>
      <c r="N271" s="80"/>
    </row>
    <row r="272" spans="1:14" ht="18.75" customHeight="1" x14ac:dyDescent="0.55000000000000004">
      <c r="A272" s="28"/>
      <c r="B272" s="45"/>
      <c r="C272" s="49"/>
      <c r="D272" s="54"/>
      <c r="E272" s="42"/>
      <c r="F272" s="23"/>
      <c r="G272" s="23"/>
      <c r="H272" s="7"/>
      <c r="I272" s="47"/>
      <c r="J272" s="11"/>
      <c r="L272" s="40"/>
      <c r="M272" s="30"/>
    </row>
    <row r="273" spans="1:14" ht="18.75" customHeight="1" x14ac:dyDescent="0.55000000000000004">
      <c r="A273" s="28"/>
      <c r="B273" s="45"/>
      <c r="C273" s="49"/>
      <c r="D273" s="54"/>
      <c r="E273" s="63"/>
      <c r="F273" s="23"/>
      <c r="G273" s="23"/>
      <c r="H273" s="7"/>
      <c r="I273" s="47"/>
      <c r="J273" s="25"/>
      <c r="K273" s="40"/>
      <c r="L273" s="40"/>
      <c r="M273" s="228"/>
    </row>
    <row r="274" spans="1:14" ht="18.75" customHeight="1" x14ac:dyDescent="0.55000000000000004">
      <c r="A274" s="28"/>
      <c r="B274" s="45"/>
      <c r="C274" s="49"/>
      <c r="D274" s="54"/>
      <c r="E274" s="63"/>
      <c r="F274" s="23"/>
      <c r="G274" s="23"/>
      <c r="H274" s="7"/>
      <c r="I274" s="47"/>
      <c r="J274" s="11"/>
      <c r="L274" s="40"/>
      <c r="M274" s="228"/>
    </row>
    <row r="275" spans="1:14" ht="18.75" customHeight="1" x14ac:dyDescent="0.55000000000000004">
      <c r="A275" s="28"/>
      <c r="B275" s="45"/>
      <c r="C275" s="49"/>
      <c r="D275" s="54"/>
      <c r="E275" s="63"/>
      <c r="F275" s="23"/>
      <c r="G275" s="23"/>
      <c r="H275" s="7"/>
      <c r="I275" s="47"/>
      <c r="J275" s="11"/>
      <c r="L275" s="40"/>
      <c r="M275" s="228"/>
    </row>
    <row r="276" spans="1:14" ht="18.75" customHeight="1" x14ac:dyDescent="0.55000000000000004">
      <c r="A276" s="28"/>
      <c r="B276" s="45"/>
      <c r="C276" s="49"/>
      <c r="D276" s="54"/>
      <c r="E276" s="42"/>
      <c r="F276" s="23"/>
      <c r="G276" s="23"/>
      <c r="H276" s="7"/>
      <c r="I276" s="47"/>
      <c r="J276" s="11"/>
      <c r="L276" s="40"/>
      <c r="M276" s="227"/>
      <c r="N276" s="80"/>
    </row>
    <row r="277" spans="1:14" ht="18.75" customHeight="1" x14ac:dyDescent="0.55000000000000004">
      <c r="A277" s="28"/>
      <c r="B277" s="45"/>
      <c r="C277" s="49"/>
      <c r="D277" s="54"/>
      <c r="E277" s="42"/>
      <c r="F277" s="23"/>
      <c r="G277" s="23"/>
      <c r="H277" s="7"/>
      <c r="I277" s="47"/>
      <c r="J277" s="11"/>
      <c r="L277" s="40"/>
      <c r="M277" s="30"/>
    </row>
    <row r="278" spans="1:14" ht="18.75" customHeight="1" x14ac:dyDescent="0.55000000000000004">
      <c r="A278" s="28"/>
      <c r="B278" s="45"/>
      <c r="C278" s="49"/>
      <c r="D278" s="54"/>
      <c r="E278" s="63"/>
      <c r="F278" s="23"/>
      <c r="G278" s="23"/>
      <c r="H278" s="7"/>
      <c r="I278" s="47"/>
      <c r="J278" s="25"/>
      <c r="K278" s="40"/>
      <c r="L278" s="40"/>
      <c r="M278" s="228"/>
    </row>
    <row r="279" spans="1:14" ht="18.75" customHeight="1" x14ac:dyDescent="0.55000000000000004">
      <c r="A279" s="28"/>
      <c r="B279" s="45"/>
      <c r="C279" s="49"/>
      <c r="D279" s="54"/>
      <c r="E279" s="63"/>
      <c r="F279" s="23"/>
      <c r="G279" s="23"/>
      <c r="H279" s="7"/>
      <c r="I279" s="47"/>
      <c r="J279" s="11"/>
      <c r="L279" s="40"/>
      <c r="M279" s="228"/>
    </row>
    <row r="280" spans="1:14" ht="18.75" customHeight="1" x14ac:dyDescent="0.55000000000000004">
      <c r="A280" s="28"/>
      <c r="B280" s="45"/>
      <c r="C280" s="49"/>
      <c r="D280" s="54"/>
      <c r="E280" s="63"/>
      <c r="F280" s="23"/>
      <c r="G280" s="23"/>
      <c r="H280" s="7"/>
      <c r="I280" s="47"/>
      <c r="J280" s="11"/>
      <c r="L280" s="40"/>
      <c r="M280" s="228"/>
    </row>
    <row r="281" spans="1:14" ht="18.75" customHeight="1" x14ac:dyDescent="0.55000000000000004">
      <c r="A281" s="28"/>
      <c r="B281" s="45"/>
      <c r="C281" s="49"/>
      <c r="D281" s="54"/>
      <c r="E281" s="42"/>
      <c r="F281" s="23"/>
      <c r="G281" s="23"/>
      <c r="H281" s="7"/>
      <c r="I281" s="47"/>
      <c r="J281" s="11"/>
      <c r="L281" s="40"/>
      <c r="M281" s="227"/>
      <c r="N281" s="80"/>
    </row>
    <row r="282" spans="1:14" ht="18.75" customHeight="1" x14ac:dyDescent="0.55000000000000004">
      <c r="A282" s="28"/>
      <c r="B282" s="45"/>
      <c r="C282" s="49"/>
      <c r="D282" s="54"/>
      <c r="E282" s="42"/>
      <c r="F282" s="23"/>
      <c r="G282" s="23"/>
      <c r="H282" s="7"/>
      <c r="I282" s="47"/>
      <c r="J282" s="11"/>
      <c r="L282" s="40"/>
      <c r="M282" s="30"/>
    </row>
    <row r="283" spans="1:14" ht="18.75" customHeight="1" x14ac:dyDescent="0.55000000000000004">
      <c r="A283" s="28"/>
      <c r="B283" s="45"/>
      <c r="C283" s="49"/>
      <c r="D283" s="54"/>
      <c r="E283" s="63"/>
      <c r="F283" s="23"/>
      <c r="G283" s="23"/>
      <c r="H283" s="7"/>
      <c r="I283" s="47"/>
      <c r="J283" s="25"/>
      <c r="K283" s="40"/>
      <c r="L283" s="40"/>
      <c r="M283" s="228"/>
    </row>
    <row r="284" spans="1:14" ht="18.75" customHeight="1" x14ac:dyDescent="0.55000000000000004">
      <c r="A284" s="28"/>
      <c r="B284" s="45"/>
      <c r="C284" s="49"/>
      <c r="D284" s="54"/>
      <c r="E284" s="63"/>
      <c r="F284" s="23"/>
      <c r="G284" s="23"/>
      <c r="H284" s="7"/>
      <c r="I284" s="47"/>
      <c r="J284" s="11"/>
      <c r="L284" s="40"/>
      <c r="M284" s="228"/>
    </row>
    <row r="285" spans="1:14" ht="18.75" customHeight="1" x14ac:dyDescent="0.55000000000000004">
      <c r="A285" s="28"/>
      <c r="B285" s="45"/>
      <c r="C285" s="49"/>
      <c r="D285" s="54"/>
      <c r="E285" s="63"/>
      <c r="F285" s="23"/>
      <c r="G285" s="23"/>
      <c r="H285" s="7"/>
      <c r="I285" s="47"/>
      <c r="J285" s="11"/>
      <c r="L285" s="40"/>
      <c r="M285" s="228"/>
    </row>
    <row r="286" spans="1:14" ht="18.75" customHeight="1" x14ac:dyDescent="0.55000000000000004">
      <c r="A286" s="28"/>
      <c r="B286" s="45"/>
      <c r="C286" s="49"/>
      <c r="D286" s="54"/>
      <c r="E286" s="42"/>
      <c r="F286" s="23"/>
      <c r="G286" s="23"/>
      <c r="H286" s="7"/>
      <c r="I286" s="47"/>
      <c r="J286" s="11"/>
      <c r="L286" s="40"/>
      <c r="M286" s="227"/>
      <c r="N286" s="80"/>
    </row>
    <row r="287" spans="1:14" ht="18.75" customHeight="1" x14ac:dyDescent="0.55000000000000004">
      <c r="A287" s="28"/>
      <c r="B287" s="45"/>
      <c r="C287" s="49"/>
      <c r="D287" s="54"/>
      <c r="E287" s="42"/>
      <c r="F287" s="23"/>
      <c r="G287" s="23"/>
      <c r="H287" s="7"/>
      <c r="I287" s="47"/>
      <c r="J287" s="11"/>
      <c r="L287" s="40"/>
      <c r="M287" s="30"/>
    </row>
    <row r="288" spans="1:14" ht="18.75" customHeight="1" x14ac:dyDescent="0.55000000000000004">
      <c r="A288" s="28"/>
      <c r="B288" s="45"/>
      <c r="C288" s="49"/>
      <c r="D288" s="54"/>
      <c r="E288" s="63"/>
      <c r="F288" s="23"/>
      <c r="G288" s="23"/>
      <c r="H288" s="7"/>
      <c r="I288" s="47"/>
      <c r="J288" s="25"/>
      <c r="K288" s="40"/>
      <c r="L288" s="40"/>
      <c r="M288" s="228"/>
    </row>
    <row r="289" spans="1:14" ht="18.75" customHeight="1" x14ac:dyDescent="0.55000000000000004">
      <c r="A289" s="28"/>
      <c r="B289" s="45"/>
      <c r="C289" s="49"/>
      <c r="D289" s="54"/>
      <c r="E289" s="63"/>
      <c r="F289" s="23"/>
      <c r="G289" s="23"/>
      <c r="H289" s="7"/>
      <c r="I289" s="47"/>
      <c r="J289" s="11"/>
      <c r="L289" s="40"/>
      <c r="M289" s="228"/>
    </row>
    <row r="290" spans="1:14" ht="18.75" customHeight="1" x14ac:dyDescent="0.55000000000000004">
      <c r="A290" s="28"/>
      <c r="B290" s="45"/>
      <c r="C290" s="49"/>
      <c r="D290" s="54"/>
      <c r="E290" s="63"/>
      <c r="F290" s="23"/>
      <c r="G290" s="23"/>
      <c r="H290" s="7"/>
      <c r="I290" s="47"/>
      <c r="J290" s="11"/>
      <c r="L290" s="40"/>
      <c r="M290" s="228"/>
    </row>
    <row r="291" spans="1:14" ht="18.75" customHeight="1" x14ac:dyDescent="0.55000000000000004">
      <c r="A291" s="28"/>
      <c r="B291" s="45"/>
      <c r="C291" s="49"/>
      <c r="D291" s="54"/>
      <c r="E291" s="42"/>
      <c r="F291" s="23"/>
      <c r="G291" s="23"/>
      <c r="H291" s="7"/>
      <c r="I291" s="47"/>
      <c r="J291" s="11"/>
      <c r="L291" s="40"/>
      <c r="M291" s="227"/>
      <c r="N291" s="80"/>
    </row>
    <row r="292" spans="1:14" ht="18.75" customHeight="1" x14ac:dyDescent="0.55000000000000004">
      <c r="A292" s="28"/>
      <c r="B292" s="45"/>
      <c r="C292" s="49"/>
      <c r="D292" s="54"/>
      <c r="E292" s="42"/>
      <c r="F292" s="23"/>
      <c r="G292" s="23"/>
      <c r="H292" s="7"/>
      <c r="I292" s="47"/>
      <c r="J292" s="11"/>
      <c r="L292" s="40"/>
      <c r="M292" s="30"/>
    </row>
    <row r="293" spans="1:14" ht="18.75" customHeight="1" x14ac:dyDescent="0.55000000000000004">
      <c r="A293" s="28"/>
      <c r="B293" s="45"/>
      <c r="C293" s="49"/>
      <c r="D293" s="54"/>
      <c r="E293" s="63"/>
      <c r="F293" s="23"/>
      <c r="G293" s="23"/>
      <c r="H293" s="7"/>
      <c r="I293" s="47"/>
      <c r="J293" s="25"/>
      <c r="K293" s="40"/>
      <c r="L293" s="40"/>
      <c r="M293" s="228"/>
    </row>
    <row r="294" spans="1:14" ht="18.75" customHeight="1" x14ac:dyDescent="0.55000000000000004">
      <c r="A294" s="28"/>
      <c r="B294" s="45"/>
      <c r="C294" s="49"/>
      <c r="D294" s="54"/>
      <c r="E294" s="63"/>
      <c r="F294" s="23"/>
      <c r="G294" s="23"/>
      <c r="H294" s="7"/>
      <c r="I294" s="47"/>
      <c r="J294" s="11"/>
      <c r="L294" s="40"/>
      <c r="M294" s="228"/>
    </row>
    <row r="295" spans="1:14" ht="18.75" customHeight="1" x14ac:dyDescent="0.55000000000000004">
      <c r="A295" s="28"/>
      <c r="B295" s="45"/>
      <c r="C295" s="49"/>
      <c r="D295" s="54"/>
      <c r="E295" s="63"/>
      <c r="F295" s="23"/>
      <c r="G295" s="23"/>
      <c r="H295" s="7"/>
      <c r="I295" s="47"/>
      <c r="J295" s="11"/>
      <c r="L295" s="40"/>
      <c r="M295" s="228"/>
    </row>
    <row r="296" spans="1:14" ht="18.75" customHeight="1" x14ac:dyDescent="0.55000000000000004">
      <c r="A296" s="28"/>
      <c r="B296" s="45"/>
      <c r="C296" s="49"/>
      <c r="D296" s="54"/>
      <c r="E296" s="42"/>
      <c r="F296" s="23"/>
      <c r="G296" s="23"/>
      <c r="H296" s="7"/>
      <c r="I296" s="47"/>
      <c r="J296" s="11"/>
      <c r="L296" s="40"/>
      <c r="M296" s="227"/>
      <c r="N296" s="80"/>
    </row>
    <row r="297" spans="1:14" ht="18.75" customHeight="1" x14ac:dyDescent="0.55000000000000004">
      <c r="A297" s="28"/>
      <c r="B297" s="45"/>
      <c r="C297" s="49"/>
      <c r="D297" s="54"/>
      <c r="E297" s="42"/>
      <c r="F297" s="23"/>
      <c r="G297" s="23"/>
      <c r="H297" s="7"/>
      <c r="I297" s="47"/>
      <c r="J297" s="11"/>
      <c r="L297" s="40"/>
      <c r="M297" s="30"/>
    </row>
    <row r="298" spans="1:14" ht="18.75" customHeight="1" x14ac:dyDescent="0.55000000000000004">
      <c r="A298" s="28"/>
      <c r="B298" s="45"/>
      <c r="C298" s="49"/>
      <c r="D298" s="54"/>
      <c r="E298" s="63"/>
      <c r="F298" s="23"/>
      <c r="G298" s="23"/>
      <c r="H298" s="7"/>
      <c r="I298" s="47"/>
      <c r="J298" s="25"/>
      <c r="K298" s="40"/>
      <c r="L298" s="40"/>
      <c r="M298" s="228"/>
    </row>
    <row r="299" spans="1:14" ht="18.75" customHeight="1" x14ac:dyDescent="0.55000000000000004">
      <c r="A299" s="28"/>
      <c r="B299" s="45"/>
      <c r="C299" s="49"/>
      <c r="D299" s="54"/>
      <c r="E299" s="63"/>
      <c r="F299" s="23"/>
      <c r="G299" s="23"/>
      <c r="H299" s="7"/>
      <c r="I299" s="47"/>
      <c r="J299" s="11"/>
      <c r="L299" s="40"/>
      <c r="M299" s="228"/>
    </row>
    <row r="300" spans="1:14" ht="18.75" customHeight="1" x14ac:dyDescent="0.55000000000000004">
      <c r="A300" s="28"/>
      <c r="B300" s="45"/>
      <c r="C300" s="49"/>
      <c r="D300" s="54"/>
      <c r="E300" s="63"/>
      <c r="F300" s="23"/>
      <c r="G300" s="23"/>
      <c r="H300" s="7"/>
      <c r="I300" s="47"/>
      <c r="J300" s="11"/>
      <c r="L300" s="40"/>
      <c r="M300" s="228"/>
    </row>
    <row r="301" spans="1:14" ht="18.75" customHeight="1" x14ac:dyDescent="0.55000000000000004">
      <c r="A301" s="28"/>
      <c r="B301" s="45"/>
      <c r="C301" s="49"/>
      <c r="D301" s="54"/>
      <c r="E301" s="42"/>
      <c r="F301" s="23"/>
      <c r="G301" s="23"/>
      <c r="H301" s="7"/>
      <c r="I301" s="47"/>
      <c r="J301" s="11"/>
      <c r="L301" s="40"/>
      <c r="M301" s="227"/>
      <c r="N301" s="80"/>
    </row>
    <row r="302" spans="1:14" ht="18.75" customHeight="1" x14ac:dyDescent="0.55000000000000004">
      <c r="A302" s="28"/>
      <c r="B302" s="45"/>
      <c r="C302" s="49"/>
      <c r="D302" s="54"/>
      <c r="E302" s="42"/>
      <c r="F302" s="23"/>
      <c r="G302" s="23"/>
      <c r="H302" s="7"/>
      <c r="I302" s="47"/>
      <c r="J302" s="11"/>
      <c r="L302" s="40"/>
      <c r="M302" s="30"/>
    </row>
    <row r="303" spans="1:14" ht="18.75" customHeight="1" x14ac:dyDescent="0.55000000000000004">
      <c r="A303" s="28"/>
      <c r="B303" s="45"/>
      <c r="C303" s="49"/>
      <c r="D303" s="54"/>
      <c r="E303" s="63"/>
      <c r="F303" s="23"/>
      <c r="G303" s="23"/>
      <c r="H303" s="7"/>
      <c r="I303" s="47"/>
      <c r="J303" s="25"/>
      <c r="K303" s="40"/>
      <c r="L303" s="40"/>
      <c r="M303" s="228"/>
    </row>
    <row r="304" spans="1:14" ht="18.75" customHeight="1" x14ac:dyDescent="0.55000000000000004">
      <c r="A304" s="28"/>
      <c r="B304" s="45"/>
      <c r="C304" s="49"/>
      <c r="D304" s="54"/>
      <c r="E304" s="63"/>
      <c r="F304" s="23"/>
      <c r="G304" s="23"/>
      <c r="H304" s="7"/>
      <c r="I304" s="47"/>
      <c r="J304" s="11"/>
      <c r="L304" s="40"/>
      <c r="M304" s="228"/>
    </row>
    <row r="305" spans="1:14" ht="18.75" customHeight="1" x14ac:dyDescent="0.55000000000000004">
      <c r="A305" s="28"/>
      <c r="B305" s="45"/>
      <c r="C305" s="49"/>
      <c r="D305" s="54"/>
      <c r="E305" s="63"/>
      <c r="F305" s="23"/>
      <c r="G305" s="23"/>
      <c r="H305" s="7"/>
      <c r="I305" s="47"/>
      <c r="J305" s="11"/>
      <c r="L305" s="40"/>
      <c r="M305" s="228"/>
    </row>
    <row r="306" spans="1:14" ht="18.75" customHeight="1" x14ac:dyDescent="0.55000000000000004">
      <c r="A306" s="28"/>
      <c r="B306" s="45"/>
      <c r="C306" s="49"/>
      <c r="D306" s="54"/>
      <c r="E306" s="42"/>
      <c r="F306" s="23"/>
      <c r="G306" s="23"/>
      <c r="H306" s="7"/>
      <c r="I306" s="47"/>
      <c r="J306" s="11"/>
      <c r="L306" s="40"/>
      <c r="M306" s="227"/>
      <c r="N306" s="80"/>
    </row>
    <row r="307" spans="1:14" ht="18.75" customHeight="1" x14ac:dyDescent="0.55000000000000004">
      <c r="A307" s="28"/>
      <c r="B307" s="45"/>
      <c r="C307" s="49"/>
      <c r="D307" s="54"/>
      <c r="E307" s="42"/>
      <c r="F307" s="23"/>
      <c r="G307" s="23"/>
      <c r="H307" s="7"/>
      <c r="I307" s="47"/>
      <c r="J307" s="11"/>
      <c r="L307" s="40"/>
      <c r="M307" s="30"/>
    </row>
    <row r="308" spans="1:14" ht="18.75" customHeight="1" x14ac:dyDescent="0.55000000000000004">
      <c r="A308" s="28"/>
      <c r="B308" s="45"/>
      <c r="C308" s="49"/>
      <c r="D308" s="54"/>
      <c r="E308" s="63"/>
      <c r="F308" s="23"/>
      <c r="G308" s="23"/>
      <c r="H308" s="7"/>
      <c r="I308" s="47"/>
      <c r="J308" s="25"/>
      <c r="K308" s="40"/>
      <c r="L308" s="40"/>
      <c r="M308" s="228"/>
    </row>
    <row r="309" spans="1:14" ht="18.75" customHeight="1" x14ac:dyDescent="0.55000000000000004">
      <c r="A309" s="28"/>
      <c r="B309" s="45"/>
      <c r="C309" s="49"/>
      <c r="D309" s="54"/>
      <c r="E309" s="63"/>
      <c r="F309" s="23"/>
      <c r="G309" s="23"/>
      <c r="H309" s="7"/>
      <c r="I309" s="47"/>
      <c r="J309" s="11"/>
      <c r="L309" s="40"/>
      <c r="M309" s="228"/>
    </row>
    <row r="310" spans="1:14" ht="18.75" customHeight="1" x14ac:dyDescent="0.55000000000000004">
      <c r="A310" s="28"/>
      <c r="B310" s="45"/>
      <c r="C310" s="49"/>
      <c r="D310" s="54"/>
      <c r="E310" s="63"/>
      <c r="F310" s="23"/>
      <c r="G310" s="23"/>
      <c r="H310" s="7"/>
      <c r="I310" s="47"/>
      <c r="J310" s="11"/>
      <c r="L310" s="40"/>
      <c r="M310" s="228"/>
    </row>
    <row r="311" spans="1:14" ht="18.75" customHeight="1" x14ac:dyDescent="0.55000000000000004">
      <c r="A311" s="28"/>
      <c r="B311" s="45"/>
      <c r="C311" s="49"/>
      <c r="D311" s="54"/>
      <c r="E311" s="42"/>
      <c r="F311" s="23"/>
      <c r="G311" s="23"/>
      <c r="H311" s="7"/>
      <c r="I311" s="47"/>
      <c r="J311" s="11"/>
      <c r="L311" s="40"/>
      <c r="M311" s="227"/>
      <c r="N311" s="80"/>
    </row>
    <row r="312" spans="1:14" ht="18.75" customHeight="1" x14ac:dyDescent="0.55000000000000004">
      <c r="A312" s="28"/>
      <c r="B312" s="45"/>
      <c r="C312" s="49"/>
      <c r="D312" s="54"/>
      <c r="E312" s="42"/>
      <c r="F312" s="23"/>
      <c r="G312" s="23"/>
      <c r="H312" s="7"/>
      <c r="I312" s="47"/>
      <c r="J312" s="11"/>
      <c r="L312" s="40"/>
      <c r="M312" s="30"/>
    </row>
    <row r="313" spans="1:14" ht="18.75" customHeight="1" x14ac:dyDescent="0.55000000000000004">
      <c r="A313" s="28"/>
      <c r="B313" s="45"/>
      <c r="C313" s="49"/>
      <c r="D313" s="54"/>
      <c r="E313" s="63"/>
      <c r="F313" s="23"/>
      <c r="G313" s="23"/>
      <c r="H313" s="7"/>
      <c r="I313" s="47"/>
      <c r="J313" s="25"/>
      <c r="K313" s="40"/>
      <c r="L313" s="40"/>
      <c r="M313" s="228"/>
    </row>
    <row r="314" spans="1:14" ht="18.75" customHeight="1" x14ac:dyDescent="0.55000000000000004">
      <c r="A314" s="28"/>
      <c r="B314" s="45"/>
      <c r="C314" s="49"/>
      <c r="D314" s="54"/>
      <c r="E314" s="63"/>
      <c r="F314" s="23"/>
      <c r="G314" s="23"/>
      <c r="H314" s="7"/>
      <c r="I314" s="47"/>
      <c r="J314" s="11"/>
      <c r="L314" s="40"/>
      <c r="M314" s="228"/>
    </row>
    <row r="315" spans="1:14" ht="18.75" customHeight="1" x14ac:dyDescent="0.55000000000000004">
      <c r="A315" s="28"/>
      <c r="B315" s="45"/>
      <c r="C315" s="49"/>
      <c r="D315" s="54"/>
      <c r="E315" s="63"/>
      <c r="F315" s="23"/>
      <c r="G315" s="23"/>
      <c r="H315" s="7"/>
      <c r="I315" s="47"/>
      <c r="J315" s="11"/>
      <c r="L315" s="40"/>
      <c r="M315" s="228"/>
    </row>
    <row r="316" spans="1:14" ht="18.75" customHeight="1" x14ac:dyDescent="0.55000000000000004">
      <c r="A316" s="28"/>
      <c r="B316" s="45"/>
      <c r="C316" s="49"/>
      <c r="D316" s="54"/>
      <c r="E316" s="42"/>
      <c r="F316" s="23"/>
      <c r="G316" s="23"/>
      <c r="H316" s="7"/>
      <c r="I316" s="47"/>
      <c r="J316" s="11"/>
      <c r="L316" s="40"/>
      <c r="M316" s="227"/>
      <c r="N316" s="80"/>
    </row>
    <row r="317" spans="1:14" ht="18.75" customHeight="1" x14ac:dyDescent="0.55000000000000004">
      <c r="A317" s="28"/>
      <c r="B317" s="45"/>
      <c r="C317" s="49"/>
      <c r="D317" s="54"/>
      <c r="E317" s="42"/>
      <c r="F317" s="23"/>
      <c r="G317" s="23"/>
      <c r="H317" s="7"/>
      <c r="I317" s="47"/>
      <c r="J317" s="11"/>
      <c r="L317" s="40"/>
      <c r="M317" s="30"/>
    </row>
    <row r="318" spans="1:14" ht="18.75" customHeight="1" x14ac:dyDescent="0.55000000000000004">
      <c r="A318" s="28"/>
      <c r="B318" s="45"/>
      <c r="C318" s="49"/>
      <c r="D318" s="54"/>
      <c r="E318" s="63"/>
      <c r="F318" s="23"/>
      <c r="G318" s="23"/>
      <c r="H318" s="7"/>
      <c r="I318" s="47"/>
      <c r="J318" s="25"/>
      <c r="K318" s="40"/>
      <c r="L318" s="40"/>
      <c r="M318" s="228"/>
    </row>
    <row r="319" spans="1:14" ht="18.75" customHeight="1" x14ac:dyDescent="0.55000000000000004">
      <c r="A319" s="28"/>
      <c r="B319" s="45"/>
      <c r="C319" s="49"/>
      <c r="D319" s="54"/>
      <c r="E319" s="63"/>
      <c r="F319" s="23"/>
      <c r="G319" s="23"/>
      <c r="H319" s="7"/>
      <c r="I319" s="47"/>
      <c r="J319" s="11"/>
      <c r="L319" s="40"/>
      <c r="M319" s="228"/>
    </row>
    <row r="320" spans="1:14" ht="18.75" customHeight="1" x14ac:dyDescent="0.55000000000000004">
      <c r="A320" s="28"/>
      <c r="B320" s="45"/>
      <c r="C320" s="49"/>
      <c r="D320" s="54"/>
      <c r="E320" s="63"/>
      <c r="F320" s="23"/>
      <c r="G320" s="23"/>
      <c r="H320" s="7"/>
      <c r="I320" s="47"/>
      <c r="J320" s="11"/>
      <c r="L320" s="40"/>
      <c r="M320" s="228"/>
    </row>
    <row r="321" spans="1:14" ht="18.75" customHeight="1" x14ac:dyDescent="0.55000000000000004">
      <c r="A321" s="28"/>
      <c r="B321" s="45"/>
      <c r="C321" s="49"/>
      <c r="D321" s="54"/>
      <c r="E321" s="42"/>
      <c r="F321" s="23"/>
      <c r="G321" s="23"/>
      <c r="H321" s="7"/>
      <c r="I321" s="47"/>
      <c r="J321" s="11"/>
      <c r="L321" s="40"/>
      <c r="M321" s="227"/>
      <c r="N321" s="80"/>
    </row>
    <row r="322" spans="1:14" ht="18.75" customHeight="1" x14ac:dyDescent="0.55000000000000004">
      <c r="A322" s="28"/>
      <c r="B322" s="45"/>
      <c r="C322" s="49"/>
      <c r="D322" s="54"/>
      <c r="E322" s="42"/>
      <c r="F322" s="23"/>
      <c r="G322" s="23"/>
      <c r="H322" s="7"/>
      <c r="I322" s="47"/>
      <c r="J322" s="11"/>
      <c r="L322" s="40"/>
      <c r="M322" s="30"/>
    </row>
    <row r="323" spans="1:14" ht="18.75" customHeight="1" x14ac:dyDescent="0.55000000000000004">
      <c r="A323" s="28"/>
      <c r="B323" s="45"/>
      <c r="C323" s="49"/>
      <c r="D323" s="54"/>
      <c r="E323" s="63"/>
      <c r="F323" s="23"/>
      <c r="G323" s="23"/>
      <c r="H323" s="7"/>
      <c r="I323" s="47"/>
      <c r="J323" s="25"/>
      <c r="K323" s="40"/>
      <c r="L323" s="40"/>
      <c r="M323" s="228"/>
    </row>
    <row r="324" spans="1:14" ht="18.75" customHeight="1" x14ac:dyDescent="0.55000000000000004">
      <c r="A324" s="28"/>
      <c r="B324" s="45"/>
      <c r="C324" s="49"/>
      <c r="D324" s="54"/>
      <c r="E324" s="63"/>
      <c r="F324" s="23"/>
      <c r="G324" s="23"/>
      <c r="H324" s="7"/>
      <c r="I324" s="47"/>
      <c r="J324" s="11"/>
      <c r="L324" s="40"/>
      <c r="M324" s="228"/>
    </row>
    <row r="325" spans="1:14" ht="18.75" customHeight="1" x14ac:dyDescent="0.55000000000000004">
      <c r="A325" s="28"/>
      <c r="B325" s="45"/>
      <c r="C325" s="49"/>
      <c r="D325" s="54"/>
      <c r="E325" s="63"/>
      <c r="F325" s="23"/>
      <c r="G325" s="23"/>
      <c r="H325" s="7"/>
      <c r="I325" s="47"/>
      <c r="J325" s="11"/>
      <c r="L325" s="40"/>
      <c r="M325" s="228"/>
    </row>
    <row r="326" spans="1:14" ht="18.75" customHeight="1" x14ac:dyDescent="0.55000000000000004">
      <c r="A326" s="28"/>
      <c r="B326" s="45"/>
      <c r="C326" s="49"/>
      <c r="D326" s="54"/>
      <c r="E326" s="42"/>
      <c r="F326" s="23"/>
      <c r="G326" s="23"/>
      <c r="H326" s="7"/>
      <c r="I326" s="47"/>
      <c r="J326" s="11"/>
      <c r="L326" s="40"/>
      <c r="M326" s="227"/>
      <c r="N326" s="80"/>
    </row>
    <row r="327" spans="1:14" ht="18.75" customHeight="1" x14ac:dyDescent="0.55000000000000004">
      <c r="A327" s="28"/>
      <c r="B327" s="45"/>
      <c r="C327" s="49"/>
      <c r="D327" s="54"/>
      <c r="E327" s="42"/>
      <c r="F327" s="23"/>
      <c r="G327" s="23"/>
      <c r="H327" s="7"/>
      <c r="I327" s="47"/>
      <c r="J327" s="11"/>
      <c r="L327" s="40"/>
      <c r="M327" s="30"/>
    </row>
    <row r="328" spans="1:14" ht="18.75" customHeight="1" x14ac:dyDescent="0.55000000000000004">
      <c r="A328" s="28"/>
      <c r="B328" s="45"/>
      <c r="C328" s="49"/>
      <c r="D328" s="54"/>
      <c r="E328" s="63"/>
      <c r="F328" s="23"/>
      <c r="G328" s="23"/>
      <c r="H328" s="7"/>
      <c r="I328" s="47"/>
      <c r="J328" s="25"/>
      <c r="K328" s="40"/>
      <c r="L328" s="40"/>
      <c r="M328" s="228"/>
    </row>
    <row r="329" spans="1:14" ht="18.75" customHeight="1" x14ac:dyDescent="0.55000000000000004">
      <c r="A329" s="28"/>
      <c r="B329" s="45"/>
      <c r="C329" s="49"/>
      <c r="D329" s="54"/>
      <c r="E329" s="63"/>
      <c r="F329" s="23"/>
      <c r="G329" s="23"/>
      <c r="H329" s="7"/>
      <c r="I329" s="47"/>
      <c r="J329" s="11"/>
      <c r="L329" s="40"/>
      <c r="M329" s="228"/>
    </row>
    <row r="330" spans="1:14" ht="18.75" customHeight="1" x14ac:dyDescent="0.55000000000000004">
      <c r="A330" s="28"/>
      <c r="B330" s="45"/>
      <c r="C330" s="49"/>
      <c r="D330" s="54"/>
      <c r="E330" s="63"/>
      <c r="F330" s="23"/>
      <c r="G330" s="23"/>
      <c r="H330" s="7"/>
      <c r="I330" s="47"/>
      <c r="J330" s="11"/>
      <c r="L330" s="40"/>
      <c r="M330" s="228"/>
    </row>
    <row r="331" spans="1:14" ht="18.75" customHeight="1" x14ac:dyDescent="0.55000000000000004">
      <c r="A331" s="28"/>
      <c r="B331" s="45"/>
      <c r="C331" s="49"/>
      <c r="D331" s="54"/>
      <c r="E331" s="42"/>
      <c r="F331" s="23"/>
      <c r="G331" s="23"/>
      <c r="H331" s="7"/>
      <c r="I331" s="47"/>
      <c r="J331" s="11"/>
      <c r="L331" s="40"/>
      <c r="M331" s="227"/>
      <c r="N331" s="80"/>
    </row>
    <row r="332" spans="1:14" ht="18.75" customHeight="1" x14ac:dyDescent="0.55000000000000004">
      <c r="A332" s="28"/>
      <c r="B332" s="45"/>
      <c r="C332" s="49"/>
      <c r="D332" s="54"/>
      <c r="E332" s="42"/>
      <c r="F332" s="23"/>
      <c r="G332" s="23"/>
      <c r="H332" s="7"/>
      <c r="I332" s="47"/>
      <c r="J332" s="11"/>
      <c r="L332" s="40"/>
      <c r="M332" s="30"/>
    </row>
    <row r="333" spans="1:14" ht="18.75" customHeight="1" x14ac:dyDescent="0.55000000000000004">
      <c r="A333" s="28"/>
      <c r="B333" s="45"/>
      <c r="C333" s="49"/>
      <c r="D333" s="54"/>
      <c r="E333" s="63"/>
      <c r="F333" s="23"/>
      <c r="G333" s="23"/>
      <c r="H333" s="7"/>
      <c r="I333" s="47"/>
      <c r="J333" s="25"/>
      <c r="K333" s="40"/>
      <c r="L333" s="40"/>
      <c r="M333" s="228"/>
    </row>
    <row r="334" spans="1:14" ht="18.75" customHeight="1" x14ac:dyDescent="0.55000000000000004">
      <c r="A334" s="28"/>
      <c r="B334" s="45"/>
      <c r="C334" s="49"/>
      <c r="D334" s="54"/>
      <c r="E334" s="63"/>
      <c r="F334" s="23"/>
      <c r="G334" s="23"/>
      <c r="H334" s="7"/>
      <c r="I334" s="47"/>
      <c r="J334" s="11"/>
      <c r="L334" s="40"/>
      <c r="M334" s="228"/>
    </row>
    <row r="335" spans="1:14" ht="18.75" customHeight="1" x14ac:dyDescent="0.55000000000000004">
      <c r="A335" s="28"/>
      <c r="B335" s="45"/>
      <c r="C335" s="49"/>
      <c r="D335" s="54"/>
      <c r="E335" s="63"/>
      <c r="F335" s="23"/>
      <c r="G335" s="23"/>
      <c r="H335" s="7"/>
      <c r="I335" s="47"/>
      <c r="J335" s="11"/>
      <c r="L335" s="40"/>
      <c r="M335" s="228"/>
    </row>
    <row r="336" spans="1:14" ht="18.75" customHeight="1" x14ac:dyDescent="0.55000000000000004">
      <c r="A336" s="28"/>
      <c r="B336" s="45"/>
      <c r="C336" s="49"/>
      <c r="D336" s="54"/>
      <c r="E336" s="42"/>
      <c r="F336" s="23"/>
      <c r="G336" s="23"/>
      <c r="H336" s="7"/>
      <c r="I336" s="47"/>
      <c r="J336" s="11"/>
      <c r="L336" s="40"/>
      <c r="M336" s="227"/>
      <c r="N336" s="80"/>
    </row>
    <row r="337" spans="1:14" ht="18.75" customHeight="1" x14ac:dyDescent="0.55000000000000004">
      <c r="A337" s="28"/>
      <c r="B337" s="45"/>
      <c r="C337" s="49"/>
      <c r="D337" s="54"/>
      <c r="E337" s="42"/>
      <c r="F337" s="23"/>
      <c r="G337" s="23"/>
      <c r="H337" s="7"/>
      <c r="I337" s="47"/>
      <c r="J337" s="11"/>
      <c r="L337" s="40"/>
      <c r="M337" s="30"/>
    </row>
    <row r="338" spans="1:14" ht="18.75" customHeight="1" x14ac:dyDescent="0.55000000000000004">
      <c r="A338" s="28"/>
      <c r="B338" s="45"/>
      <c r="C338" s="49"/>
      <c r="D338" s="54"/>
      <c r="E338" s="63"/>
      <c r="F338" s="23"/>
      <c r="G338" s="23"/>
      <c r="H338" s="7"/>
      <c r="I338" s="47"/>
      <c r="J338" s="25"/>
      <c r="K338" s="40"/>
      <c r="L338" s="40"/>
      <c r="M338" s="228"/>
    </row>
    <row r="339" spans="1:14" ht="18.75" customHeight="1" x14ac:dyDescent="0.55000000000000004">
      <c r="A339" s="28"/>
      <c r="B339" s="45"/>
      <c r="C339" s="49"/>
      <c r="D339" s="54"/>
      <c r="E339" s="63"/>
      <c r="F339" s="23"/>
      <c r="G339" s="23"/>
      <c r="H339" s="7"/>
      <c r="I339" s="47"/>
      <c r="J339" s="11"/>
      <c r="L339" s="40"/>
      <c r="M339" s="228"/>
    </row>
    <row r="340" spans="1:14" ht="18.75" customHeight="1" x14ac:dyDescent="0.55000000000000004">
      <c r="A340" s="28"/>
      <c r="B340" s="45"/>
      <c r="C340" s="49"/>
      <c r="D340" s="54"/>
      <c r="E340" s="63"/>
      <c r="F340" s="23"/>
      <c r="G340" s="23"/>
      <c r="H340" s="7"/>
      <c r="I340" s="47"/>
      <c r="J340" s="11"/>
      <c r="L340" s="40"/>
      <c r="M340" s="228"/>
    </row>
    <row r="341" spans="1:14" ht="18.75" customHeight="1" x14ac:dyDescent="0.55000000000000004">
      <c r="A341" s="28"/>
      <c r="B341" s="45"/>
      <c r="C341" s="49"/>
      <c r="D341" s="54"/>
      <c r="E341" s="42"/>
      <c r="F341" s="23"/>
      <c r="G341" s="23"/>
      <c r="H341" s="7"/>
      <c r="I341" s="47"/>
      <c r="J341" s="11"/>
      <c r="L341" s="40"/>
      <c r="M341" s="227"/>
      <c r="N341" s="80"/>
    </row>
    <row r="342" spans="1:14" ht="18.75" customHeight="1" x14ac:dyDescent="0.55000000000000004">
      <c r="A342" s="28"/>
      <c r="B342" s="45"/>
      <c r="C342" s="49"/>
      <c r="D342" s="54"/>
      <c r="E342" s="42"/>
      <c r="F342" s="23"/>
      <c r="G342" s="23"/>
      <c r="H342" s="7"/>
      <c r="I342" s="47"/>
      <c r="J342" s="11"/>
      <c r="L342" s="40"/>
      <c r="M342" s="30"/>
    </row>
    <row r="343" spans="1:14" ht="18.75" customHeight="1" x14ac:dyDescent="0.55000000000000004">
      <c r="A343" s="28"/>
      <c r="B343" s="45"/>
      <c r="C343" s="49"/>
      <c r="D343" s="54"/>
      <c r="E343" s="63"/>
      <c r="F343" s="23"/>
      <c r="G343" s="23"/>
      <c r="H343" s="7"/>
      <c r="I343" s="47"/>
      <c r="J343" s="25"/>
      <c r="K343" s="40"/>
      <c r="L343" s="40"/>
      <c r="M343" s="228"/>
    </row>
    <row r="344" spans="1:14" ht="18.75" customHeight="1" x14ac:dyDescent="0.55000000000000004">
      <c r="A344" s="28"/>
      <c r="B344" s="45"/>
      <c r="C344" s="49"/>
      <c r="D344" s="54"/>
      <c r="E344" s="63"/>
      <c r="F344" s="23"/>
      <c r="G344" s="23"/>
      <c r="H344" s="7"/>
      <c r="I344" s="47"/>
      <c r="J344" s="11"/>
      <c r="L344" s="40"/>
      <c r="M344" s="228"/>
    </row>
    <row r="345" spans="1:14" ht="18.75" customHeight="1" x14ac:dyDescent="0.55000000000000004">
      <c r="A345" s="28"/>
      <c r="B345" s="45"/>
      <c r="C345" s="49"/>
      <c r="D345" s="54"/>
      <c r="E345" s="63"/>
      <c r="F345" s="23"/>
      <c r="G345" s="23"/>
      <c r="H345" s="7"/>
      <c r="I345" s="47"/>
      <c r="J345" s="11"/>
      <c r="L345" s="40"/>
      <c r="M345" s="228"/>
    </row>
    <row r="346" spans="1:14" ht="18.75" customHeight="1" x14ac:dyDescent="0.55000000000000004">
      <c r="A346" s="28"/>
      <c r="B346" s="45"/>
      <c r="C346" s="49"/>
      <c r="D346" s="54"/>
      <c r="E346" s="42"/>
      <c r="F346" s="23"/>
      <c r="G346" s="23"/>
      <c r="H346" s="7"/>
      <c r="I346" s="47"/>
      <c r="J346" s="11"/>
      <c r="L346" s="40"/>
      <c r="M346" s="227"/>
      <c r="N346" s="80"/>
    </row>
    <row r="347" spans="1:14" ht="18.75" customHeight="1" x14ac:dyDescent="0.55000000000000004">
      <c r="A347" s="28"/>
      <c r="B347" s="45"/>
      <c r="C347" s="49"/>
      <c r="D347" s="54"/>
      <c r="E347" s="42"/>
      <c r="F347" s="23"/>
      <c r="G347" s="23"/>
      <c r="H347" s="7"/>
      <c r="I347" s="47"/>
      <c r="J347" s="11"/>
      <c r="L347" s="40"/>
      <c r="M347" s="30"/>
    </row>
    <row r="348" spans="1:14" ht="18.75" customHeight="1" x14ac:dyDescent="0.55000000000000004">
      <c r="A348" s="28"/>
      <c r="B348" s="45"/>
      <c r="C348" s="49"/>
      <c r="D348" s="54"/>
      <c r="E348" s="63"/>
      <c r="F348" s="23"/>
      <c r="G348" s="23"/>
      <c r="H348" s="7"/>
      <c r="I348" s="47"/>
      <c r="J348" s="25"/>
      <c r="K348" s="40"/>
      <c r="L348" s="40"/>
      <c r="M348" s="228"/>
    </row>
    <row r="349" spans="1:14" ht="18.75" customHeight="1" x14ac:dyDescent="0.55000000000000004">
      <c r="A349" s="28"/>
      <c r="B349" s="45"/>
      <c r="C349" s="49"/>
      <c r="D349" s="54"/>
      <c r="E349" s="63"/>
      <c r="F349" s="23"/>
      <c r="G349" s="23"/>
      <c r="H349" s="7"/>
      <c r="I349" s="47"/>
      <c r="J349" s="11"/>
      <c r="L349" s="40"/>
      <c r="M349" s="228"/>
    </row>
    <row r="350" spans="1:14" ht="18.75" customHeight="1" x14ac:dyDescent="0.55000000000000004">
      <c r="A350" s="28"/>
      <c r="B350" s="45"/>
      <c r="C350" s="49"/>
      <c r="D350" s="54"/>
      <c r="E350" s="63"/>
      <c r="F350" s="23"/>
      <c r="G350" s="23"/>
      <c r="H350" s="7"/>
      <c r="I350" s="47"/>
      <c r="J350" s="11"/>
      <c r="L350" s="40"/>
      <c r="M350" s="228"/>
    </row>
    <row r="351" spans="1:14" ht="18.75" customHeight="1" x14ac:dyDescent="0.55000000000000004">
      <c r="A351" s="28"/>
      <c r="B351" s="45"/>
      <c r="C351" s="49"/>
      <c r="D351" s="54"/>
      <c r="E351" s="42"/>
      <c r="F351" s="23"/>
      <c r="G351" s="23"/>
      <c r="H351" s="7"/>
      <c r="I351" s="47"/>
      <c r="J351" s="11"/>
      <c r="L351" s="40"/>
      <c r="M351" s="227"/>
      <c r="N351" s="80"/>
    </row>
    <row r="352" spans="1:14" ht="18.75" customHeight="1" x14ac:dyDescent="0.55000000000000004">
      <c r="A352" s="28"/>
      <c r="B352" s="45"/>
      <c r="C352" s="49"/>
      <c r="D352" s="54"/>
      <c r="E352" s="63"/>
      <c r="F352" s="23"/>
      <c r="G352" s="23"/>
      <c r="H352" s="7"/>
      <c r="I352" s="47"/>
      <c r="J352" s="25"/>
      <c r="K352" s="40"/>
      <c r="L352" s="40"/>
      <c r="M352" s="228"/>
    </row>
    <row r="353" spans="1:14" ht="18.75" customHeight="1" x14ac:dyDescent="0.55000000000000004">
      <c r="A353" s="28"/>
      <c r="B353" s="45"/>
      <c r="C353" s="49"/>
      <c r="D353" s="54"/>
      <c r="E353" s="63"/>
      <c r="F353" s="23"/>
      <c r="G353" s="23"/>
      <c r="H353" s="7"/>
      <c r="I353" s="47"/>
      <c r="J353" s="11"/>
      <c r="L353" s="40"/>
      <c r="M353" s="228"/>
    </row>
    <row r="354" spans="1:14" ht="18.75" customHeight="1" x14ac:dyDescent="0.55000000000000004">
      <c r="A354" s="28"/>
      <c r="B354" s="45"/>
      <c r="C354" s="49"/>
      <c r="D354" s="54"/>
      <c r="E354" s="63"/>
      <c r="F354" s="23"/>
      <c r="G354" s="23"/>
      <c r="H354" s="7"/>
      <c r="I354" s="47"/>
      <c r="J354" s="11"/>
      <c r="L354" s="40"/>
      <c r="M354" s="228"/>
    </row>
    <row r="355" spans="1:14" ht="18.75" customHeight="1" x14ac:dyDescent="0.55000000000000004">
      <c r="A355" s="28"/>
      <c r="B355" s="45"/>
      <c r="C355" s="49"/>
      <c r="D355" s="54"/>
      <c r="E355" s="42"/>
      <c r="F355" s="23"/>
      <c r="G355" s="23"/>
      <c r="H355" s="7"/>
      <c r="I355" s="47"/>
      <c r="J355" s="11"/>
      <c r="L355" s="40"/>
      <c r="M355" s="227"/>
      <c r="N355" s="80"/>
    </row>
    <row r="356" spans="1:14" ht="18.75" customHeight="1" x14ac:dyDescent="0.55000000000000004">
      <c r="A356" s="28"/>
      <c r="B356" s="45"/>
      <c r="C356" s="49"/>
      <c r="D356" s="54"/>
      <c r="E356" s="42"/>
      <c r="F356" s="23"/>
      <c r="G356" s="23"/>
      <c r="H356" s="7"/>
      <c r="I356" s="47"/>
      <c r="J356" s="11"/>
      <c r="L356" s="40"/>
      <c r="M356" s="30"/>
    </row>
    <row r="357" spans="1:14" ht="18.75" customHeight="1" x14ac:dyDescent="0.55000000000000004">
      <c r="A357" s="28"/>
      <c r="B357" s="45"/>
      <c r="C357" s="49"/>
      <c r="D357" s="54"/>
      <c r="E357" s="63"/>
      <c r="F357" s="23"/>
      <c r="G357" s="23"/>
      <c r="H357" s="7"/>
      <c r="I357" s="47"/>
      <c r="J357" s="25"/>
      <c r="K357" s="40"/>
      <c r="L357" s="40"/>
      <c r="M357" s="228"/>
    </row>
    <row r="358" spans="1:14" ht="18.75" customHeight="1" x14ac:dyDescent="0.55000000000000004">
      <c r="A358" s="28"/>
      <c r="B358" s="45"/>
      <c r="C358" s="49"/>
      <c r="D358" s="54"/>
      <c r="E358" s="63"/>
      <c r="F358" s="23"/>
      <c r="G358" s="23"/>
      <c r="H358" s="7"/>
      <c r="I358" s="47"/>
      <c r="J358" s="11"/>
      <c r="L358" s="40"/>
      <c r="M358" s="228"/>
    </row>
    <row r="359" spans="1:14" ht="18.75" customHeight="1" x14ac:dyDescent="0.55000000000000004">
      <c r="A359" s="28"/>
      <c r="B359" s="45"/>
      <c r="C359" s="49"/>
      <c r="D359" s="54"/>
      <c r="E359" s="63"/>
      <c r="F359" s="23"/>
      <c r="G359" s="23"/>
      <c r="H359" s="7"/>
      <c r="I359" s="47"/>
      <c r="J359" s="11"/>
      <c r="L359" s="40"/>
      <c r="M359" s="228"/>
    </row>
    <row r="360" spans="1:14" ht="18.75" customHeight="1" x14ac:dyDescent="0.55000000000000004">
      <c r="A360" s="28"/>
      <c r="B360" s="45"/>
      <c r="C360" s="49"/>
      <c r="D360" s="54"/>
      <c r="E360" s="42"/>
      <c r="F360" s="23"/>
      <c r="G360" s="23"/>
      <c r="H360" s="7"/>
      <c r="I360" s="47"/>
      <c r="J360" s="11"/>
      <c r="L360" s="40"/>
      <c r="M360" s="227"/>
      <c r="N360" s="80"/>
    </row>
    <row r="361" spans="1:14" ht="18.75" customHeight="1" x14ac:dyDescent="0.55000000000000004">
      <c r="A361" s="28"/>
      <c r="B361" s="45"/>
      <c r="C361" s="49"/>
      <c r="D361" s="54"/>
      <c r="E361" s="42"/>
      <c r="F361" s="23"/>
      <c r="G361" s="23"/>
      <c r="H361" s="7"/>
      <c r="I361" s="47"/>
      <c r="J361" s="11"/>
      <c r="L361" s="40"/>
      <c r="M361" s="30"/>
    </row>
    <row r="362" spans="1:14" ht="18.75" customHeight="1" x14ac:dyDescent="0.55000000000000004">
      <c r="A362" s="28"/>
      <c r="B362" s="45"/>
      <c r="C362" s="49"/>
      <c r="D362" s="54"/>
      <c r="E362" s="63"/>
      <c r="F362" s="23"/>
      <c r="G362" s="23"/>
      <c r="H362" s="7"/>
      <c r="I362" s="47"/>
      <c r="J362" s="25"/>
      <c r="K362" s="40"/>
      <c r="L362" s="40"/>
      <c r="M362" s="228"/>
    </row>
    <row r="363" spans="1:14" ht="18.75" customHeight="1" x14ac:dyDescent="0.55000000000000004">
      <c r="A363" s="28"/>
      <c r="B363" s="45"/>
      <c r="C363" s="49"/>
      <c r="D363" s="54"/>
      <c r="E363" s="63"/>
      <c r="F363" s="23"/>
      <c r="G363" s="23"/>
      <c r="H363" s="7"/>
      <c r="I363" s="47"/>
      <c r="J363" s="11"/>
      <c r="L363" s="40"/>
      <c r="M363" s="228"/>
    </row>
    <row r="364" spans="1:14" ht="18.75" customHeight="1" x14ac:dyDescent="0.55000000000000004">
      <c r="A364" s="28"/>
      <c r="B364" s="45"/>
      <c r="C364" s="49"/>
      <c r="D364" s="54"/>
      <c r="E364" s="63"/>
      <c r="F364" s="23"/>
      <c r="G364" s="23"/>
      <c r="H364" s="7"/>
      <c r="I364" s="47"/>
      <c r="J364" s="11"/>
      <c r="L364" s="40"/>
      <c r="M364" s="228"/>
    </row>
    <row r="365" spans="1:14" ht="18.75" customHeight="1" x14ac:dyDescent="0.55000000000000004">
      <c r="A365" s="28"/>
      <c r="B365" s="45"/>
      <c r="C365" s="49"/>
      <c r="D365" s="54"/>
      <c r="E365" s="42"/>
      <c r="F365" s="23"/>
      <c r="G365" s="23"/>
      <c r="H365" s="7"/>
      <c r="I365" s="47"/>
      <c r="J365" s="11"/>
      <c r="L365" s="40"/>
      <c r="M365" s="227"/>
      <c r="N365" s="80"/>
    </row>
    <row r="366" spans="1:14" ht="18.75" customHeight="1" x14ac:dyDescent="0.55000000000000004">
      <c r="A366" s="28"/>
      <c r="B366" s="45"/>
      <c r="C366" s="49"/>
      <c r="D366" s="54"/>
      <c r="E366" s="42"/>
      <c r="F366" s="23"/>
      <c r="G366" s="23"/>
      <c r="H366" s="7"/>
      <c r="I366" s="47"/>
      <c r="J366" s="11"/>
      <c r="L366" s="40"/>
      <c r="M366" s="30"/>
    </row>
    <row r="367" spans="1:14" ht="18.75" customHeight="1" x14ac:dyDescent="0.55000000000000004">
      <c r="A367" s="28"/>
      <c r="B367" s="45"/>
      <c r="C367" s="49"/>
      <c r="D367" s="54"/>
      <c r="E367" s="63"/>
      <c r="F367" s="23"/>
      <c r="G367" s="23"/>
      <c r="H367" s="7"/>
      <c r="I367" s="47"/>
      <c r="J367" s="25"/>
      <c r="K367" s="40"/>
      <c r="L367" s="40"/>
      <c r="M367" s="228"/>
    </row>
    <row r="368" spans="1:14" ht="18.75" customHeight="1" x14ac:dyDescent="0.55000000000000004">
      <c r="A368" s="28"/>
      <c r="B368" s="45"/>
      <c r="C368" s="49"/>
      <c r="D368" s="54"/>
      <c r="E368" s="63"/>
      <c r="F368" s="23"/>
      <c r="G368" s="23"/>
      <c r="H368" s="7"/>
      <c r="I368" s="47"/>
      <c r="J368" s="11"/>
      <c r="L368" s="40"/>
      <c r="M368" s="228"/>
    </row>
    <row r="369" spans="1:14" ht="18.75" customHeight="1" x14ac:dyDescent="0.55000000000000004">
      <c r="A369" s="28"/>
      <c r="B369" s="45"/>
      <c r="C369" s="49"/>
      <c r="D369" s="54"/>
      <c r="E369" s="63"/>
      <c r="F369" s="23"/>
      <c r="G369" s="23"/>
      <c r="H369" s="7"/>
      <c r="I369" s="47"/>
      <c r="J369" s="11"/>
      <c r="L369" s="40"/>
      <c r="M369" s="228"/>
    </row>
    <row r="370" spans="1:14" ht="18.75" customHeight="1" x14ac:dyDescent="0.55000000000000004">
      <c r="A370" s="28"/>
      <c r="B370" s="45"/>
      <c r="C370" s="49"/>
      <c r="D370" s="54"/>
      <c r="E370" s="42"/>
      <c r="F370" s="23"/>
      <c r="G370" s="23"/>
      <c r="H370" s="7"/>
      <c r="I370" s="47"/>
      <c r="J370" s="11"/>
      <c r="L370" s="40"/>
      <c r="M370" s="227"/>
      <c r="N370" s="80"/>
    </row>
    <row r="371" spans="1:14" ht="18.75" customHeight="1" x14ac:dyDescent="0.55000000000000004">
      <c r="A371" s="28"/>
      <c r="B371" s="45"/>
      <c r="C371" s="49"/>
      <c r="D371" s="54"/>
      <c r="E371" s="42"/>
      <c r="F371" s="23"/>
      <c r="G371" s="23"/>
      <c r="H371" s="7"/>
      <c r="I371" s="47"/>
      <c r="J371" s="11"/>
      <c r="L371" s="40"/>
      <c r="M371" s="30"/>
    </row>
    <row r="372" spans="1:14" ht="18.75" customHeight="1" x14ac:dyDescent="0.55000000000000004">
      <c r="A372" s="28"/>
      <c r="B372" s="45"/>
      <c r="C372" s="49"/>
      <c r="D372" s="54"/>
      <c r="E372" s="63"/>
      <c r="F372" s="23"/>
      <c r="G372" s="23"/>
      <c r="H372" s="7"/>
      <c r="I372" s="47"/>
      <c r="J372" s="25"/>
      <c r="K372" s="40"/>
      <c r="L372" s="40"/>
      <c r="M372" s="228"/>
    </row>
    <row r="373" spans="1:14" ht="18.75" customHeight="1" x14ac:dyDescent="0.55000000000000004">
      <c r="A373" s="28"/>
      <c r="B373" s="45"/>
      <c r="C373" s="49"/>
      <c r="D373" s="54"/>
      <c r="E373" s="63"/>
      <c r="F373" s="23"/>
      <c r="G373" s="23"/>
      <c r="H373" s="7"/>
      <c r="I373" s="47"/>
      <c r="J373" s="11"/>
      <c r="L373" s="40"/>
      <c r="M373" s="228"/>
    </row>
    <row r="374" spans="1:14" ht="18.75" customHeight="1" x14ac:dyDescent="0.55000000000000004">
      <c r="A374" s="28"/>
      <c r="B374" s="45"/>
      <c r="C374" s="49"/>
      <c r="D374" s="54"/>
      <c r="E374" s="63"/>
      <c r="F374" s="23"/>
      <c r="G374" s="23"/>
      <c r="H374" s="7"/>
      <c r="I374" s="47"/>
      <c r="J374" s="11"/>
      <c r="L374" s="40"/>
      <c r="M374" s="228"/>
    </row>
    <row r="375" spans="1:14" ht="18.75" customHeight="1" x14ac:dyDescent="0.55000000000000004">
      <c r="A375" s="28"/>
      <c r="B375" s="45"/>
      <c r="C375" s="49"/>
      <c r="D375" s="54"/>
      <c r="E375" s="42"/>
      <c r="F375" s="23"/>
      <c r="G375" s="23"/>
      <c r="H375" s="7"/>
      <c r="I375" s="47"/>
      <c r="J375" s="11"/>
      <c r="L375" s="40"/>
      <c r="M375" s="227"/>
      <c r="N375" s="80"/>
    </row>
    <row r="376" spans="1:14" ht="18.75" customHeight="1" x14ac:dyDescent="0.55000000000000004">
      <c r="A376" s="28"/>
      <c r="B376" s="45"/>
      <c r="C376" s="49"/>
      <c r="D376" s="54"/>
      <c r="E376" s="42"/>
      <c r="F376" s="23"/>
      <c r="G376" s="23"/>
      <c r="H376" s="7"/>
      <c r="I376" s="47"/>
      <c r="J376" s="11"/>
      <c r="L376" s="40"/>
      <c r="M376" s="30"/>
    </row>
    <row r="377" spans="1:14" ht="18.75" customHeight="1" x14ac:dyDescent="0.55000000000000004">
      <c r="A377" s="28"/>
      <c r="B377" s="45"/>
      <c r="C377" s="49"/>
      <c r="D377" s="54"/>
      <c r="E377" s="63"/>
      <c r="F377" s="23"/>
      <c r="G377" s="23"/>
      <c r="H377" s="7"/>
      <c r="I377" s="47"/>
      <c r="J377" s="25"/>
      <c r="K377" s="40"/>
      <c r="L377" s="40"/>
      <c r="M377" s="228"/>
    </row>
    <row r="378" spans="1:14" ht="18.75" customHeight="1" x14ac:dyDescent="0.55000000000000004">
      <c r="A378" s="28"/>
      <c r="B378" s="45"/>
      <c r="C378" s="49"/>
      <c r="D378" s="54"/>
      <c r="E378" s="63"/>
      <c r="F378" s="23"/>
      <c r="G378" s="23"/>
      <c r="H378" s="7"/>
      <c r="I378" s="47"/>
      <c r="J378" s="11"/>
      <c r="L378" s="40"/>
      <c r="M378" s="228"/>
    </row>
    <row r="379" spans="1:14" ht="18.75" customHeight="1" x14ac:dyDescent="0.55000000000000004">
      <c r="A379" s="28"/>
      <c r="B379" s="45"/>
      <c r="C379" s="49"/>
      <c r="D379" s="54"/>
      <c r="E379" s="63"/>
      <c r="F379" s="23"/>
      <c r="G379" s="23"/>
      <c r="H379" s="7"/>
      <c r="I379" s="47"/>
      <c r="J379" s="11"/>
      <c r="L379" s="40"/>
      <c r="M379" s="228"/>
    </row>
    <row r="380" spans="1:14" ht="18.75" customHeight="1" x14ac:dyDescent="0.55000000000000004">
      <c r="A380" s="28"/>
      <c r="B380" s="45"/>
      <c r="C380" s="49"/>
      <c r="D380" s="54"/>
      <c r="E380" s="42"/>
      <c r="F380" s="23"/>
      <c r="G380" s="23"/>
      <c r="H380" s="7"/>
      <c r="I380" s="47"/>
      <c r="J380" s="11"/>
      <c r="L380" s="40"/>
      <c r="M380" s="227"/>
      <c r="N380" s="80"/>
    </row>
    <row r="381" spans="1:14" ht="18.75" customHeight="1" x14ac:dyDescent="0.55000000000000004">
      <c r="A381" s="28"/>
      <c r="B381" s="45"/>
      <c r="C381" s="49"/>
      <c r="D381" s="54"/>
      <c r="E381" s="42"/>
      <c r="F381" s="23"/>
      <c r="G381" s="23"/>
      <c r="H381" s="7"/>
      <c r="I381" s="47"/>
      <c r="J381" s="11"/>
      <c r="L381" s="40"/>
      <c r="M381" s="30"/>
    </row>
    <row r="382" spans="1:14" ht="18.75" customHeight="1" x14ac:dyDescent="0.55000000000000004">
      <c r="A382" s="28"/>
      <c r="B382" s="45"/>
      <c r="C382" s="49"/>
      <c r="D382" s="54"/>
      <c r="E382" s="63"/>
      <c r="F382" s="23"/>
      <c r="G382" s="23"/>
      <c r="H382" s="7"/>
      <c r="I382" s="47"/>
      <c r="J382" s="25"/>
      <c r="K382" s="40"/>
      <c r="L382" s="40"/>
      <c r="M382" s="228"/>
    </row>
    <row r="383" spans="1:14" ht="18.75" customHeight="1" x14ac:dyDescent="0.55000000000000004">
      <c r="A383" s="28"/>
      <c r="B383" s="45"/>
      <c r="C383" s="49"/>
      <c r="D383" s="54"/>
      <c r="E383" s="63"/>
      <c r="F383" s="23"/>
      <c r="G383" s="23"/>
      <c r="H383" s="7"/>
      <c r="I383" s="47"/>
      <c r="J383" s="11"/>
      <c r="L383" s="40"/>
      <c r="M383" s="228"/>
    </row>
    <row r="384" spans="1:14" ht="18.75" customHeight="1" x14ac:dyDescent="0.55000000000000004">
      <c r="A384" s="28"/>
      <c r="B384" s="45"/>
      <c r="C384" s="49"/>
      <c r="D384" s="54"/>
      <c r="E384" s="63"/>
      <c r="F384" s="23"/>
      <c r="G384" s="23"/>
      <c r="H384" s="7"/>
      <c r="I384" s="47"/>
      <c r="J384" s="11"/>
      <c r="L384" s="40"/>
      <c r="M384" s="228"/>
    </row>
    <row r="385" spans="1:14" ht="18.75" customHeight="1" x14ac:dyDescent="0.55000000000000004">
      <c r="A385" s="28"/>
      <c r="B385" s="45"/>
      <c r="C385" s="49"/>
      <c r="D385" s="54"/>
      <c r="E385" s="42"/>
      <c r="F385" s="23"/>
      <c r="G385" s="23"/>
      <c r="H385" s="7"/>
      <c r="I385" s="47"/>
      <c r="J385" s="11"/>
      <c r="L385" s="40"/>
      <c r="M385" s="227"/>
      <c r="N385" s="80"/>
    </row>
    <row r="386" spans="1:14" ht="18.75" customHeight="1" x14ac:dyDescent="0.55000000000000004">
      <c r="A386" s="28"/>
      <c r="B386" s="45"/>
      <c r="C386" s="49"/>
      <c r="D386" s="54"/>
      <c r="E386" s="42"/>
      <c r="F386" s="23"/>
      <c r="G386" s="23"/>
      <c r="H386" s="7"/>
      <c r="I386" s="47"/>
      <c r="J386" s="11"/>
      <c r="L386" s="40"/>
      <c r="M386" s="30"/>
    </row>
    <row r="387" spans="1:14" ht="18.75" customHeight="1" x14ac:dyDescent="0.55000000000000004">
      <c r="A387" s="28"/>
      <c r="B387" s="45"/>
      <c r="C387" s="49"/>
      <c r="D387" s="54"/>
      <c r="E387" s="63"/>
      <c r="F387" s="23"/>
      <c r="G387" s="23"/>
      <c r="H387" s="7"/>
      <c r="I387" s="47"/>
      <c r="J387" s="25"/>
      <c r="K387" s="40"/>
      <c r="L387" s="40"/>
      <c r="M387" s="228"/>
    </row>
    <row r="388" spans="1:14" ht="18.75" customHeight="1" x14ac:dyDescent="0.55000000000000004">
      <c r="A388" s="28"/>
      <c r="B388" s="45"/>
      <c r="C388" s="49"/>
      <c r="D388" s="54"/>
      <c r="E388" s="63"/>
      <c r="F388" s="23"/>
      <c r="G388" s="23"/>
      <c r="H388" s="7"/>
      <c r="I388" s="47"/>
      <c r="J388" s="11"/>
      <c r="L388" s="40"/>
      <c r="M388" s="228"/>
    </row>
    <row r="389" spans="1:14" ht="18.75" customHeight="1" x14ac:dyDescent="0.55000000000000004">
      <c r="A389" s="28"/>
      <c r="B389" s="45"/>
      <c r="C389" s="49"/>
      <c r="D389" s="54"/>
      <c r="E389" s="63"/>
      <c r="F389" s="23"/>
      <c r="G389" s="23"/>
      <c r="H389" s="7"/>
      <c r="I389" s="47"/>
      <c r="J389" s="11"/>
      <c r="L389" s="40"/>
      <c r="M389" s="228"/>
    </row>
    <row r="390" spans="1:14" ht="18.75" customHeight="1" x14ac:dyDescent="0.55000000000000004">
      <c r="A390" s="28"/>
      <c r="B390" s="45"/>
      <c r="C390" s="49"/>
      <c r="D390" s="54"/>
      <c r="E390" s="42"/>
      <c r="F390" s="23"/>
      <c r="G390" s="23"/>
      <c r="H390" s="7"/>
      <c r="I390" s="47"/>
      <c r="J390" s="11"/>
      <c r="L390" s="40"/>
      <c r="M390" s="227"/>
      <c r="N390" s="80"/>
    </row>
    <row r="391" spans="1:14" ht="18.75" customHeight="1" x14ac:dyDescent="0.55000000000000004">
      <c r="A391" s="28"/>
      <c r="B391" s="45"/>
      <c r="C391" s="49"/>
      <c r="D391" s="54"/>
      <c r="E391" s="42"/>
      <c r="F391" s="23"/>
      <c r="G391" s="23"/>
      <c r="H391" s="7"/>
      <c r="I391" s="47"/>
      <c r="J391" s="11"/>
      <c r="L391" s="40"/>
      <c r="M391" s="30"/>
    </row>
    <row r="392" spans="1:14" ht="18.75" customHeight="1" x14ac:dyDescent="0.55000000000000004">
      <c r="A392" s="28"/>
      <c r="B392" s="45"/>
      <c r="C392" s="49"/>
      <c r="D392" s="54"/>
      <c r="E392" s="63"/>
      <c r="F392" s="23"/>
      <c r="G392" s="23"/>
      <c r="H392" s="7"/>
      <c r="I392" s="47"/>
      <c r="J392" s="25"/>
      <c r="K392" s="40"/>
      <c r="L392" s="40"/>
      <c r="M392" s="228"/>
    </row>
    <row r="393" spans="1:14" ht="18.75" customHeight="1" x14ac:dyDescent="0.55000000000000004">
      <c r="A393" s="28"/>
      <c r="B393" s="45"/>
      <c r="C393" s="49"/>
      <c r="D393" s="54"/>
      <c r="E393" s="63"/>
      <c r="F393" s="23"/>
      <c r="G393" s="23"/>
      <c r="H393" s="7"/>
      <c r="I393" s="47"/>
      <c r="J393" s="11"/>
      <c r="L393" s="40"/>
      <c r="M393" s="228"/>
    </row>
    <row r="394" spans="1:14" ht="18.75" customHeight="1" x14ac:dyDescent="0.55000000000000004">
      <c r="A394" s="28"/>
      <c r="B394" s="45"/>
      <c r="C394" s="49"/>
      <c r="D394" s="54"/>
      <c r="E394" s="63"/>
      <c r="F394" s="23"/>
      <c r="G394" s="23"/>
      <c r="H394" s="7"/>
      <c r="I394" s="47"/>
      <c r="J394" s="11"/>
      <c r="L394" s="40"/>
      <c r="M394" s="228"/>
    </row>
    <row r="395" spans="1:14" ht="18.75" customHeight="1" x14ac:dyDescent="0.55000000000000004">
      <c r="A395" s="28"/>
      <c r="B395" s="45"/>
      <c r="C395" s="49"/>
      <c r="D395" s="54"/>
      <c r="E395" s="42"/>
      <c r="F395" s="23"/>
      <c r="G395" s="23"/>
      <c r="H395" s="7"/>
      <c r="I395" s="47"/>
      <c r="J395" s="11"/>
      <c r="L395" s="40"/>
      <c r="M395" s="227"/>
      <c r="N395" s="80"/>
    </row>
    <row r="396" spans="1:14" ht="18.75" customHeight="1" x14ac:dyDescent="0.55000000000000004">
      <c r="A396" s="28"/>
      <c r="B396" s="45"/>
      <c r="C396" s="49"/>
      <c r="D396" s="54"/>
      <c r="E396" s="42"/>
      <c r="F396" s="23"/>
      <c r="G396" s="23"/>
      <c r="H396" s="7"/>
      <c r="I396" s="47"/>
      <c r="J396" s="11"/>
      <c r="L396" s="40"/>
      <c r="M396" s="30"/>
    </row>
    <row r="397" spans="1:14" ht="18.75" customHeight="1" x14ac:dyDescent="0.55000000000000004">
      <c r="A397" s="28"/>
      <c r="B397" s="45"/>
      <c r="C397" s="49"/>
      <c r="D397" s="54"/>
      <c r="E397" s="63"/>
      <c r="F397" s="23"/>
      <c r="G397" s="23"/>
      <c r="H397" s="7"/>
      <c r="I397" s="47"/>
      <c r="J397" s="25"/>
      <c r="K397" s="40"/>
      <c r="L397" s="40"/>
      <c r="M397" s="228"/>
    </row>
    <row r="398" spans="1:14" ht="18.75" customHeight="1" x14ac:dyDescent="0.55000000000000004">
      <c r="A398" s="28"/>
      <c r="B398" s="45"/>
      <c r="C398" s="49"/>
      <c r="D398" s="54"/>
      <c r="E398" s="63"/>
      <c r="F398" s="23"/>
      <c r="G398" s="23"/>
      <c r="H398" s="7"/>
      <c r="I398" s="47"/>
      <c r="J398" s="11"/>
      <c r="L398" s="40"/>
      <c r="M398" s="228"/>
    </row>
    <row r="399" spans="1:14" ht="18.75" customHeight="1" x14ac:dyDescent="0.55000000000000004">
      <c r="A399" s="28"/>
      <c r="B399" s="45"/>
      <c r="C399" s="49"/>
      <c r="D399" s="54"/>
      <c r="E399" s="63"/>
      <c r="F399" s="23"/>
      <c r="G399" s="23"/>
      <c r="H399" s="7"/>
      <c r="I399" s="47"/>
      <c r="J399" s="11"/>
      <c r="L399" s="40"/>
      <c r="M399" s="228"/>
    </row>
    <row r="400" spans="1:14" ht="18.75" customHeight="1" x14ac:dyDescent="0.55000000000000004">
      <c r="A400" s="28"/>
      <c r="B400" s="45"/>
      <c r="C400" s="49"/>
      <c r="D400" s="54"/>
      <c r="E400" s="42"/>
      <c r="F400" s="23"/>
      <c r="G400" s="23"/>
      <c r="H400" s="7"/>
      <c r="I400" s="47"/>
      <c r="J400" s="11"/>
      <c r="L400" s="40"/>
      <c r="M400" s="227"/>
      <c r="N400" s="80"/>
    </row>
    <row r="401" spans="1:14" ht="18.75" customHeight="1" x14ac:dyDescent="0.55000000000000004">
      <c r="A401" s="28"/>
      <c r="B401" s="45"/>
      <c r="C401" s="49"/>
      <c r="D401" s="54"/>
      <c r="E401" s="42"/>
      <c r="F401" s="23"/>
      <c r="G401" s="23"/>
      <c r="H401" s="7"/>
      <c r="I401" s="47"/>
      <c r="J401" s="11"/>
      <c r="L401" s="40"/>
      <c r="M401" s="30"/>
    </row>
    <row r="402" spans="1:14" ht="18.75" customHeight="1" x14ac:dyDescent="0.55000000000000004">
      <c r="A402" s="28"/>
      <c r="B402" s="45"/>
      <c r="C402" s="49"/>
      <c r="D402" s="54"/>
      <c r="E402" s="63"/>
      <c r="F402" s="23"/>
      <c r="G402" s="23"/>
      <c r="H402" s="7"/>
      <c r="I402" s="47"/>
      <c r="J402" s="25"/>
      <c r="K402" s="40"/>
      <c r="L402" s="40"/>
      <c r="M402" s="228"/>
    </row>
    <row r="403" spans="1:14" ht="18.75" customHeight="1" x14ac:dyDescent="0.55000000000000004">
      <c r="A403" s="28"/>
      <c r="B403" s="45"/>
      <c r="C403" s="49"/>
      <c r="D403" s="54"/>
      <c r="E403" s="63"/>
      <c r="F403" s="23"/>
      <c r="G403" s="23"/>
      <c r="H403" s="7"/>
      <c r="I403" s="47"/>
      <c r="J403" s="11"/>
      <c r="L403" s="40"/>
      <c r="M403" s="228"/>
    </row>
    <row r="404" spans="1:14" ht="18.75" customHeight="1" x14ac:dyDescent="0.55000000000000004">
      <c r="A404" s="28"/>
      <c r="B404" s="45"/>
      <c r="C404" s="49"/>
      <c r="D404" s="54"/>
      <c r="E404" s="63"/>
      <c r="F404" s="23"/>
      <c r="G404" s="23"/>
      <c r="H404" s="7"/>
      <c r="I404" s="47"/>
      <c r="J404" s="11"/>
      <c r="L404" s="40"/>
      <c r="M404" s="228"/>
    </row>
    <row r="405" spans="1:14" ht="18.75" customHeight="1" x14ac:dyDescent="0.55000000000000004">
      <c r="A405" s="28"/>
      <c r="B405" s="45"/>
      <c r="C405" s="49"/>
      <c r="D405" s="54"/>
      <c r="E405" s="42"/>
      <c r="F405" s="23"/>
      <c r="G405" s="23"/>
      <c r="H405" s="7"/>
      <c r="I405" s="47"/>
      <c r="J405" s="11"/>
      <c r="L405" s="40"/>
      <c r="M405" s="227"/>
      <c r="N405" s="80"/>
    </row>
    <row r="406" spans="1:14" ht="18.75" customHeight="1" x14ac:dyDescent="0.55000000000000004">
      <c r="A406" s="28"/>
      <c r="B406" s="45"/>
      <c r="C406" s="49"/>
      <c r="D406" s="54"/>
      <c r="E406" s="42"/>
      <c r="F406" s="23"/>
      <c r="G406" s="23"/>
      <c r="H406" s="7"/>
      <c r="I406" s="47"/>
      <c r="J406" s="11"/>
      <c r="L406" s="40"/>
      <c r="M406" s="30"/>
    </row>
    <row r="407" spans="1:14" ht="18.75" customHeight="1" x14ac:dyDescent="0.55000000000000004">
      <c r="A407" s="28"/>
      <c r="B407" s="45"/>
      <c r="C407" s="49"/>
      <c r="D407" s="54"/>
      <c r="E407" s="63"/>
      <c r="F407" s="23"/>
      <c r="G407" s="23"/>
      <c r="H407" s="7"/>
      <c r="I407" s="47"/>
      <c r="J407" s="25"/>
      <c r="K407" s="40"/>
      <c r="L407" s="40"/>
      <c r="M407" s="228"/>
    </row>
    <row r="408" spans="1:14" ht="18.75" customHeight="1" x14ac:dyDescent="0.55000000000000004">
      <c r="A408" s="28"/>
      <c r="B408" s="45"/>
      <c r="C408" s="49"/>
      <c r="D408" s="54"/>
      <c r="E408" s="63"/>
      <c r="F408" s="23"/>
      <c r="G408" s="23"/>
      <c r="H408" s="7"/>
      <c r="I408" s="47"/>
      <c r="J408" s="11"/>
      <c r="L408" s="40"/>
      <c r="M408" s="228"/>
    </row>
    <row r="409" spans="1:14" ht="18.75" customHeight="1" x14ac:dyDescent="0.55000000000000004">
      <c r="A409" s="28"/>
      <c r="B409" s="45"/>
      <c r="C409" s="49"/>
      <c r="D409" s="54"/>
      <c r="E409" s="63"/>
      <c r="F409" s="23"/>
      <c r="G409" s="23"/>
      <c r="H409" s="7"/>
      <c r="I409" s="47"/>
      <c r="J409" s="11"/>
      <c r="L409" s="40"/>
      <c r="M409" s="228"/>
    </row>
    <row r="410" spans="1:14" ht="18.75" customHeight="1" x14ac:dyDescent="0.55000000000000004">
      <c r="A410" s="28"/>
      <c r="B410" s="45"/>
      <c r="C410" s="49"/>
      <c r="D410" s="54"/>
      <c r="E410" s="42"/>
      <c r="F410" s="23"/>
      <c r="G410" s="23"/>
      <c r="H410" s="7"/>
      <c r="I410" s="47"/>
      <c r="J410" s="11"/>
      <c r="L410" s="40"/>
      <c r="M410" s="227"/>
      <c r="N410" s="80"/>
    </row>
    <row r="411" spans="1:14" ht="18.75" customHeight="1" x14ac:dyDescent="0.55000000000000004">
      <c r="A411" s="28"/>
      <c r="B411" s="45"/>
      <c r="C411" s="49"/>
      <c r="D411" s="54"/>
      <c r="E411" s="42"/>
      <c r="F411" s="23"/>
      <c r="G411" s="23"/>
      <c r="H411" s="7"/>
      <c r="I411" s="47"/>
      <c r="J411" s="11"/>
      <c r="L411" s="40"/>
      <c r="M411" s="30"/>
    </row>
    <row r="412" spans="1:14" ht="18.75" customHeight="1" x14ac:dyDescent="0.55000000000000004">
      <c r="A412" s="28"/>
      <c r="B412" s="45"/>
      <c r="C412" s="49"/>
      <c r="D412" s="54"/>
      <c r="E412" s="63"/>
      <c r="F412" s="23"/>
      <c r="G412" s="23"/>
      <c r="H412" s="7"/>
      <c r="I412" s="47"/>
      <c r="J412" s="25"/>
      <c r="K412" s="40"/>
      <c r="L412" s="40"/>
      <c r="M412" s="228"/>
    </row>
    <row r="413" spans="1:14" ht="18.75" customHeight="1" x14ac:dyDescent="0.55000000000000004">
      <c r="A413" s="28"/>
      <c r="B413" s="45"/>
      <c r="C413" s="49"/>
      <c r="D413" s="54"/>
      <c r="E413" s="63"/>
      <c r="F413" s="23"/>
      <c r="G413" s="23"/>
      <c r="H413" s="7"/>
      <c r="I413" s="47"/>
      <c r="J413" s="11"/>
      <c r="L413" s="40"/>
      <c r="M413" s="228"/>
    </row>
    <row r="414" spans="1:14" ht="18.75" customHeight="1" x14ac:dyDescent="0.55000000000000004">
      <c r="A414" s="28"/>
      <c r="B414" s="45"/>
      <c r="C414" s="49"/>
      <c r="D414" s="54"/>
      <c r="E414" s="63"/>
      <c r="F414" s="23"/>
      <c r="G414" s="23"/>
      <c r="H414" s="7"/>
      <c r="I414" s="47"/>
      <c r="J414" s="11"/>
      <c r="L414" s="40"/>
      <c r="M414" s="228"/>
    </row>
    <row r="415" spans="1:14" ht="18.75" customHeight="1" x14ac:dyDescent="0.55000000000000004">
      <c r="A415" s="28"/>
      <c r="B415" s="45"/>
      <c r="C415" s="49"/>
      <c r="D415" s="54"/>
      <c r="E415" s="42"/>
      <c r="F415" s="23"/>
      <c r="G415" s="23"/>
      <c r="H415" s="7"/>
      <c r="I415" s="47"/>
      <c r="J415" s="11"/>
      <c r="L415" s="40"/>
      <c r="M415" s="227"/>
      <c r="N415" s="80"/>
    </row>
    <row r="416" spans="1:14" ht="18.75" customHeight="1" x14ac:dyDescent="0.55000000000000004">
      <c r="A416" s="28"/>
      <c r="B416" s="45"/>
      <c r="C416" s="49"/>
      <c r="D416" s="54"/>
      <c r="E416" s="42"/>
      <c r="F416" s="23"/>
      <c r="G416" s="23"/>
      <c r="H416" s="7"/>
      <c r="I416" s="47"/>
      <c r="J416" s="11"/>
      <c r="L416" s="40"/>
      <c r="M416" s="30"/>
    </row>
    <row r="417" spans="1:14" ht="18.75" customHeight="1" x14ac:dyDescent="0.55000000000000004">
      <c r="A417" s="28"/>
      <c r="B417" s="45"/>
      <c r="C417" s="49"/>
      <c r="D417" s="54"/>
      <c r="E417" s="63"/>
      <c r="F417" s="23"/>
      <c r="G417" s="23"/>
      <c r="H417" s="7"/>
      <c r="I417" s="47"/>
      <c r="J417" s="25"/>
      <c r="K417" s="40"/>
      <c r="L417" s="40"/>
      <c r="M417" s="228"/>
    </row>
    <row r="418" spans="1:14" ht="18.75" customHeight="1" x14ac:dyDescent="0.55000000000000004">
      <c r="A418" s="28"/>
      <c r="B418" s="45"/>
      <c r="C418" s="49"/>
      <c r="D418" s="54"/>
      <c r="E418" s="63"/>
      <c r="F418" s="23"/>
      <c r="G418" s="23"/>
      <c r="H418" s="7"/>
      <c r="I418" s="47"/>
      <c r="J418" s="11"/>
      <c r="L418" s="40"/>
      <c r="M418" s="228"/>
    </row>
    <row r="419" spans="1:14" ht="18.75" customHeight="1" x14ac:dyDescent="0.55000000000000004">
      <c r="A419" s="28"/>
      <c r="B419" s="45"/>
      <c r="C419" s="49"/>
      <c r="D419" s="54"/>
      <c r="E419" s="63"/>
      <c r="F419" s="23"/>
      <c r="G419" s="23"/>
      <c r="H419" s="7"/>
      <c r="I419" s="47"/>
      <c r="J419" s="11"/>
      <c r="L419" s="40"/>
      <c r="M419" s="228"/>
    </row>
    <row r="420" spans="1:14" ht="18.75" customHeight="1" x14ac:dyDescent="0.55000000000000004">
      <c r="A420" s="28"/>
      <c r="B420" s="45"/>
      <c r="C420" s="49"/>
      <c r="D420" s="54"/>
      <c r="E420" s="42"/>
      <c r="F420" s="23"/>
      <c r="G420" s="23"/>
      <c r="H420" s="7"/>
      <c r="I420" s="47"/>
      <c r="J420" s="11"/>
      <c r="L420" s="40"/>
      <c r="M420" s="227"/>
      <c r="N420" s="80"/>
    </row>
    <row r="421" spans="1:14" ht="18.75" customHeight="1" x14ac:dyDescent="0.55000000000000004">
      <c r="A421" s="28"/>
      <c r="B421" s="45"/>
      <c r="C421" s="49"/>
      <c r="D421" s="54"/>
      <c r="E421" s="42"/>
      <c r="F421" s="23"/>
      <c r="G421" s="23"/>
      <c r="H421" s="7"/>
      <c r="I421" s="47"/>
      <c r="J421" s="11"/>
      <c r="L421" s="40"/>
      <c r="M421" s="30"/>
    </row>
    <row r="422" spans="1:14" ht="18.75" customHeight="1" x14ac:dyDescent="0.55000000000000004">
      <c r="A422" s="28"/>
      <c r="B422" s="45"/>
      <c r="C422" s="49"/>
      <c r="D422" s="54"/>
      <c r="E422" s="63"/>
      <c r="F422" s="23"/>
      <c r="G422" s="23"/>
      <c r="H422" s="7"/>
      <c r="I422" s="47"/>
      <c r="J422" s="25"/>
      <c r="K422" s="40"/>
      <c r="L422" s="40"/>
      <c r="M422" s="228"/>
    </row>
    <row r="423" spans="1:14" ht="18.75" customHeight="1" x14ac:dyDescent="0.55000000000000004">
      <c r="A423" s="28"/>
      <c r="B423" s="45"/>
      <c r="C423" s="49"/>
      <c r="D423" s="54"/>
      <c r="E423" s="63"/>
      <c r="F423" s="23"/>
      <c r="G423" s="23"/>
      <c r="H423" s="7"/>
      <c r="I423" s="47"/>
      <c r="J423" s="11"/>
      <c r="L423" s="40"/>
      <c r="M423" s="228"/>
    </row>
    <row r="424" spans="1:14" ht="18.75" customHeight="1" x14ac:dyDescent="0.55000000000000004">
      <c r="A424" s="28"/>
      <c r="B424" s="45"/>
      <c r="C424" s="49"/>
      <c r="D424" s="54"/>
      <c r="E424" s="63"/>
      <c r="F424" s="23"/>
      <c r="G424" s="23"/>
      <c r="H424" s="7"/>
      <c r="I424" s="47"/>
      <c r="J424" s="11"/>
      <c r="L424" s="40"/>
      <c r="M424" s="228"/>
    </row>
    <row r="425" spans="1:14" ht="18.75" customHeight="1" x14ac:dyDescent="0.55000000000000004">
      <c r="A425" s="28"/>
      <c r="B425" s="45"/>
      <c r="C425" s="49"/>
      <c r="D425" s="54"/>
      <c r="E425" s="42"/>
      <c r="F425" s="23"/>
      <c r="G425" s="23"/>
      <c r="H425" s="7"/>
      <c r="I425" s="47"/>
      <c r="J425" s="11"/>
      <c r="L425" s="40"/>
      <c r="M425" s="227"/>
      <c r="N425" s="80"/>
    </row>
    <row r="426" spans="1:14" ht="18.75" customHeight="1" x14ac:dyDescent="0.55000000000000004">
      <c r="A426" s="28"/>
      <c r="B426" s="45"/>
      <c r="C426" s="49"/>
      <c r="D426" s="54"/>
      <c r="E426" s="42"/>
      <c r="F426" s="23"/>
      <c r="G426" s="23"/>
      <c r="H426" s="7"/>
      <c r="I426" s="47"/>
      <c r="J426" s="11"/>
      <c r="L426" s="40"/>
      <c r="M426" s="30"/>
    </row>
    <row r="427" spans="1:14" ht="18.75" customHeight="1" x14ac:dyDescent="0.55000000000000004">
      <c r="A427" s="28"/>
      <c r="B427" s="45"/>
      <c r="C427" s="49"/>
      <c r="D427" s="54"/>
      <c r="E427" s="63"/>
      <c r="F427" s="23"/>
      <c r="G427" s="23"/>
      <c r="H427" s="7"/>
      <c r="I427" s="47"/>
      <c r="J427" s="25"/>
      <c r="K427" s="40"/>
      <c r="L427" s="40"/>
      <c r="M427" s="228"/>
    </row>
    <row r="428" spans="1:14" ht="18.75" customHeight="1" x14ac:dyDescent="0.55000000000000004">
      <c r="A428" s="28"/>
      <c r="B428" s="45"/>
      <c r="C428" s="49"/>
      <c r="D428" s="54"/>
      <c r="E428" s="63"/>
      <c r="F428" s="23"/>
      <c r="G428" s="23"/>
      <c r="H428" s="7"/>
      <c r="I428" s="47"/>
      <c r="J428" s="11"/>
      <c r="L428" s="40"/>
      <c r="M428" s="228"/>
    </row>
    <row r="429" spans="1:14" ht="18.75" customHeight="1" x14ac:dyDescent="0.55000000000000004">
      <c r="A429" s="28"/>
      <c r="B429" s="45"/>
      <c r="C429" s="49"/>
      <c r="D429" s="54"/>
      <c r="E429" s="63"/>
      <c r="F429" s="23"/>
      <c r="G429" s="23"/>
      <c r="H429" s="7"/>
      <c r="I429" s="47"/>
      <c r="J429" s="11"/>
      <c r="L429" s="40"/>
      <c r="M429" s="228"/>
    </row>
    <row r="430" spans="1:14" ht="18.75" customHeight="1" x14ac:dyDescent="0.55000000000000004">
      <c r="A430" s="28"/>
      <c r="B430" s="45"/>
      <c r="C430" s="49"/>
      <c r="D430" s="54"/>
      <c r="E430" s="42"/>
      <c r="F430" s="23"/>
      <c r="G430" s="23"/>
      <c r="H430" s="7"/>
      <c r="I430" s="47"/>
      <c r="J430" s="11"/>
      <c r="L430" s="40"/>
      <c r="M430" s="227"/>
      <c r="N430" s="80"/>
    </row>
    <row r="431" spans="1:14" ht="18.75" customHeight="1" x14ac:dyDescent="0.55000000000000004">
      <c r="A431" s="28"/>
      <c r="B431" s="45"/>
      <c r="C431" s="49"/>
      <c r="D431" s="54"/>
      <c r="E431" s="42"/>
      <c r="F431" s="23"/>
      <c r="G431" s="23"/>
      <c r="H431" s="7"/>
      <c r="I431" s="47"/>
      <c r="J431" s="11"/>
      <c r="L431" s="40"/>
      <c r="M431" s="30"/>
    </row>
    <row r="432" spans="1:14" ht="18.75" customHeight="1" x14ac:dyDescent="0.55000000000000004">
      <c r="A432" s="28"/>
      <c r="B432" s="45"/>
      <c r="C432" s="49"/>
      <c r="D432" s="54"/>
      <c r="E432" s="63"/>
      <c r="F432" s="23"/>
      <c r="G432" s="23"/>
      <c r="H432" s="7"/>
      <c r="I432" s="47"/>
      <c r="J432" s="25"/>
      <c r="K432" s="40"/>
      <c r="L432" s="40"/>
      <c r="M432" s="228"/>
    </row>
    <row r="433" spans="1:14" ht="18.75" customHeight="1" x14ac:dyDescent="0.55000000000000004">
      <c r="A433" s="28"/>
      <c r="B433" s="45"/>
      <c r="C433" s="49"/>
      <c r="D433" s="54"/>
      <c r="E433" s="63"/>
      <c r="F433" s="23"/>
      <c r="G433" s="23"/>
      <c r="H433" s="7"/>
      <c r="I433" s="47"/>
      <c r="J433" s="11"/>
      <c r="L433" s="40"/>
      <c r="M433" s="228"/>
    </row>
    <row r="434" spans="1:14" ht="18.75" customHeight="1" x14ac:dyDescent="0.55000000000000004">
      <c r="A434" s="28"/>
      <c r="B434" s="45"/>
      <c r="C434" s="49"/>
      <c r="D434" s="54"/>
      <c r="E434" s="63"/>
      <c r="F434" s="23"/>
      <c r="G434" s="23"/>
      <c r="H434" s="7"/>
      <c r="I434" s="47"/>
      <c r="J434" s="11"/>
      <c r="L434" s="40"/>
      <c r="M434" s="228"/>
    </row>
    <row r="435" spans="1:14" ht="18.75" customHeight="1" x14ac:dyDescent="0.55000000000000004">
      <c r="A435" s="28"/>
      <c r="B435" s="45"/>
      <c r="C435" s="49"/>
      <c r="D435" s="54"/>
      <c r="E435" s="42"/>
      <c r="F435" s="23"/>
      <c r="G435" s="23"/>
      <c r="H435" s="7"/>
      <c r="I435" s="47"/>
      <c r="J435" s="11"/>
      <c r="L435" s="40"/>
      <c r="M435" s="227"/>
      <c r="N435" s="80"/>
    </row>
    <row r="436" spans="1:14" ht="18.75" customHeight="1" x14ac:dyDescent="0.55000000000000004">
      <c r="A436" s="28"/>
      <c r="B436" s="45"/>
      <c r="C436" s="49"/>
      <c r="D436" s="54"/>
      <c r="E436" s="42"/>
      <c r="F436" s="23"/>
      <c r="G436" s="23"/>
      <c r="H436" s="7"/>
      <c r="I436" s="47"/>
      <c r="J436" s="11"/>
      <c r="L436" s="40"/>
      <c r="M436" s="30"/>
    </row>
    <row r="437" spans="1:14" ht="18.75" customHeight="1" x14ac:dyDescent="0.55000000000000004">
      <c r="A437" s="28"/>
      <c r="B437" s="45"/>
      <c r="C437" s="49"/>
      <c r="D437" s="54"/>
      <c r="E437" s="63"/>
      <c r="F437" s="23"/>
      <c r="G437" s="23"/>
      <c r="H437" s="7"/>
      <c r="I437" s="47"/>
      <c r="J437" s="25"/>
      <c r="K437" s="40"/>
      <c r="L437" s="40"/>
      <c r="M437" s="228"/>
    </row>
    <row r="438" spans="1:14" ht="18.75" customHeight="1" x14ac:dyDescent="0.55000000000000004">
      <c r="A438" s="28"/>
      <c r="B438" s="45"/>
      <c r="C438" s="49"/>
      <c r="D438" s="54"/>
      <c r="E438" s="63"/>
      <c r="F438" s="23"/>
      <c r="G438" s="23"/>
      <c r="H438" s="7"/>
      <c r="I438" s="47"/>
      <c r="J438" s="11"/>
      <c r="L438" s="40"/>
      <c r="M438" s="228"/>
    </row>
    <row r="439" spans="1:14" ht="18.75" customHeight="1" x14ac:dyDescent="0.55000000000000004">
      <c r="A439" s="28"/>
      <c r="B439" s="45"/>
      <c r="C439" s="49"/>
      <c r="D439" s="54"/>
      <c r="E439" s="63"/>
      <c r="F439" s="23"/>
      <c r="G439" s="23"/>
      <c r="H439" s="7"/>
      <c r="I439" s="47"/>
      <c r="J439" s="11"/>
      <c r="L439" s="40"/>
      <c r="M439" s="228"/>
    </row>
    <row r="440" spans="1:14" ht="18.75" customHeight="1" x14ac:dyDescent="0.55000000000000004">
      <c r="A440" s="28"/>
      <c r="B440" s="45"/>
      <c r="C440" s="49"/>
      <c r="D440" s="54"/>
      <c r="E440" s="42"/>
      <c r="F440" s="23"/>
      <c r="G440" s="23"/>
      <c r="H440" s="7"/>
      <c r="I440" s="47"/>
      <c r="J440" s="11"/>
      <c r="L440" s="40"/>
      <c r="M440" s="227"/>
      <c r="N440" s="80"/>
    </row>
    <row r="441" spans="1:14" ht="18.75" customHeight="1" x14ac:dyDescent="0.55000000000000004">
      <c r="A441" s="28"/>
      <c r="B441" s="45"/>
      <c r="C441" s="49"/>
      <c r="D441" s="54"/>
      <c r="E441" s="42"/>
      <c r="F441" s="23"/>
      <c r="G441" s="23"/>
      <c r="H441" s="7"/>
      <c r="I441" s="47"/>
      <c r="J441" s="11"/>
      <c r="L441" s="40"/>
      <c r="M441" s="30"/>
    </row>
    <row r="442" spans="1:14" ht="18.75" customHeight="1" x14ac:dyDescent="0.55000000000000004">
      <c r="A442" s="28"/>
      <c r="B442" s="45"/>
      <c r="C442" s="49"/>
      <c r="D442" s="54"/>
      <c r="E442" s="63"/>
      <c r="F442" s="23"/>
      <c r="G442" s="23"/>
      <c r="H442" s="7"/>
      <c r="I442" s="47"/>
      <c r="J442" s="25"/>
      <c r="K442" s="40"/>
      <c r="L442" s="40"/>
      <c r="M442" s="228"/>
    </row>
    <row r="443" spans="1:14" ht="18.75" customHeight="1" x14ac:dyDescent="0.55000000000000004">
      <c r="A443" s="28"/>
      <c r="B443" s="45"/>
      <c r="C443" s="49"/>
      <c r="D443" s="54"/>
      <c r="E443" s="63"/>
      <c r="F443" s="23"/>
      <c r="G443" s="23"/>
      <c r="H443" s="7"/>
      <c r="I443" s="47"/>
      <c r="J443" s="11"/>
      <c r="L443" s="40"/>
      <c r="M443" s="228"/>
    </row>
    <row r="444" spans="1:14" ht="18.75" customHeight="1" x14ac:dyDescent="0.55000000000000004">
      <c r="A444" s="28"/>
      <c r="B444" s="45"/>
      <c r="C444" s="49"/>
      <c r="D444" s="54"/>
      <c r="E444" s="63"/>
      <c r="F444" s="23"/>
      <c r="G444" s="23"/>
      <c r="H444" s="7"/>
      <c r="I444" s="47"/>
      <c r="J444" s="11"/>
      <c r="L444" s="40"/>
      <c r="M444" s="228"/>
    </row>
    <row r="445" spans="1:14" ht="18.75" customHeight="1" x14ac:dyDescent="0.55000000000000004">
      <c r="A445" s="28"/>
      <c r="B445" s="45"/>
      <c r="C445" s="49"/>
      <c r="D445" s="54"/>
      <c r="E445" s="42"/>
      <c r="F445" s="23"/>
      <c r="G445" s="23"/>
      <c r="H445" s="7"/>
      <c r="I445" s="47"/>
      <c r="J445" s="11"/>
      <c r="L445" s="40"/>
      <c r="M445" s="227"/>
      <c r="N445" s="80"/>
    </row>
    <row r="446" spans="1:14" ht="18.75" customHeight="1" x14ac:dyDescent="0.55000000000000004">
      <c r="A446" s="28"/>
      <c r="B446" s="45"/>
      <c r="C446" s="49"/>
      <c r="D446" s="54"/>
      <c r="E446" s="42"/>
      <c r="F446" s="23"/>
      <c r="G446" s="23"/>
      <c r="H446" s="7"/>
      <c r="I446" s="47"/>
      <c r="J446" s="11"/>
      <c r="L446" s="40"/>
      <c r="M446" s="30"/>
    </row>
    <row r="447" spans="1:14" ht="18.75" customHeight="1" x14ac:dyDescent="0.55000000000000004">
      <c r="A447" s="28"/>
      <c r="B447" s="45"/>
      <c r="C447" s="49"/>
      <c r="D447" s="54"/>
      <c r="E447" s="63"/>
      <c r="F447" s="23"/>
      <c r="G447" s="23"/>
      <c r="H447" s="7"/>
      <c r="I447" s="47"/>
      <c r="J447" s="25"/>
      <c r="K447" s="40"/>
      <c r="L447" s="40"/>
      <c r="M447" s="228"/>
    </row>
    <row r="448" spans="1:14" ht="18.75" customHeight="1" x14ac:dyDescent="0.55000000000000004">
      <c r="A448" s="28"/>
      <c r="B448" s="45"/>
      <c r="C448" s="49"/>
      <c r="D448" s="54"/>
      <c r="E448" s="63"/>
      <c r="F448" s="23"/>
      <c r="G448" s="23"/>
      <c r="H448" s="7"/>
      <c r="I448" s="47"/>
      <c r="J448" s="11"/>
      <c r="L448" s="40"/>
      <c r="M448" s="228"/>
    </row>
    <row r="449" spans="1:14" ht="18.75" customHeight="1" x14ac:dyDescent="0.55000000000000004">
      <c r="A449" s="28"/>
      <c r="B449" s="45"/>
      <c r="C449" s="49"/>
      <c r="D449" s="54"/>
      <c r="E449" s="63"/>
      <c r="F449" s="23"/>
      <c r="G449" s="23"/>
      <c r="H449" s="7"/>
      <c r="I449" s="47"/>
      <c r="J449" s="11"/>
      <c r="L449" s="40"/>
      <c r="M449" s="228"/>
    </row>
    <row r="450" spans="1:14" ht="18.75" customHeight="1" x14ac:dyDescent="0.55000000000000004">
      <c r="A450" s="28"/>
      <c r="B450" s="45"/>
      <c r="C450" s="49"/>
      <c r="D450" s="54"/>
      <c r="E450" s="42"/>
      <c r="F450" s="23"/>
      <c r="G450" s="23"/>
      <c r="H450" s="7"/>
      <c r="I450" s="47"/>
      <c r="J450" s="11"/>
      <c r="L450" s="40"/>
      <c r="M450" s="227"/>
      <c r="N450" s="80"/>
    </row>
    <row r="451" spans="1:14" ht="18.75" customHeight="1" x14ac:dyDescent="0.55000000000000004">
      <c r="A451" s="28"/>
      <c r="B451" s="45"/>
      <c r="C451" s="49"/>
      <c r="D451" s="54"/>
      <c r="E451" s="42"/>
      <c r="F451" s="23"/>
      <c r="G451" s="23"/>
      <c r="H451" s="7"/>
      <c r="I451" s="47"/>
      <c r="J451" s="11"/>
      <c r="L451" s="40"/>
      <c r="M451" s="30"/>
    </row>
    <row r="452" spans="1:14" ht="18.75" customHeight="1" x14ac:dyDescent="0.55000000000000004">
      <c r="A452" s="28"/>
      <c r="B452" s="45"/>
      <c r="C452" s="49"/>
      <c r="D452" s="54"/>
      <c r="E452" s="63"/>
      <c r="F452" s="23"/>
      <c r="G452" s="23"/>
      <c r="H452" s="7"/>
      <c r="I452" s="47"/>
      <c r="J452" s="25"/>
      <c r="K452" s="40"/>
      <c r="L452" s="40"/>
      <c r="M452" s="228"/>
    </row>
    <row r="453" spans="1:14" ht="18.75" customHeight="1" x14ac:dyDescent="0.55000000000000004">
      <c r="A453" s="28"/>
      <c r="B453" s="45"/>
      <c r="C453" s="49"/>
      <c r="D453" s="54"/>
      <c r="E453" s="63"/>
      <c r="F453" s="23"/>
      <c r="G453" s="23"/>
      <c r="H453" s="7"/>
      <c r="I453" s="47"/>
      <c r="J453" s="11"/>
      <c r="L453" s="40"/>
      <c r="M453" s="228"/>
    </row>
    <row r="454" spans="1:14" ht="18.75" customHeight="1" x14ac:dyDescent="0.55000000000000004">
      <c r="A454" s="28"/>
      <c r="B454" s="45"/>
      <c r="C454" s="49"/>
      <c r="D454" s="54"/>
      <c r="E454" s="63"/>
      <c r="F454" s="23"/>
      <c r="G454" s="23"/>
      <c r="H454" s="7"/>
      <c r="I454" s="47"/>
      <c r="J454" s="11"/>
      <c r="L454" s="40"/>
      <c r="M454" s="228"/>
    </row>
    <row r="455" spans="1:14" ht="18.75" customHeight="1" x14ac:dyDescent="0.55000000000000004">
      <c r="A455" s="28"/>
      <c r="B455" s="45"/>
      <c r="C455" s="49"/>
      <c r="D455" s="54"/>
      <c r="E455" s="42"/>
      <c r="F455" s="23"/>
      <c r="G455" s="23"/>
      <c r="H455" s="7"/>
      <c r="I455" s="47"/>
      <c r="J455" s="11"/>
      <c r="L455" s="40"/>
      <c r="M455" s="227"/>
      <c r="N455" s="80"/>
    </row>
    <row r="456" spans="1:14" ht="18.75" customHeight="1" x14ac:dyDescent="0.55000000000000004">
      <c r="A456" s="28"/>
      <c r="B456" s="45"/>
      <c r="C456" s="49"/>
      <c r="D456" s="54"/>
      <c r="E456" s="42"/>
      <c r="F456" s="23"/>
      <c r="G456" s="23"/>
      <c r="H456" s="7"/>
      <c r="I456" s="47"/>
      <c r="J456" s="11"/>
      <c r="L456" s="40"/>
      <c r="M456" s="30"/>
    </row>
    <row r="457" spans="1:14" ht="18.75" customHeight="1" x14ac:dyDescent="0.55000000000000004">
      <c r="A457" s="28"/>
      <c r="B457" s="45"/>
      <c r="C457" s="49"/>
      <c r="D457" s="54"/>
      <c r="E457" s="63"/>
      <c r="F457" s="23"/>
      <c r="G457" s="23"/>
      <c r="H457" s="7"/>
      <c r="I457" s="47"/>
      <c r="J457" s="25"/>
      <c r="K457" s="40"/>
      <c r="L457" s="40"/>
      <c r="M457" s="228"/>
    </row>
    <row r="458" spans="1:14" ht="18.75" customHeight="1" x14ac:dyDescent="0.55000000000000004">
      <c r="A458" s="28"/>
      <c r="B458" s="45"/>
      <c r="C458" s="49"/>
      <c r="D458" s="54"/>
      <c r="E458" s="63"/>
      <c r="F458" s="23"/>
      <c r="G458" s="23"/>
      <c r="H458" s="7"/>
      <c r="I458" s="47"/>
      <c r="J458" s="11"/>
      <c r="L458" s="40"/>
      <c r="M458" s="228"/>
    </row>
    <row r="459" spans="1:14" ht="18.75" customHeight="1" x14ac:dyDescent="0.55000000000000004">
      <c r="A459" s="28"/>
      <c r="B459" s="45"/>
      <c r="C459" s="49"/>
      <c r="D459" s="54"/>
      <c r="E459" s="63"/>
      <c r="F459" s="23"/>
      <c r="G459" s="23"/>
      <c r="H459" s="7"/>
      <c r="I459" s="47"/>
      <c r="J459" s="11"/>
      <c r="L459" s="40"/>
      <c r="M459" s="228"/>
    </row>
    <row r="460" spans="1:14" ht="18.75" customHeight="1" x14ac:dyDescent="0.55000000000000004">
      <c r="A460" s="28"/>
      <c r="B460" s="45"/>
      <c r="C460" s="49"/>
      <c r="D460" s="54"/>
      <c r="E460" s="42"/>
      <c r="F460" s="23"/>
      <c r="G460" s="23"/>
      <c r="H460" s="7"/>
      <c r="I460" s="47"/>
      <c r="J460" s="11"/>
      <c r="L460" s="40"/>
      <c r="M460" s="227"/>
      <c r="N460" s="80"/>
    </row>
    <row r="461" spans="1:14" ht="18.75" customHeight="1" x14ac:dyDescent="0.55000000000000004">
      <c r="A461" s="28"/>
      <c r="B461" s="45"/>
      <c r="C461" s="49"/>
      <c r="D461" s="54"/>
      <c r="E461" s="42"/>
      <c r="F461" s="23"/>
      <c r="G461" s="23"/>
      <c r="H461" s="7"/>
      <c r="I461" s="47"/>
      <c r="J461" s="11"/>
      <c r="L461" s="40"/>
      <c r="M461" s="30"/>
    </row>
    <row r="462" spans="1:14" ht="18.75" customHeight="1" x14ac:dyDescent="0.55000000000000004">
      <c r="A462" s="28"/>
      <c r="B462" s="45"/>
      <c r="C462" s="49"/>
      <c r="D462" s="54"/>
      <c r="E462" s="63"/>
      <c r="F462" s="23"/>
      <c r="G462" s="23"/>
      <c r="H462" s="7"/>
      <c r="I462" s="47"/>
      <c r="J462" s="25"/>
      <c r="K462" s="40"/>
      <c r="L462" s="40"/>
      <c r="M462" s="228"/>
    </row>
    <row r="463" spans="1:14" ht="18.75" customHeight="1" x14ac:dyDescent="0.55000000000000004">
      <c r="A463" s="28"/>
      <c r="B463" s="45"/>
      <c r="C463" s="49"/>
      <c r="D463" s="54"/>
      <c r="E463" s="63"/>
      <c r="F463" s="23"/>
      <c r="G463" s="23"/>
      <c r="H463" s="7"/>
      <c r="I463" s="47"/>
      <c r="J463" s="11"/>
      <c r="L463" s="40"/>
      <c r="M463" s="228"/>
    </row>
    <row r="464" spans="1:14" ht="18.75" customHeight="1" x14ac:dyDescent="0.55000000000000004">
      <c r="A464" s="28"/>
      <c r="B464" s="45"/>
      <c r="C464" s="49"/>
      <c r="D464" s="54"/>
      <c r="E464" s="63"/>
      <c r="F464" s="23"/>
      <c r="G464" s="23"/>
      <c r="H464" s="7"/>
      <c r="I464" s="47"/>
      <c r="J464" s="11"/>
      <c r="L464" s="40"/>
      <c r="M464" s="228"/>
    </row>
    <row r="465" spans="1:14" ht="18.75" customHeight="1" x14ac:dyDescent="0.55000000000000004">
      <c r="A465" s="28"/>
      <c r="B465" s="45"/>
      <c r="C465" s="49"/>
      <c r="D465" s="54"/>
      <c r="E465" s="42"/>
      <c r="F465" s="23"/>
      <c r="G465" s="23"/>
      <c r="H465" s="7"/>
      <c r="I465" s="47"/>
      <c r="J465" s="11"/>
      <c r="L465" s="40"/>
      <c r="M465" s="227"/>
      <c r="N465" s="80"/>
    </row>
    <row r="466" spans="1:14" ht="18.75" customHeight="1" x14ac:dyDescent="0.55000000000000004">
      <c r="A466" s="28"/>
      <c r="B466" s="45"/>
      <c r="C466" s="49"/>
      <c r="D466" s="54"/>
      <c r="E466" s="42"/>
      <c r="F466" s="23"/>
      <c r="G466" s="23"/>
      <c r="H466" s="7"/>
      <c r="I466" s="47"/>
      <c r="J466" s="11"/>
      <c r="L466" s="40"/>
      <c r="M466" s="30"/>
    </row>
    <row r="467" spans="1:14" ht="18.75" customHeight="1" x14ac:dyDescent="0.55000000000000004">
      <c r="A467" s="28"/>
      <c r="B467" s="45"/>
      <c r="C467" s="49"/>
      <c r="D467" s="54"/>
      <c r="E467" s="63"/>
      <c r="F467" s="23"/>
      <c r="G467" s="23"/>
      <c r="H467" s="7"/>
      <c r="I467" s="47"/>
      <c r="J467" s="25"/>
      <c r="K467" s="40"/>
      <c r="L467" s="40"/>
      <c r="M467" s="228"/>
    </row>
    <row r="468" spans="1:14" ht="18.75" customHeight="1" x14ac:dyDescent="0.55000000000000004">
      <c r="A468" s="28"/>
      <c r="B468" s="45"/>
      <c r="C468" s="49"/>
      <c r="D468" s="54"/>
      <c r="E468" s="63"/>
      <c r="F468" s="23"/>
      <c r="G468" s="23"/>
      <c r="H468" s="7"/>
      <c r="I468" s="47"/>
      <c r="J468" s="11"/>
      <c r="L468" s="40"/>
      <c r="M468" s="228"/>
    </row>
    <row r="469" spans="1:14" ht="18.75" customHeight="1" x14ac:dyDescent="0.55000000000000004">
      <c r="A469" s="28"/>
      <c r="B469" s="45"/>
      <c r="C469" s="49"/>
      <c r="D469" s="54"/>
      <c r="E469" s="63"/>
      <c r="F469" s="23"/>
      <c r="G469" s="23"/>
      <c r="H469" s="7"/>
      <c r="I469" s="47"/>
      <c r="J469" s="11"/>
      <c r="L469" s="40"/>
      <c r="M469" s="228"/>
    </row>
    <row r="470" spans="1:14" ht="18.75" customHeight="1" x14ac:dyDescent="0.55000000000000004">
      <c r="A470" s="28"/>
      <c r="B470" s="45"/>
      <c r="C470" s="49"/>
      <c r="D470" s="54"/>
      <c r="E470" s="42"/>
      <c r="F470" s="23"/>
      <c r="G470" s="23"/>
      <c r="H470" s="7"/>
      <c r="I470" s="47"/>
      <c r="J470" s="11"/>
      <c r="L470" s="40"/>
      <c r="M470" s="227"/>
      <c r="N470" s="80"/>
    </row>
    <row r="471" spans="1:14" ht="18.75" customHeight="1" x14ac:dyDescent="0.55000000000000004">
      <c r="A471" s="28"/>
      <c r="B471" s="45"/>
      <c r="C471" s="49"/>
      <c r="D471" s="54"/>
      <c r="E471" s="42"/>
      <c r="F471" s="23"/>
      <c r="G471" s="23"/>
      <c r="H471" s="7"/>
      <c r="I471" s="47"/>
      <c r="J471" s="11"/>
      <c r="L471" s="40"/>
      <c r="M471" s="30"/>
    </row>
    <row r="472" spans="1:14" ht="18.75" customHeight="1" x14ac:dyDescent="0.55000000000000004">
      <c r="A472" s="28"/>
      <c r="B472" s="45"/>
      <c r="C472" s="49"/>
      <c r="D472" s="54"/>
      <c r="E472" s="63"/>
      <c r="F472" s="23"/>
      <c r="G472" s="23"/>
      <c r="H472" s="7"/>
      <c r="I472" s="47"/>
      <c r="J472" s="25"/>
      <c r="K472" s="40"/>
      <c r="L472" s="40"/>
      <c r="M472" s="228"/>
    </row>
    <row r="473" spans="1:14" ht="18.75" customHeight="1" x14ac:dyDescent="0.55000000000000004">
      <c r="A473" s="28"/>
      <c r="B473" s="45"/>
      <c r="C473" s="49"/>
      <c r="D473" s="54"/>
      <c r="E473" s="63"/>
      <c r="F473" s="23"/>
      <c r="G473" s="23"/>
      <c r="H473" s="7"/>
      <c r="I473" s="47"/>
      <c r="J473" s="11"/>
      <c r="L473" s="40"/>
      <c r="M473" s="228"/>
    </row>
    <row r="474" spans="1:14" ht="18.75" customHeight="1" x14ac:dyDescent="0.55000000000000004">
      <c r="A474" s="28"/>
      <c r="B474" s="45"/>
      <c r="C474" s="49"/>
      <c r="D474" s="54"/>
      <c r="E474" s="63"/>
      <c r="F474" s="23"/>
      <c r="G474" s="23"/>
      <c r="H474" s="7"/>
      <c r="I474" s="47"/>
      <c r="J474" s="11"/>
      <c r="L474" s="40"/>
      <c r="M474" s="228"/>
    </row>
    <row r="475" spans="1:14" ht="18.75" customHeight="1" x14ac:dyDescent="0.55000000000000004">
      <c r="A475" s="28"/>
      <c r="B475" s="45"/>
      <c r="C475" s="49"/>
      <c r="D475" s="54"/>
      <c r="E475" s="42"/>
      <c r="F475" s="23"/>
      <c r="G475" s="23"/>
      <c r="H475" s="7"/>
      <c r="I475" s="47"/>
      <c r="J475" s="11"/>
      <c r="L475" s="40"/>
      <c r="M475" s="227"/>
      <c r="N475" s="80"/>
    </row>
    <row r="476" spans="1:14" ht="18.75" customHeight="1" x14ac:dyDescent="0.55000000000000004">
      <c r="A476" s="28"/>
      <c r="B476" s="45"/>
      <c r="C476" s="49"/>
      <c r="D476" s="54"/>
      <c r="E476" s="42"/>
      <c r="F476" s="23"/>
      <c r="G476" s="23"/>
      <c r="H476" s="7"/>
      <c r="I476" s="47"/>
      <c r="J476" s="11"/>
      <c r="L476" s="40"/>
      <c r="M476" s="30"/>
    </row>
    <row r="477" spans="1:14" ht="18.75" customHeight="1" x14ac:dyDescent="0.55000000000000004">
      <c r="A477" s="28"/>
      <c r="B477" s="45"/>
      <c r="C477" s="49"/>
      <c r="D477" s="54"/>
      <c r="E477" s="63"/>
      <c r="F477" s="23"/>
      <c r="G477" s="23"/>
      <c r="H477" s="7"/>
      <c r="I477" s="47"/>
      <c r="J477" s="25"/>
      <c r="K477" s="40"/>
      <c r="L477" s="40"/>
      <c r="M477" s="228"/>
    </row>
    <row r="478" spans="1:14" ht="18.75" customHeight="1" x14ac:dyDescent="0.55000000000000004">
      <c r="A478" s="28"/>
      <c r="B478" s="45"/>
      <c r="C478" s="49"/>
      <c r="D478" s="54"/>
      <c r="E478" s="63"/>
      <c r="F478" s="23"/>
      <c r="G478" s="23"/>
      <c r="H478" s="7"/>
      <c r="I478" s="47"/>
      <c r="J478" s="11"/>
      <c r="L478" s="40"/>
      <c r="M478" s="228"/>
    </row>
    <row r="479" spans="1:14" ht="18.75" customHeight="1" x14ac:dyDescent="0.55000000000000004">
      <c r="A479" s="28"/>
      <c r="B479" s="45"/>
      <c r="C479" s="49"/>
      <c r="D479" s="54"/>
      <c r="E479" s="63"/>
      <c r="F479" s="23"/>
      <c r="G479" s="23"/>
      <c r="H479" s="7"/>
      <c r="I479" s="47"/>
      <c r="J479" s="11"/>
      <c r="L479" s="40"/>
      <c r="M479" s="228"/>
    </row>
    <row r="480" spans="1:14" ht="18.75" customHeight="1" x14ac:dyDescent="0.55000000000000004">
      <c r="A480" s="28"/>
      <c r="B480" s="45"/>
      <c r="C480" s="49"/>
      <c r="D480" s="54"/>
      <c r="E480" s="42"/>
      <c r="F480" s="23"/>
      <c r="G480" s="23"/>
      <c r="H480" s="7"/>
      <c r="I480" s="47"/>
      <c r="J480" s="11"/>
      <c r="L480" s="40"/>
      <c r="M480" s="227"/>
      <c r="N480" s="80"/>
    </row>
    <row r="481" spans="1:14" ht="18.75" customHeight="1" x14ac:dyDescent="0.55000000000000004">
      <c r="A481" s="28"/>
      <c r="B481" s="45"/>
      <c r="C481" s="49"/>
      <c r="D481" s="54"/>
      <c r="E481" s="42"/>
      <c r="F481" s="23"/>
      <c r="G481" s="23"/>
      <c r="H481" s="7"/>
      <c r="I481" s="47"/>
      <c r="J481" s="11"/>
      <c r="L481" s="40"/>
      <c r="M481" s="30"/>
    </row>
    <row r="482" spans="1:14" ht="18.75" customHeight="1" x14ac:dyDescent="0.55000000000000004">
      <c r="A482" s="28"/>
      <c r="B482" s="45"/>
      <c r="C482" s="49"/>
      <c r="D482" s="54"/>
      <c r="E482" s="63"/>
      <c r="F482" s="23"/>
      <c r="G482" s="23"/>
      <c r="H482" s="7"/>
      <c r="I482" s="47"/>
      <c r="J482" s="25"/>
      <c r="K482" s="40"/>
      <c r="L482" s="40"/>
      <c r="M482" s="228"/>
    </row>
    <row r="483" spans="1:14" ht="18.75" customHeight="1" x14ac:dyDescent="0.55000000000000004">
      <c r="A483" s="28"/>
      <c r="B483" s="45"/>
      <c r="C483" s="49"/>
      <c r="D483" s="54"/>
      <c r="E483" s="63"/>
      <c r="F483" s="23"/>
      <c r="G483" s="23"/>
      <c r="H483" s="7"/>
      <c r="I483" s="47"/>
      <c r="J483" s="11"/>
      <c r="L483" s="40"/>
      <c r="M483" s="228"/>
    </row>
    <row r="484" spans="1:14" ht="18.75" customHeight="1" x14ac:dyDescent="0.55000000000000004">
      <c r="A484" s="28"/>
      <c r="B484" s="45"/>
      <c r="C484" s="49"/>
      <c r="D484" s="54"/>
      <c r="E484" s="63"/>
      <c r="F484" s="23"/>
      <c r="G484" s="23"/>
      <c r="H484" s="7"/>
      <c r="I484" s="47"/>
      <c r="J484" s="11"/>
      <c r="L484" s="40"/>
      <c r="M484" s="228"/>
    </row>
    <row r="485" spans="1:14" ht="18.75" customHeight="1" x14ac:dyDescent="0.55000000000000004">
      <c r="A485" s="28"/>
      <c r="B485" s="45"/>
      <c r="C485" s="49"/>
      <c r="D485" s="54"/>
      <c r="E485" s="42"/>
      <c r="F485" s="23"/>
      <c r="G485" s="23"/>
      <c r="H485" s="7"/>
      <c r="I485" s="47"/>
      <c r="J485" s="11"/>
      <c r="L485" s="40"/>
      <c r="M485" s="227"/>
      <c r="N485" s="80"/>
    </row>
    <row r="486" spans="1:14" ht="18.75" customHeight="1" x14ac:dyDescent="0.55000000000000004">
      <c r="A486" s="28"/>
      <c r="B486" s="45"/>
      <c r="C486" s="49"/>
      <c r="D486" s="54"/>
      <c r="E486" s="42"/>
      <c r="F486" s="23"/>
      <c r="G486" s="23"/>
      <c r="H486" s="7"/>
      <c r="I486" s="47"/>
      <c r="J486" s="11"/>
      <c r="L486" s="40"/>
      <c r="M486" s="30"/>
    </row>
    <row r="487" spans="1:14" ht="18.75" customHeight="1" x14ac:dyDescent="0.55000000000000004">
      <c r="A487" s="28"/>
      <c r="B487" s="45"/>
      <c r="C487" s="49"/>
      <c r="D487" s="54"/>
      <c r="E487" s="63"/>
      <c r="F487" s="23"/>
      <c r="G487" s="23"/>
      <c r="H487" s="7"/>
      <c r="I487" s="47"/>
      <c r="J487" s="25"/>
      <c r="K487" s="40"/>
      <c r="L487" s="40"/>
      <c r="M487" s="228"/>
    </row>
    <row r="488" spans="1:14" ht="18.75" customHeight="1" x14ac:dyDescent="0.55000000000000004">
      <c r="A488" s="28"/>
      <c r="B488" s="45"/>
      <c r="C488" s="49"/>
      <c r="D488" s="54"/>
      <c r="E488" s="63"/>
      <c r="F488" s="23"/>
      <c r="G488" s="23"/>
      <c r="H488" s="7"/>
      <c r="I488" s="47"/>
      <c r="J488" s="11"/>
      <c r="L488" s="40"/>
      <c r="M488" s="228"/>
    </row>
    <row r="489" spans="1:14" ht="18.75" customHeight="1" x14ac:dyDescent="0.55000000000000004">
      <c r="A489" s="28"/>
      <c r="B489" s="45"/>
      <c r="C489" s="49"/>
      <c r="D489" s="54"/>
      <c r="E489" s="63"/>
      <c r="F489" s="23"/>
      <c r="G489" s="23"/>
      <c r="H489" s="7"/>
      <c r="I489" s="47"/>
      <c r="J489" s="11"/>
      <c r="L489" s="40"/>
      <c r="M489" s="228"/>
    </row>
    <row r="490" spans="1:14" ht="18.75" customHeight="1" x14ac:dyDescent="0.55000000000000004">
      <c r="A490" s="28"/>
      <c r="B490" s="45"/>
      <c r="C490" s="49"/>
      <c r="D490" s="54"/>
      <c r="E490" s="42"/>
      <c r="F490" s="23"/>
      <c r="G490" s="23"/>
      <c r="H490" s="7"/>
      <c r="I490" s="47"/>
      <c r="J490" s="11"/>
      <c r="L490" s="40"/>
      <c r="M490" s="227"/>
      <c r="N490" s="80"/>
    </row>
    <row r="491" spans="1:14" ht="18.75" customHeight="1" x14ac:dyDescent="0.55000000000000004">
      <c r="A491" s="28"/>
      <c r="B491" s="45"/>
      <c r="C491" s="49"/>
      <c r="D491" s="54"/>
      <c r="E491" s="42"/>
      <c r="F491" s="23"/>
      <c r="G491" s="23"/>
      <c r="H491" s="7"/>
      <c r="I491" s="47"/>
      <c r="J491" s="11"/>
      <c r="L491" s="40"/>
      <c r="M491" s="30"/>
    </row>
    <row r="492" spans="1:14" ht="18.75" customHeight="1" x14ac:dyDescent="0.55000000000000004">
      <c r="A492" s="28"/>
      <c r="B492" s="45"/>
      <c r="C492" s="49"/>
      <c r="D492" s="54"/>
      <c r="E492" s="63"/>
      <c r="F492" s="23"/>
      <c r="G492" s="23"/>
      <c r="H492" s="7"/>
      <c r="I492" s="47"/>
      <c r="J492" s="25"/>
      <c r="K492" s="40"/>
      <c r="L492" s="40"/>
      <c r="M492" s="228"/>
    </row>
    <row r="493" spans="1:14" ht="18.75" customHeight="1" x14ac:dyDescent="0.55000000000000004">
      <c r="A493" s="28"/>
      <c r="B493" s="45"/>
      <c r="C493" s="49"/>
      <c r="D493" s="54"/>
      <c r="E493" s="63"/>
      <c r="F493" s="23"/>
      <c r="G493" s="23"/>
      <c r="H493" s="7"/>
      <c r="I493" s="47"/>
      <c r="J493" s="11"/>
      <c r="L493" s="40"/>
      <c r="M493" s="228"/>
    </row>
    <row r="494" spans="1:14" ht="18.75" customHeight="1" x14ac:dyDescent="0.55000000000000004">
      <c r="A494" s="28"/>
      <c r="B494" s="45"/>
      <c r="C494" s="49"/>
      <c r="D494" s="54"/>
      <c r="E494" s="63"/>
      <c r="F494" s="23"/>
      <c r="G494" s="23"/>
      <c r="H494" s="7"/>
      <c r="I494" s="47"/>
      <c r="J494" s="11"/>
      <c r="L494" s="40"/>
      <c r="M494" s="228"/>
    </row>
    <row r="495" spans="1:14" ht="18.75" customHeight="1" x14ac:dyDescent="0.55000000000000004">
      <c r="A495" s="28"/>
      <c r="B495" s="45"/>
      <c r="C495" s="49"/>
      <c r="D495" s="54"/>
      <c r="E495" s="42"/>
      <c r="F495" s="23"/>
      <c r="G495" s="23"/>
      <c r="H495" s="7"/>
      <c r="I495" s="47"/>
      <c r="J495" s="11"/>
      <c r="L495" s="40"/>
      <c r="M495" s="227"/>
      <c r="N495" s="80"/>
    </row>
    <row r="496" spans="1:14" ht="18.75" customHeight="1" x14ac:dyDescent="0.55000000000000004">
      <c r="A496" s="28"/>
      <c r="B496" s="45"/>
      <c r="C496" s="49"/>
      <c r="D496" s="54"/>
      <c r="E496" s="42"/>
      <c r="F496" s="23"/>
      <c r="G496" s="23"/>
      <c r="H496" s="7"/>
      <c r="I496" s="47"/>
      <c r="J496" s="11"/>
      <c r="L496" s="40"/>
      <c r="M496" s="30"/>
    </row>
    <row r="497" spans="1:14" ht="18.75" customHeight="1" x14ac:dyDescent="0.55000000000000004">
      <c r="A497" s="28"/>
      <c r="B497" s="45"/>
      <c r="C497" s="49"/>
      <c r="D497" s="54"/>
      <c r="E497" s="63"/>
      <c r="F497" s="23"/>
      <c r="G497" s="23"/>
      <c r="H497" s="7"/>
      <c r="I497" s="47"/>
      <c r="J497" s="25"/>
      <c r="K497" s="40"/>
      <c r="L497" s="40"/>
      <c r="M497" s="228"/>
    </row>
    <row r="498" spans="1:14" ht="18.75" customHeight="1" x14ac:dyDescent="0.55000000000000004">
      <c r="A498" s="28"/>
      <c r="B498" s="45"/>
      <c r="C498" s="49"/>
      <c r="D498" s="54"/>
      <c r="E498" s="63"/>
      <c r="F498" s="23"/>
      <c r="G498" s="23"/>
      <c r="H498" s="7"/>
      <c r="I498" s="47"/>
      <c r="J498" s="11"/>
      <c r="L498" s="40"/>
      <c r="M498" s="228"/>
    </row>
    <row r="499" spans="1:14" ht="18.75" customHeight="1" x14ac:dyDescent="0.55000000000000004">
      <c r="A499" s="28"/>
      <c r="B499" s="45"/>
      <c r="C499" s="49"/>
      <c r="D499" s="54"/>
      <c r="E499" s="63"/>
      <c r="F499" s="23"/>
      <c r="G499" s="23"/>
      <c r="H499" s="7"/>
      <c r="I499" s="47"/>
      <c r="J499" s="11"/>
      <c r="L499" s="40"/>
      <c r="M499" s="228"/>
    </row>
    <row r="500" spans="1:14" ht="18.75" customHeight="1" x14ac:dyDescent="0.55000000000000004">
      <c r="A500" s="28"/>
      <c r="B500" s="45"/>
      <c r="C500" s="49"/>
      <c r="D500" s="54"/>
      <c r="E500" s="42"/>
      <c r="F500" s="23"/>
      <c r="G500" s="23"/>
      <c r="H500" s="7"/>
      <c r="I500" s="47"/>
      <c r="J500" s="11"/>
      <c r="L500" s="40"/>
      <c r="M500" s="227"/>
      <c r="N500" s="80"/>
    </row>
    <row r="501" spans="1:14" ht="18.75" customHeight="1" x14ac:dyDescent="0.55000000000000004">
      <c r="A501" s="28"/>
      <c r="B501" s="45"/>
      <c r="C501" s="49"/>
      <c r="D501" s="54"/>
      <c r="E501" s="42"/>
      <c r="F501" s="23"/>
      <c r="G501" s="23"/>
      <c r="H501" s="7"/>
      <c r="I501" s="47"/>
      <c r="J501" s="11"/>
      <c r="L501" s="40"/>
      <c r="M501" s="30"/>
    </row>
    <row r="502" spans="1:14" ht="18.75" customHeight="1" x14ac:dyDescent="0.55000000000000004">
      <c r="A502" s="28"/>
      <c r="B502" s="45"/>
      <c r="C502" s="49"/>
      <c r="D502" s="54"/>
      <c r="E502" s="63"/>
      <c r="F502" s="23"/>
      <c r="G502" s="23"/>
      <c r="H502" s="7"/>
      <c r="I502" s="47"/>
      <c r="J502" s="25"/>
      <c r="K502" s="40"/>
      <c r="L502" s="40"/>
      <c r="M502" s="228"/>
    </row>
    <row r="503" spans="1:14" ht="18.75" customHeight="1" x14ac:dyDescent="0.55000000000000004">
      <c r="A503" s="28"/>
      <c r="B503" s="45"/>
      <c r="C503" s="49"/>
      <c r="D503" s="54"/>
      <c r="E503" s="63"/>
      <c r="F503" s="23"/>
      <c r="G503" s="23"/>
      <c r="H503" s="7"/>
      <c r="I503" s="47"/>
      <c r="J503" s="11"/>
      <c r="L503" s="40"/>
      <c r="M503" s="228"/>
    </row>
    <row r="504" spans="1:14" ht="18.75" customHeight="1" x14ac:dyDescent="0.55000000000000004">
      <c r="A504" s="28"/>
      <c r="B504" s="45"/>
      <c r="C504" s="49"/>
      <c r="D504" s="54"/>
      <c r="E504" s="63"/>
      <c r="F504" s="23"/>
      <c r="G504" s="23"/>
      <c r="H504" s="7"/>
      <c r="I504" s="47"/>
      <c r="J504" s="11"/>
      <c r="L504" s="40"/>
      <c r="M504" s="228"/>
    </row>
    <row r="505" spans="1:14" ht="18.75" customHeight="1" x14ac:dyDescent="0.55000000000000004">
      <c r="A505" s="28"/>
      <c r="B505" s="45"/>
      <c r="C505" s="49"/>
      <c r="D505" s="54"/>
      <c r="E505" s="42"/>
      <c r="F505" s="23"/>
      <c r="G505" s="23"/>
      <c r="H505" s="7"/>
      <c r="I505" s="47"/>
      <c r="J505" s="11"/>
      <c r="L505" s="40"/>
      <c r="M505" s="227"/>
      <c r="N505" s="80"/>
    </row>
    <row r="506" spans="1:14" ht="18.75" customHeight="1" x14ac:dyDescent="0.55000000000000004">
      <c r="A506" s="28"/>
      <c r="B506" s="45"/>
      <c r="C506" s="49"/>
      <c r="D506" s="54"/>
      <c r="E506" s="42"/>
      <c r="F506" s="23"/>
      <c r="G506" s="23"/>
      <c r="H506" s="7"/>
      <c r="I506" s="47"/>
      <c r="J506" s="11"/>
      <c r="L506" s="40"/>
      <c r="M506" s="30"/>
    </row>
    <row r="507" spans="1:14" ht="18.75" customHeight="1" x14ac:dyDescent="0.55000000000000004">
      <c r="A507" s="28"/>
      <c r="B507" s="45"/>
      <c r="C507" s="49"/>
      <c r="D507" s="54"/>
      <c r="E507" s="63"/>
      <c r="F507" s="23"/>
      <c r="G507" s="23"/>
      <c r="H507" s="7"/>
      <c r="I507" s="47"/>
      <c r="J507" s="25"/>
      <c r="K507" s="40"/>
      <c r="L507" s="40"/>
      <c r="M507" s="228"/>
    </row>
    <row r="508" spans="1:14" ht="18.75" customHeight="1" x14ac:dyDescent="0.55000000000000004">
      <c r="A508" s="28"/>
      <c r="B508" s="45"/>
      <c r="C508" s="49"/>
      <c r="D508" s="54"/>
      <c r="E508" s="63"/>
      <c r="F508" s="23"/>
      <c r="G508" s="23"/>
      <c r="H508" s="7"/>
      <c r="I508" s="47"/>
      <c r="J508" s="11"/>
      <c r="L508" s="40"/>
      <c r="M508" s="228"/>
    </row>
    <row r="509" spans="1:14" ht="18.75" customHeight="1" x14ac:dyDescent="0.55000000000000004">
      <c r="A509" s="28"/>
      <c r="B509" s="45"/>
      <c r="C509" s="49"/>
      <c r="D509" s="54"/>
      <c r="E509" s="63"/>
      <c r="F509" s="23"/>
      <c r="G509" s="23"/>
      <c r="H509" s="7"/>
      <c r="I509" s="47"/>
      <c r="J509" s="11"/>
      <c r="L509" s="40"/>
      <c r="M509" s="228"/>
    </row>
    <row r="510" spans="1:14" ht="18.75" customHeight="1" x14ac:dyDescent="0.55000000000000004">
      <c r="A510" s="28"/>
      <c r="B510" s="45"/>
      <c r="C510" s="49"/>
      <c r="D510" s="54"/>
      <c r="E510" s="42"/>
      <c r="F510" s="23"/>
      <c r="G510" s="23"/>
      <c r="H510" s="7"/>
      <c r="I510" s="47"/>
      <c r="J510" s="11"/>
      <c r="L510" s="40"/>
      <c r="M510" s="227"/>
      <c r="N510" s="80"/>
    </row>
    <row r="511" spans="1:14" ht="18.75" customHeight="1" x14ac:dyDescent="0.55000000000000004">
      <c r="A511" s="28"/>
      <c r="B511" s="45"/>
      <c r="C511" s="49"/>
      <c r="D511" s="54"/>
      <c r="E511" s="63"/>
      <c r="F511" s="23"/>
      <c r="G511" s="23"/>
      <c r="H511" s="7"/>
      <c r="I511" s="47"/>
      <c r="J511" s="25"/>
      <c r="K511" s="40"/>
      <c r="L511" s="40"/>
      <c r="M511" s="228"/>
    </row>
    <row r="512" spans="1:14" ht="18.75" customHeight="1" x14ac:dyDescent="0.55000000000000004">
      <c r="A512" s="28"/>
      <c r="B512" s="45"/>
      <c r="C512" s="49"/>
      <c r="D512" s="54"/>
      <c r="E512" s="63"/>
      <c r="F512" s="23"/>
      <c r="G512" s="23"/>
      <c r="H512" s="7"/>
      <c r="I512" s="47"/>
      <c r="J512" s="11"/>
      <c r="L512" s="40"/>
      <c r="M512" s="228"/>
    </row>
    <row r="513" spans="1:14" ht="18.75" customHeight="1" x14ac:dyDescent="0.55000000000000004">
      <c r="A513" s="28"/>
      <c r="B513" s="45"/>
      <c r="C513" s="49"/>
      <c r="D513" s="54"/>
      <c r="E513" s="63"/>
      <c r="F513" s="23"/>
      <c r="G513" s="23"/>
      <c r="H513" s="7"/>
      <c r="I513" s="47"/>
      <c r="J513" s="11"/>
      <c r="L513" s="40"/>
      <c r="M513" s="228"/>
    </row>
    <row r="514" spans="1:14" ht="18.75" customHeight="1" x14ac:dyDescent="0.55000000000000004">
      <c r="A514" s="28"/>
      <c r="B514" s="45"/>
      <c r="C514" s="49"/>
      <c r="D514" s="54"/>
      <c r="E514" s="42"/>
      <c r="F514" s="23"/>
      <c r="G514" s="23"/>
      <c r="H514" s="7"/>
      <c r="I514" s="47"/>
      <c r="J514" s="11"/>
      <c r="L514" s="40"/>
      <c r="M514" s="227"/>
      <c r="N514" s="80"/>
    </row>
    <row r="515" spans="1:14" ht="18.75" customHeight="1" x14ac:dyDescent="0.55000000000000004">
      <c r="A515" s="28"/>
      <c r="B515" s="45"/>
      <c r="C515" s="49"/>
      <c r="D515" s="54"/>
      <c r="E515" s="42"/>
      <c r="F515" s="23"/>
      <c r="G515" s="23"/>
      <c r="H515" s="7"/>
      <c r="I515" s="47"/>
      <c r="J515" s="11"/>
      <c r="L515" s="40"/>
      <c r="M515" s="30"/>
    </row>
    <row r="516" spans="1:14" ht="18.75" customHeight="1" x14ac:dyDescent="0.55000000000000004">
      <c r="A516" s="28"/>
      <c r="B516" s="45"/>
      <c r="C516" s="49"/>
      <c r="D516" s="54"/>
      <c r="E516" s="63"/>
      <c r="F516" s="23"/>
      <c r="G516" s="23"/>
      <c r="H516" s="7"/>
      <c r="I516" s="47"/>
      <c r="J516" s="25"/>
      <c r="K516" s="40"/>
      <c r="L516" s="40"/>
      <c r="M516" s="228"/>
    </row>
    <row r="517" spans="1:14" ht="18.75" customHeight="1" x14ac:dyDescent="0.55000000000000004">
      <c r="A517" s="28"/>
      <c r="B517" s="45"/>
      <c r="C517" s="49"/>
      <c r="D517" s="54"/>
      <c r="E517" s="63"/>
      <c r="F517" s="23"/>
      <c r="G517" s="23"/>
      <c r="H517" s="7"/>
      <c r="I517" s="47"/>
      <c r="J517" s="11"/>
      <c r="L517" s="40"/>
      <c r="M517" s="228"/>
    </row>
    <row r="518" spans="1:14" ht="18.75" customHeight="1" x14ac:dyDescent="0.55000000000000004">
      <c r="A518" s="28"/>
      <c r="B518" s="45"/>
      <c r="C518" s="49"/>
      <c r="D518" s="54"/>
      <c r="E518" s="63"/>
      <c r="F518" s="23"/>
      <c r="G518" s="23"/>
      <c r="H518" s="7"/>
      <c r="I518" s="47"/>
      <c r="J518" s="11"/>
      <c r="L518" s="40"/>
      <c r="M518" s="228"/>
    </row>
    <row r="519" spans="1:14" ht="18.75" customHeight="1" x14ac:dyDescent="0.55000000000000004">
      <c r="A519" s="28"/>
      <c r="B519" s="45"/>
      <c r="C519" s="49"/>
      <c r="D519" s="54"/>
      <c r="E519" s="42"/>
      <c r="F519" s="23"/>
      <c r="G519" s="23"/>
      <c r="H519" s="7"/>
      <c r="I519" s="47"/>
      <c r="J519" s="11"/>
      <c r="L519" s="40"/>
      <c r="M519" s="227"/>
      <c r="N519" s="80"/>
    </row>
    <row r="520" spans="1:14" ht="18.75" customHeight="1" x14ac:dyDescent="0.55000000000000004">
      <c r="A520" s="28"/>
      <c r="B520" s="45"/>
      <c r="C520" s="49"/>
      <c r="D520" s="54"/>
      <c r="E520" s="42"/>
      <c r="F520" s="23"/>
      <c r="G520" s="23"/>
      <c r="H520" s="7"/>
      <c r="I520" s="47"/>
      <c r="J520" s="11"/>
      <c r="L520" s="40"/>
      <c r="M520" s="30"/>
    </row>
    <row r="521" spans="1:14" ht="18.75" customHeight="1" x14ac:dyDescent="0.55000000000000004">
      <c r="A521" s="28"/>
      <c r="B521" s="45"/>
      <c r="C521" s="49"/>
      <c r="D521" s="54"/>
      <c r="E521" s="63"/>
      <c r="F521" s="23"/>
      <c r="G521" s="23"/>
      <c r="H521" s="7"/>
      <c r="I521" s="47"/>
      <c r="J521" s="25"/>
      <c r="K521" s="40"/>
      <c r="L521" s="40"/>
      <c r="M521" s="228"/>
    </row>
    <row r="522" spans="1:14" ht="18.75" customHeight="1" x14ac:dyDescent="0.55000000000000004">
      <c r="A522" s="28"/>
      <c r="B522" s="45"/>
      <c r="C522" s="49"/>
      <c r="D522" s="54"/>
      <c r="E522" s="63"/>
      <c r="F522" s="23"/>
      <c r="G522" s="23"/>
      <c r="H522" s="7"/>
      <c r="I522" s="47"/>
      <c r="J522" s="11"/>
      <c r="L522" s="40"/>
      <c r="M522" s="228"/>
    </row>
    <row r="523" spans="1:14" ht="18.75" customHeight="1" x14ac:dyDescent="0.55000000000000004">
      <c r="A523" s="28"/>
      <c r="B523" s="45"/>
      <c r="C523" s="49"/>
      <c r="D523" s="54"/>
      <c r="E523" s="63"/>
      <c r="F523" s="23"/>
      <c r="G523" s="23"/>
      <c r="H523" s="7"/>
      <c r="I523" s="47"/>
      <c r="J523" s="11"/>
      <c r="L523" s="40"/>
      <c r="M523" s="228"/>
    </row>
    <row r="524" spans="1:14" ht="18.75" customHeight="1" x14ac:dyDescent="0.55000000000000004">
      <c r="A524" s="28"/>
      <c r="B524" s="45"/>
      <c r="C524" s="49"/>
      <c r="D524" s="54"/>
      <c r="E524" s="42"/>
      <c r="F524" s="23"/>
      <c r="G524" s="23"/>
      <c r="H524" s="7"/>
      <c r="I524" s="47"/>
      <c r="J524" s="11"/>
      <c r="L524" s="40"/>
      <c r="M524" s="227"/>
      <c r="N524" s="80"/>
    </row>
    <row r="525" spans="1:14" ht="18.75" customHeight="1" x14ac:dyDescent="0.55000000000000004">
      <c r="A525" s="28"/>
      <c r="B525" s="45"/>
      <c r="C525" s="49"/>
      <c r="D525" s="54"/>
      <c r="E525" s="42"/>
      <c r="F525" s="23"/>
      <c r="G525" s="23"/>
      <c r="H525" s="7"/>
      <c r="I525" s="47"/>
      <c r="J525" s="11"/>
      <c r="L525" s="40"/>
      <c r="M525" s="30"/>
    </row>
    <row r="526" spans="1:14" ht="18.75" customHeight="1" x14ac:dyDescent="0.55000000000000004">
      <c r="A526" s="28"/>
      <c r="B526" s="45"/>
      <c r="C526" s="49"/>
      <c r="D526" s="54"/>
      <c r="E526" s="63"/>
      <c r="F526" s="23"/>
      <c r="G526" s="23"/>
      <c r="H526" s="7"/>
      <c r="I526" s="47"/>
      <c r="J526" s="25"/>
      <c r="K526" s="40"/>
      <c r="L526" s="40"/>
      <c r="M526" s="228"/>
    </row>
    <row r="527" spans="1:14" ht="18.75" customHeight="1" x14ac:dyDescent="0.55000000000000004">
      <c r="A527" s="28"/>
      <c r="B527" s="45"/>
      <c r="C527" s="49"/>
      <c r="D527" s="54"/>
      <c r="E527" s="63"/>
      <c r="F527" s="23"/>
      <c r="G527" s="23"/>
      <c r="H527" s="7"/>
      <c r="I527" s="47"/>
      <c r="J527" s="11"/>
      <c r="L527" s="40"/>
      <c r="M527" s="228"/>
    </row>
    <row r="528" spans="1:14" ht="18.75" customHeight="1" x14ac:dyDescent="0.55000000000000004">
      <c r="A528" s="28"/>
      <c r="B528" s="45"/>
      <c r="C528" s="49"/>
      <c r="D528" s="54"/>
      <c r="E528" s="63"/>
      <c r="F528" s="23"/>
      <c r="G528" s="23"/>
      <c r="H528" s="7"/>
      <c r="I528" s="47"/>
      <c r="J528" s="11"/>
      <c r="L528" s="40"/>
      <c r="M528" s="228"/>
    </row>
    <row r="529" spans="1:14" ht="18.75" customHeight="1" x14ac:dyDescent="0.55000000000000004">
      <c r="A529" s="28"/>
      <c r="B529" s="45"/>
      <c r="C529" s="49"/>
      <c r="D529" s="54"/>
      <c r="E529" s="42"/>
      <c r="F529" s="23"/>
      <c r="G529" s="23"/>
      <c r="H529" s="7"/>
      <c r="I529" s="47"/>
      <c r="J529" s="11"/>
      <c r="L529" s="40"/>
      <c r="M529" s="227"/>
      <c r="N529" s="80"/>
    </row>
    <row r="530" spans="1:14" ht="18.75" customHeight="1" x14ac:dyDescent="0.55000000000000004">
      <c r="A530" s="28"/>
      <c r="B530" s="45"/>
      <c r="C530" s="49"/>
      <c r="D530" s="54"/>
      <c r="E530" s="42"/>
      <c r="F530" s="23"/>
      <c r="G530" s="23"/>
      <c r="H530" s="7"/>
      <c r="I530" s="47"/>
      <c r="J530" s="11"/>
      <c r="L530" s="40"/>
      <c r="M530" s="30"/>
    </row>
    <row r="531" spans="1:14" ht="18.75" customHeight="1" x14ac:dyDescent="0.55000000000000004">
      <c r="A531" s="28"/>
      <c r="B531" s="45"/>
      <c r="C531" s="49"/>
      <c r="D531" s="54"/>
      <c r="E531" s="63"/>
      <c r="F531" s="23"/>
      <c r="G531" s="23"/>
      <c r="H531" s="7"/>
      <c r="I531" s="47"/>
      <c r="J531" s="25"/>
      <c r="K531" s="40"/>
      <c r="L531" s="40"/>
      <c r="M531" s="228"/>
    </row>
    <row r="532" spans="1:14" ht="18.75" customHeight="1" x14ac:dyDescent="0.55000000000000004">
      <c r="A532" s="28"/>
      <c r="B532" s="45"/>
      <c r="C532" s="49"/>
      <c r="D532" s="54"/>
      <c r="E532" s="63"/>
      <c r="F532" s="23"/>
      <c r="G532" s="23"/>
      <c r="H532" s="7"/>
      <c r="I532" s="47"/>
      <c r="J532" s="11"/>
      <c r="L532" s="40"/>
      <c r="M532" s="228"/>
    </row>
    <row r="533" spans="1:14" ht="18.75" customHeight="1" x14ac:dyDescent="0.55000000000000004">
      <c r="A533" s="28"/>
      <c r="B533" s="45"/>
      <c r="C533" s="49"/>
      <c r="D533" s="54"/>
      <c r="E533" s="63"/>
      <c r="F533" s="23"/>
      <c r="G533" s="23"/>
      <c r="H533" s="7"/>
      <c r="I533" s="47"/>
      <c r="J533" s="11"/>
      <c r="L533" s="40"/>
      <c r="M533" s="228"/>
    </row>
    <row r="534" spans="1:14" ht="18.75" customHeight="1" x14ac:dyDescent="0.55000000000000004">
      <c r="A534" s="28"/>
      <c r="B534" s="45"/>
      <c r="C534" s="49"/>
      <c r="D534" s="54"/>
      <c r="E534" s="42"/>
      <c r="F534" s="23"/>
      <c r="G534" s="23"/>
      <c r="H534" s="7"/>
      <c r="I534" s="47"/>
      <c r="J534" s="11"/>
      <c r="L534" s="40"/>
      <c r="M534" s="227"/>
      <c r="N534" s="80"/>
    </row>
    <row r="535" spans="1:14" ht="18.75" customHeight="1" x14ac:dyDescent="0.55000000000000004">
      <c r="A535" s="28"/>
      <c r="B535" s="45"/>
      <c r="C535" s="49"/>
      <c r="D535" s="54"/>
      <c r="E535" s="42"/>
      <c r="F535" s="23"/>
      <c r="G535" s="23"/>
      <c r="H535" s="7"/>
      <c r="I535" s="47"/>
      <c r="J535" s="11"/>
      <c r="L535" s="40"/>
      <c r="M535" s="30"/>
    </row>
    <row r="536" spans="1:14" ht="18.75" customHeight="1" x14ac:dyDescent="0.55000000000000004">
      <c r="A536" s="28"/>
      <c r="B536" s="45"/>
      <c r="C536" s="49"/>
      <c r="D536" s="54"/>
      <c r="E536" s="63"/>
      <c r="F536" s="23"/>
      <c r="G536" s="23"/>
      <c r="H536" s="7"/>
      <c r="I536" s="47"/>
      <c r="J536" s="25"/>
      <c r="K536" s="40"/>
      <c r="L536" s="40"/>
      <c r="M536" s="228"/>
    </row>
    <row r="537" spans="1:14" ht="18.75" customHeight="1" x14ac:dyDescent="0.55000000000000004">
      <c r="A537" s="28"/>
      <c r="B537" s="45"/>
      <c r="C537" s="49"/>
      <c r="D537" s="54"/>
      <c r="E537" s="63"/>
      <c r="F537" s="23"/>
      <c r="G537" s="23"/>
      <c r="H537" s="7"/>
      <c r="I537" s="47"/>
      <c r="J537" s="11"/>
      <c r="L537" s="40"/>
      <c r="M537" s="228"/>
    </row>
    <row r="538" spans="1:14" ht="18.75" customHeight="1" x14ac:dyDescent="0.55000000000000004">
      <c r="A538" s="28"/>
      <c r="B538" s="45"/>
      <c r="C538" s="49"/>
      <c r="D538" s="54"/>
      <c r="E538" s="63"/>
      <c r="F538" s="23"/>
      <c r="G538" s="23"/>
      <c r="H538" s="7"/>
      <c r="I538" s="47"/>
      <c r="J538" s="11"/>
      <c r="L538" s="40"/>
      <c r="M538" s="228"/>
    </row>
    <row r="539" spans="1:14" ht="18.75" customHeight="1" x14ac:dyDescent="0.55000000000000004">
      <c r="A539" s="28"/>
      <c r="B539" s="45"/>
      <c r="C539" s="49"/>
      <c r="D539" s="54"/>
      <c r="E539" s="42"/>
      <c r="F539" s="23"/>
      <c r="G539" s="23"/>
      <c r="H539" s="7"/>
      <c r="I539" s="47"/>
      <c r="J539" s="11"/>
      <c r="L539" s="40"/>
      <c r="M539" s="227"/>
      <c r="N539" s="80"/>
    </row>
    <row r="540" spans="1:14" ht="18.75" customHeight="1" x14ac:dyDescent="0.55000000000000004">
      <c r="A540" s="28"/>
      <c r="B540" s="45"/>
      <c r="C540" s="49"/>
      <c r="D540" s="54"/>
      <c r="E540" s="42"/>
      <c r="F540" s="23"/>
      <c r="G540" s="23"/>
      <c r="H540" s="7"/>
      <c r="I540" s="47"/>
      <c r="J540" s="11"/>
      <c r="L540" s="40"/>
      <c r="M540" s="30"/>
    </row>
    <row r="541" spans="1:14" ht="18.75" customHeight="1" x14ac:dyDescent="0.55000000000000004">
      <c r="A541" s="28"/>
      <c r="B541" s="45"/>
      <c r="C541" s="49"/>
      <c r="D541" s="54"/>
      <c r="E541" s="63"/>
      <c r="F541" s="23"/>
      <c r="G541" s="23"/>
      <c r="H541" s="7"/>
      <c r="I541" s="47"/>
      <c r="J541" s="25"/>
      <c r="K541" s="40"/>
      <c r="L541" s="40"/>
      <c r="M541" s="228"/>
    </row>
    <row r="542" spans="1:14" ht="18.75" customHeight="1" x14ac:dyDescent="0.55000000000000004">
      <c r="A542" s="28"/>
      <c r="B542" s="45"/>
      <c r="C542" s="49"/>
      <c r="D542" s="54"/>
      <c r="E542" s="63"/>
      <c r="F542" s="23"/>
      <c r="G542" s="23"/>
      <c r="H542" s="7"/>
      <c r="I542" s="47"/>
      <c r="J542" s="11"/>
      <c r="L542" s="40"/>
      <c r="M542" s="228"/>
    </row>
    <row r="543" spans="1:14" ht="18.75" customHeight="1" x14ac:dyDescent="0.55000000000000004">
      <c r="A543" s="28"/>
      <c r="B543" s="45"/>
      <c r="C543" s="49"/>
      <c r="D543" s="54"/>
      <c r="E543" s="63"/>
      <c r="F543" s="23"/>
      <c r="G543" s="23"/>
      <c r="H543" s="7"/>
      <c r="I543" s="47"/>
      <c r="J543" s="11"/>
      <c r="L543" s="40"/>
      <c r="M543" s="228"/>
    </row>
    <row r="544" spans="1:14" ht="18.75" customHeight="1" x14ac:dyDescent="0.55000000000000004">
      <c r="A544" s="28"/>
      <c r="B544" s="45"/>
      <c r="C544" s="49"/>
      <c r="D544" s="54"/>
      <c r="E544" s="42"/>
      <c r="F544" s="23"/>
      <c r="G544" s="23"/>
      <c r="H544" s="7"/>
      <c r="I544" s="47"/>
      <c r="J544" s="11"/>
      <c r="L544" s="40"/>
      <c r="M544" s="227"/>
      <c r="N544" s="80"/>
    </row>
    <row r="545" spans="1:14" ht="18.75" customHeight="1" x14ac:dyDescent="0.55000000000000004">
      <c r="A545" s="28"/>
      <c r="B545" s="45"/>
      <c r="C545" s="49"/>
      <c r="D545" s="54"/>
      <c r="E545" s="42"/>
      <c r="F545" s="23"/>
      <c r="G545" s="23"/>
      <c r="H545" s="7"/>
      <c r="I545" s="47"/>
      <c r="J545" s="11"/>
      <c r="L545" s="40"/>
      <c r="M545" s="30"/>
    </row>
    <row r="546" spans="1:14" ht="18.75" customHeight="1" x14ac:dyDescent="0.55000000000000004">
      <c r="A546" s="28"/>
      <c r="B546" s="45"/>
      <c r="C546" s="49"/>
      <c r="D546" s="54"/>
      <c r="E546" s="63"/>
      <c r="F546" s="23"/>
      <c r="G546" s="23"/>
      <c r="H546" s="7"/>
      <c r="I546" s="47"/>
      <c r="J546" s="25"/>
      <c r="K546" s="40"/>
      <c r="L546" s="40"/>
      <c r="M546" s="228"/>
    </row>
    <row r="547" spans="1:14" ht="18.75" customHeight="1" x14ac:dyDescent="0.55000000000000004">
      <c r="A547" s="28"/>
      <c r="B547" s="45"/>
      <c r="C547" s="49"/>
      <c r="D547" s="54"/>
      <c r="E547" s="63"/>
      <c r="F547" s="23"/>
      <c r="G547" s="23"/>
      <c r="H547" s="7"/>
      <c r="I547" s="47"/>
      <c r="J547" s="11"/>
      <c r="L547" s="40"/>
      <c r="M547" s="228"/>
    </row>
    <row r="548" spans="1:14" ht="18.75" customHeight="1" x14ac:dyDescent="0.55000000000000004">
      <c r="A548" s="28"/>
      <c r="B548" s="45"/>
      <c r="C548" s="49"/>
      <c r="D548" s="54"/>
      <c r="E548" s="63"/>
      <c r="F548" s="23"/>
      <c r="G548" s="23"/>
      <c r="H548" s="7"/>
      <c r="I548" s="47"/>
      <c r="J548" s="11"/>
      <c r="L548" s="40"/>
      <c r="M548" s="228"/>
    </row>
    <row r="549" spans="1:14" ht="18.75" customHeight="1" x14ac:dyDescent="0.55000000000000004">
      <c r="A549" s="28"/>
      <c r="B549" s="45"/>
      <c r="C549" s="49"/>
      <c r="D549" s="54"/>
      <c r="E549" s="42"/>
      <c r="F549" s="23"/>
      <c r="G549" s="23"/>
      <c r="H549" s="7"/>
      <c r="I549" s="47"/>
      <c r="J549" s="11"/>
      <c r="L549" s="40"/>
      <c r="M549" s="227"/>
      <c r="N549" s="80"/>
    </row>
    <row r="550" spans="1:14" ht="18.75" customHeight="1" x14ac:dyDescent="0.55000000000000004">
      <c r="A550" s="28"/>
      <c r="B550" s="45"/>
      <c r="C550" s="49"/>
      <c r="D550" s="54"/>
      <c r="E550" s="42"/>
      <c r="F550" s="23"/>
      <c r="G550" s="23"/>
      <c r="H550" s="7"/>
      <c r="I550" s="47"/>
      <c r="J550" s="11"/>
      <c r="L550" s="40"/>
      <c r="M550" s="30"/>
    </row>
    <row r="551" spans="1:14" ht="18.75" customHeight="1" x14ac:dyDescent="0.55000000000000004">
      <c r="A551" s="28"/>
      <c r="B551" s="45"/>
      <c r="C551" s="49"/>
      <c r="D551" s="54"/>
      <c r="E551" s="63"/>
      <c r="F551" s="23"/>
      <c r="G551" s="23"/>
      <c r="H551" s="7"/>
      <c r="I551" s="47"/>
      <c r="J551" s="25"/>
      <c r="K551" s="40"/>
      <c r="L551" s="40"/>
      <c r="M551" s="228"/>
    </row>
    <row r="552" spans="1:14" ht="18.75" customHeight="1" x14ac:dyDescent="0.55000000000000004">
      <c r="A552" s="28"/>
      <c r="B552" s="45"/>
      <c r="C552" s="49"/>
      <c r="D552" s="54"/>
      <c r="E552" s="63"/>
      <c r="F552" s="23"/>
      <c r="G552" s="23"/>
      <c r="H552" s="7"/>
      <c r="I552" s="47"/>
      <c r="J552" s="11"/>
      <c r="L552" s="40"/>
      <c r="M552" s="228"/>
    </row>
    <row r="553" spans="1:14" ht="18.75" customHeight="1" x14ac:dyDescent="0.55000000000000004">
      <c r="A553" s="28"/>
      <c r="B553" s="45"/>
      <c r="C553" s="49"/>
      <c r="D553" s="54"/>
      <c r="E553" s="63"/>
      <c r="F553" s="23"/>
      <c r="G553" s="23"/>
      <c r="H553" s="7"/>
      <c r="I553" s="47"/>
      <c r="J553" s="11"/>
      <c r="L553" s="40"/>
      <c r="M553" s="228"/>
    </row>
    <row r="554" spans="1:14" ht="18.75" customHeight="1" x14ac:dyDescent="0.55000000000000004">
      <c r="A554" s="28"/>
      <c r="B554" s="45"/>
      <c r="C554" s="49"/>
      <c r="D554" s="54"/>
      <c r="E554" s="42"/>
      <c r="F554" s="23"/>
      <c r="G554" s="23"/>
      <c r="H554" s="7"/>
      <c r="I554" s="47"/>
      <c r="J554" s="11"/>
      <c r="L554" s="40"/>
      <c r="M554" s="227"/>
      <c r="N554" s="80"/>
    </row>
    <row r="555" spans="1:14" ht="18.75" customHeight="1" x14ac:dyDescent="0.55000000000000004">
      <c r="A555" s="28"/>
      <c r="B555" s="45"/>
      <c r="C555" s="49"/>
      <c r="D555" s="54"/>
      <c r="E555" s="42"/>
      <c r="F555" s="23"/>
      <c r="G555" s="23"/>
      <c r="H555" s="7"/>
      <c r="I555" s="47"/>
      <c r="J555" s="11"/>
      <c r="L555" s="40"/>
      <c r="M555" s="30"/>
    </row>
    <row r="556" spans="1:14" ht="18.75" customHeight="1" x14ac:dyDescent="0.55000000000000004">
      <c r="A556" s="28"/>
      <c r="B556" s="45"/>
      <c r="C556" s="49"/>
      <c r="D556" s="54"/>
      <c r="E556" s="63"/>
      <c r="F556" s="23"/>
      <c r="G556" s="23"/>
      <c r="H556" s="7"/>
      <c r="I556" s="47"/>
      <c r="J556" s="25"/>
      <c r="K556" s="40"/>
      <c r="L556" s="40"/>
      <c r="M556" s="228"/>
    </row>
    <row r="557" spans="1:14" ht="18.75" customHeight="1" x14ac:dyDescent="0.55000000000000004">
      <c r="A557" s="28"/>
      <c r="B557" s="45"/>
      <c r="C557" s="49"/>
      <c r="D557" s="54"/>
      <c r="E557" s="63"/>
      <c r="F557" s="23"/>
      <c r="G557" s="23"/>
      <c r="H557" s="7"/>
      <c r="I557" s="47"/>
      <c r="J557" s="11"/>
      <c r="L557" s="40"/>
      <c r="M557" s="228"/>
    </row>
    <row r="558" spans="1:14" ht="18.75" customHeight="1" x14ac:dyDescent="0.55000000000000004">
      <c r="A558" s="28"/>
      <c r="B558" s="45"/>
      <c r="C558" s="49"/>
      <c r="D558" s="54"/>
      <c r="E558" s="63"/>
      <c r="F558" s="23"/>
      <c r="G558" s="23"/>
      <c r="H558" s="7"/>
      <c r="I558" s="47"/>
      <c r="J558" s="11"/>
      <c r="L558" s="40"/>
      <c r="M558" s="228"/>
    </row>
    <row r="559" spans="1:14" ht="18.75" customHeight="1" x14ac:dyDescent="0.55000000000000004">
      <c r="A559" s="28"/>
      <c r="B559" s="45"/>
      <c r="C559" s="49"/>
      <c r="D559" s="54"/>
      <c r="E559" s="42"/>
      <c r="F559" s="23"/>
      <c r="G559" s="23"/>
      <c r="H559" s="7"/>
      <c r="I559" s="47"/>
      <c r="J559" s="11"/>
      <c r="L559" s="40"/>
      <c r="M559" s="227"/>
      <c r="N559" s="80"/>
    </row>
    <row r="560" spans="1:14" ht="18.75" customHeight="1" x14ac:dyDescent="0.55000000000000004">
      <c r="A560" s="28"/>
      <c r="B560" s="45"/>
      <c r="C560" s="49"/>
      <c r="D560" s="54"/>
      <c r="E560" s="42"/>
      <c r="F560" s="23"/>
      <c r="G560" s="23"/>
      <c r="H560" s="7"/>
      <c r="I560" s="47"/>
      <c r="J560" s="11"/>
      <c r="L560" s="40"/>
      <c r="M560" s="30"/>
    </row>
    <row r="561" spans="1:14" ht="18.75" customHeight="1" x14ac:dyDescent="0.55000000000000004">
      <c r="A561" s="28"/>
      <c r="B561" s="45"/>
      <c r="C561" s="49"/>
      <c r="D561" s="54"/>
      <c r="E561" s="63"/>
      <c r="F561" s="23"/>
      <c r="G561" s="23"/>
      <c r="H561" s="7"/>
      <c r="I561" s="47"/>
      <c r="J561" s="25"/>
      <c r="K561" s="40"/>
      <c r="L561" s="40"/>
      <c r="M561" s="228"/>
    </row>
    <row r="562" spans="1:14" ht="18.75" customHeight="1" x14ac:dyDescent="0.55000000000000004">
      <c r="A562" s="28"/>
      <c r="B562" s="45"/>
      <c r="C562" s="49"/>
      <c r="D562" s="54"/>
      <c r="E562" s="63"/>
      <c r="F562" s="23"/>
      <c r="G562" s="23"/>
      <c r="H562" s="7"/>
      <c r="I562" s="47"/>
      <c r="J562" s="11"/>
      <c r="L562" s="40"/>
      <c r="M562" s="228"/>
    </row>
    <row r="563" spans="1:14" ht="18.75" customHeight="1" x14ac:dyDescent="0.55000000000000004">
      <c r="A563" s="28"/>
      <c r="B563" s="45"/>
      <c r="C563" s="49"/>
      <c r="D563" s="54"/>
      <c r="E563" s="63"/>
      <c r="F563" s="23"/>
      <c r="G563" s="23"/>
      <c r="H563" s="7"/>
      <c r="I563" s="47"/>
      <c r="J563" s="11"/>
      <c r="L563" s="40"/>
      <c r="M563" s="228"/>
    </row>
    <row r="564" spans="1:14" ht="18.75" customHeight="1" x14ac:dyDescent="0.55000000000000004">
      <c r="A564" s="28"/>
      <c r="B564" s="45"/>
      <c r="C564" s="49"/>
      <c r="D564" s="54"/>
      <c r="E564" s="42"/>
      <c r="F564" s="23"/>
      <c r="G564" s="23"/>
      <c r="H564" s="7"/>
      <c r="I564" s="47"/>
      <c r="J564" s="11"/>
      <c r="L564" s="40"/>
      <c r="M564" s="227"/>
      <c r="N564" s="80"/>
    </row>
    <row r="565" spans="1:14" ht="18.75" customHeight="1" x14ac:dyDescent="0.55000000000000004">
      <c r="A565" s="28"/>
      <c r="B565" s="45"/>
      <c r="C565" s="49"/>
      <c r="D565" s="54"/>
      <c r="E565" s="42"/>
      <c r="F565" s="23"/>
      <c r="G565" s="23"/>
      <c r="H565" s="7"/>
      <c r="I565" s="47"/>
      <c r="J565" s="11"/>
      <c r="L565" s="40"/>
      <c r="M565" s="30"/>
    </row>
    <row r="566" spans="1:14" ht="18.75" customHeight="1" x14ac:dyDescent="0.55000000000000004">
      <c r="A566" s="28"/>
      <c r="B566" s="45"/>
      <c r="C566" s="49"/>
      <c r="D566" s="54"/>
      <c r="E566" s="63"/>
      <c r="F566" s="23"/>
      <c r="G566" s="23"/>
      <c r="H566" s="7"/>
      <c r="I566" s="47"/>
      <c r="J566" s="25"/>
      <c r="K566" s="40"/>
      <c r="L566" s="40"/>
      <c r="M566" s="228"/>
    </row>
    <row r="567" spans="1:14" ht="18.75" customHeight="1" x14ac:dyDescent="0.55000000000000004">
      <c r="A567" s="28"/>
      <c r="B567" s="45"/>
      <c r="C567" s="49"/>
      <c r="D567" s="54"/>
      <c r="E567" s="63"/>
      <c r="F567" s="23"/>
      <c r="G567" s="23"/>
      <c r="H567" s="7"/>
      <c r="I567" s="47"/>
      <c r="J567" s="11"/>
      <c r="L567" s="40"/>
      <c r="M567" s="228"/>
    </row>
    <row r="568" spans="1:14" ht="18.75" customHeight="1" x14ac:dyDescent="0.55000000000000004">
      <c r="A568" s="28"/>
      <c r="B568" s="45"/>
      <c r="C568" s="49"/>
      <c r="D568" s="54"/>
      <c r="E568" s="63"/>
      <c r="F568" s="23"/>
      <c r="G568" s="23"/>
      <c r="H568" s="7"/>
      <c r="I568" s="47"/>
      <c r="J568" s="11"/>
      <c r="L568" s="40"/>
      <c r="M568" s="228"/>
    </row>
    <row r="569" spans="1:14" ht="18.75" customHeight="1" x14ac:dyDescent="0.55000000000000004">
      <c r="A569" s="28"/>
      <c r="B569" s="45"/>
      <c r="C569" s="49"/>
      <c r="D569" s="54"/>
      <c r="E569" s="42"/>
      <c r="F569" s="23"/>
      <c r="G569" s="23"/>
      <c r="H569" s="7"/>
      <c r="I569" s="47"/>
      <c r="J569" s="11"/>
      <c r="L569" s="40"/>
      <c r="M569" s="227"/>
      <c r="N569" s="80"/>
    </row>
    <row r="570" spans="1:14" ht="18.75" customHeight="1" x14ac:dyDescent="0.55000000000000004">
      <c r="A570" s="28"/>
      <c r="B570" s="45"/>
      <c r="C570" s="49"/>
      <c r="D570" s="54"/>
      <c r="E570" s="42"/>
      <c r="F570" s="23"/>
      <c r="G570" s="23"/>
      <c r="H570" s="7"/>
      <c r="I570" s="47"/>
      <c r="J570" s="11"/>
      <c r="L570" s="40"/>
      <c r="M570" s="30"/>
    </row>
    <row r="571" spans="1:14" ht="18.75" customHeight="1" x14ac:dyDescent="0.55000000000000004">
      <c r="A571" s="28"/>
      <c r="B571" s="45"/>
      <c r="C571" s="49"/>
      <c r="D571" s="54"/>
      <c r="E571" s="63"/>
      <c r="F571" s="23"/>
      <c r="G571" s="23"/>
      <c r="H571" s="7"/>
      <c r="I571" s="47"/>
      <c r="J571" s="25"/>
      <c r="K571" s="40"/>
      <c r="L571" s="40"/>
      <c r="M571" s="228"/>
    </row>
    <row r="572" spans="1:14" ht="18.75" customHeight="1" x14ac:dyDescent="0.55000000000000004">
      <c r="A572" s="28"/>
      <c r="B572" s="45"/>
      <c r="C572" s="49"/>
      <c r="D572" s="54"/>
      <c r="E572" s="63"/>
      <c r="F572" s="23"/>
      <c r="G572" s="23"/>
      <c r="H572" s="7"/>
      <c r="I572" s="47"/>
      <c r="J572" s="11"/>
      <c r="L572" s="40"/>
      <c r="M572" s="228"/>
    </row>
    <row r="573" spans="1:14" ht="18.75" customHeight="1" x14ac:dyDescent="0.55000000000000004">
      <c r="A573" s="28"/>
      <c r="B573" s="45"/>
      <c r="C573" s="49"/>
      <c r="D573" s="54"/>
      <c r="E573" s="63"/>
      <c r="F573" s="23"/>
      <c r="G573" s="23"/>
      <c r="H573" s="7"/>
      <c r="I573" s="47"/>
      <c r="J573" s="11"/>
      <c r="L573" s="40"/>
      <c r="M573" s="228"/>
    </row>
    <row r="574" spans="1:14" ht="18.75" customHeight="1" x14ac:dyDescent="0.55000000000000004">
      <c r="A574" s="28"/>
      <c r="B574" s="45"/>
      <c r="C574" s="49"/>
      <c r="D574" s="54"/>
      <c r="E574" s="42"/>
      <c r="F574" s="23"/>
      <c r="G574" s="23"/>
      <c r="H574" s="7"/>
      <c r="I574" s="47"/>
      <c r="J574" s="11"/>
      <c r="L574" s="40"/>
      <c r="M574" s="227"/>
      <c r="N574" s="80"/>
    </row>
    <row r="575" spans="1:14" ht="18.75" customHeight="1" x14ac:dyDescent="0.55000000000000004">
      <c r="A575" s="28"/>
      <c r="B575" s="45"/>
      <c r="C575" s="49"/>
      <c r="D575" s="54"/>
      <c r="E575" s="42"/>
      <c r="F575" s="23"/>
      <c r="G575" s="23"/>
      <c r="H575" s="7"/>
      <c r="I575" s="47"/>
      <c r="J575" s="11"/>
      <c r="L575" s="40"/>
      <c r="M575" s="30"/>
    </row>
    <row r="576" spans="1:14" ht="18.75" customHeight="1" x14ac:dyDescent="0.55000000000000004">
      <c r="A576" s="28"/>
      <c r="B576" s="45"/>
      <c r="C576" s="49"/>
      <c r="D576" s="54"/>
      <c r="E576" s="63"/>
      <c r="F576" s="23"/>
      <c r="G576" s="23"/>
      <c r="H576" s="7"/>
      <c r="I576" s="47"/>
      <c r="J576" s="25"/>
      <c r="K576" s="40"/>
      <c r="L576" s="40"/>
      <c r="M576" s="228"/>
    </row>
    <row r="577" spans="1:14" ht="18.75" customHeight="1" x14ac:dyDescent="0.55000000000000004">
      <c r="A577" s="28"/>
      <c r="B577" s="45"/>
      <c r="C577" s="49"/>
      <c r="D577" s="54"/>
      <c r="E577" s="63"/>
      <c r="F577" s="23"/>
      <c r="G577" s="23"/>
      <c r="H577" s="7"/>
      <c r="I577" s="47"/>
      <c r="J577" s="11"/>
      <c r="L577" s="40"/>
      <c r="M577" s="228"/>
    </row>
    <row r="578" spans="1:14" ht="18.75" customHeight="1" x14ac:dyDescent="0.55000000000000004">
      <c r="A578" s="28"/>
      <c r="B578" s="45"/>
      <c r="C578" s="49"/>
      <c r="D578" s="54"/>
      <c r="E578" s="63"/>
      <c r="F578" s="23"/>
      <c r="G578" s="23"/>
      <c r="H578" s="7"/>
      <c r="I578" s="47"/>
      <c r="J578" s="11"/>
      <c r="L578" s="40"/>
      <c r="M578" s="228"/>
    </row>
    <row r="579" spans="1:14" ht="18.75" customHeight="1" x14ac:dyDescent="0.55000000000000004">
      <c r="A579" s="28"/>
      <c r="B579" s="45"/>
      <c r="C579" s="49"/>
      <c r="D579" s="54"/>
      <c r="E579" s="42"/>
      <c r="F579" s="23"/>
      <c r="G579" s="23"/>
      <c r="H579" s="7"/>
      <c r="I579" s="47"/>
      <c r="J579" s="11"/>
      <c r="L579" s="40"/>
      <c r="M579" s="227"/>
      <c r="N579" s="80"/>
    </row>
    <row r="580" spans="1:14" ht="18.75" customHeight="1" x14ac:dyDescent="0.55000000000000004">
      <c r="A580" s="28"/>
      <c r="B580" s="45"/>
      <c r="C580" s="49"/>
      <c r="D580" s="54"/>
      <c r="E580" s="42"/>
      <c r="F580" s="23"/>
      <c r="G580" s="23"/>
      <c r="H580" s="7"/>
      <c r="I580" s="47"/>
      <c r="J580" s="11"/>
      <c r="L580" s="40"/>
      <c r="M580" s="30"/>
    </row>
    <row r="581" spans="1:14" ht="18.75" customHeight="1" x14ac:dyDescent="0.55000000000000004">
      <c r="A581" s="28"/>
      <c r="B581" s="45"/>
      <c r="C581" s="49"/>
      <c r="D581" s="54"/>
      <c r="E581" s="63"/>
      <c r="F581" s="23"/>
      <c r="G581" s="23"/>
      <c r="H581" s="7"/>
      <c r="I581" s="47"/>
      <c r="J581" s="25"/>
      <c r="K581" s="40"/>
      <c r="L581" s="40"/>
      <c r="M581" s="228"/>
    </row>
    <row r="582" spans="1:14" ht="18.75" customHeight="1" x14ac:dyDescent="0.55000000000000004">
      <c r="A582" s="28"/>
      <c r="B582" s="45"/>
      <c r="C582" s="49"/>
      <c r="D582" s="54"/>
      <c r="E582" s="63"/>
      <c r="F582" s="23"/>
      <c r="G582" s="23"/>
      <c r="H582" s="7"/>
      <c r="I582" s="47"/>
      <c r="J582" s="11"/>
      <c r="L582" s="40"/>
      <c r="M582" s="228"/>
    </row>
    <row r="583" spans="1:14" ht="18.75" customHeight="1" x14ac:dyDescent="0.55000000000000004">
      <c r="A583" s="28"/>
      <c r="B583" s="45"/>
      <c r="C583" s="49"/>
      <c r="D583" s="54"/>
      <c r="E583" s="63"/>
      <c r="F583" s="23"/>
      <c r="G583" s="23"/>
      <c r="H583" s="7"/>
      <c r="I583" s="47"/>
      <c r="J583" s="11"/>
      <c r="L583" s="40"/>
      <c r="M583" s="228"/>
    </row>
    <row r="584" spans="1:14" ht="18.75" customHeight="1" x14ac:dyDescent="0.55000000000000004">
      <c r="A584" s="28"/>
      <c r="B584" s="45"/>
      <c r="C584" s="49"/>
      <c r="D584" s="54"/>
      <c r="E584" s="42"/>
      <c r="F584" s="23"/>
      <c r="G584" s="23"/>
      <c r="H584" s="7"/>
      <c r="I584" s="47"/>
      <c r="J584" s="11"/>
      <c r="L584" s="40"/>
      <c r="M584" s="227"/>
      <c r="N584" s="80"/>
    </row>
    <row r="585" spans="1:14" ht="18.75" customHeight="1" x14ac:dyDescent="0.55000000000000004">
      <c r="A585" s="28"/>
      <c r="B585" s="45"/>
      <c r="C585" s="49"/>
      <c r="D585" s="54"/>
      <c r="E585" s="42"/>
      <c r="F585" s="23"/>
      <c r="G585" s="23"/>
      <c r="H585" s="7"/>
      <c r="I585" s="47"/>
      <c r="J585" s="11"/>
      <c r="L585" s="40"/>
      <c r="M585" s="30"/>
    </row>
    <row r="586" spans="1:14" ht="18.75" customHeight="1" x14ac:dyDescent="0.55000000000000004">
      <c r="A586" s="28"/>
      <c r="B586" s="45"/>
      <c r="C586" s="49"/>
      <c r="D586" s="54"/>
      <c r="E586" s="63"/>
      <c r="F586" s="23"/>
      <c r="G586" s="23"/>
      <c r="H586" s="7"/>
      <c r="I586" s="47"/>
      <c r="J586" s="25"/>
      <c r="K586" s="40"/>
      <c r="L586" s="40"/>
      <c r="M586" s="228"/>
    </row>
    <row r="587" spans="1:14" ht="18.75" customHeight="1" x14ac:dyDescent="0.55000000000000004">
      <c r="A587" s="28"/>
      <c r="B587" s="45"/>
      <c r="C587" s="49"/>
      <c r="D587" s="54"/>
      <c r="E587" s="63"/>
      <c r="F587" s="23"/>
      <c r="G587" s="23"/>
      <c r="H587" s="7"/>
      <c r="I587" s="47"/>
      <c r="J587" s="11"/>
      <c r="L587" s="40"/>
      <c r="M587" s="228"/>
    </row>
    <row r="588" spans="1:14" ht="18.75" customHeight="1" x14ac:dyDescent="0.55000000000000004">
      <c r="A588" s="28"/>
      <c r="B588" s="45"/>
      <c r="C588" s="49"/>
      <c r="D588" s="54"/>
      <c r="E588" s="63"/>
      <c r="F588" s="23"/>
      <c r="G588" s="23"/>
      <c r="H588" s="7"/>
      <c r="I588" s="47"/>
      <c r="J588" s="11"/>
      <c r="L588" s="40"/>
      <c r="M588" s="228"/>
    </row>
    <row r="589" spans="1:14" ht="18.75" customHeight="1" x14ac:dyDescent="0.55000000000000004">
      <c r="A589" s="28"/>
      <c r="B589" s="45"/>
      <c r="C589" s="49"/>
      <c r="D589" s="54"/>
      <c r="E589" s="42"/>
      <c r="F589" s="23"/>
      <c r="G589" s="23"/>
      <c r="H589" s="7"/>
      <c r="I589" s="47"/>
      <c r="J589" s="11"/>
      <c r="L589" s="40"/>
      <c r="M589" s="227"/>
      <c r="N589" s="80"/>
    </row>
    <row r="590" spans="1:14" ht="18.75" customHeight="1" x14ac:dyDescent="0.55000000000000004">
      <c r="A590" s="28"/>
      <c r="B590" s="45"/>
      <c r="C590" s="49"/>
      <c r="D590" s="54"/>
      <c r="E590" s="42"/>
      <c r="F590" s="23"/>
      <c r="G590" s="23"/>
      <c r="H590" s="7"/>
      <c r="I590" s="47"/>
      <c r="J590" s="11"/>
      <c r="L590" s="40"/>
      <c r="M590" s="30"/>
    </row>
    <row r="591" spans="1:14" ht="18.75" customHeight="1" x14ac:dyDescent="0.55000000000000004">
      <c r="A591" s="28"/>
      <c r="B591" s="45"/>
      <c r="C591" s="49"/>
      <c r="D591" s="54"/>
      <c r="E591" s="63"/>
      <c r="F591" s="23"/>
      <c r="G591" s="23"/>
      <c r="H591" s="7"/>
      <c r="I591" s="47"/>
      <c r="J591" s="25"/>
      <c r="K591" s="40"/>
      <c r="L591" s="40"/>
      <c r="M591" s="228"/>
    </row>
    <row r="592" spans="1:14" ht="18.75" customHeight="1" x14ac:dyDescent="0.55000000000000004">
      <c r="A592" s="28"/>
      <c r="B592" s="45"/>
      <c r="C592" s="49"/>
      <c r="D592" s="54"/>
      <c r="E592" s="63"/>
      <c r="F592" s="23"/>
      <c r="G592" s="23"/>
      <c r="H592" s="7"/>
      <c r="I592" s="47"/>
      <c r="J592" s="11"/>
      <c r="L592" s="40"/>
      <c r="M592" s="228"/>
    </row>
    <row r="593" spans="1:14" ht="18.75" customHeight="1" x14ac:dyDescent="0.55000000000000004">
      <c r="A593" s="28"/>
      <c r="B593" s="45"/>
      <c r="C593" s="49"/>
      <c r="D593" s="54"/>
      <c r="E593" s="63"/>
      <c r="F593" s="23"/>
      <c r="G593" s="23"/>
      <c r="H593" s="7"/>
      <c r="I593" s="47"/>
      <c r="J593" s="11"/>
      <c r="L593" s="40"/>
      <c r="M593" s="228"/>
    </row>
    <row r="594" spans="1:14" ht="18.75" customHeight="1" x14ac:dyDescent="0.55000000000000004">
      <c r="A594" s="28"/>
      <c r="B594" s="45"/>
      <c r="C594" s="49"/>
      <c r="D594" s="54"/>
      <c r="E594" s="42"/>
      <c r="F594" s="23"/>
      <c r="G594" s="23"/>
      <c r="H594" s="7"/>
      <c r="I594" s="47"/>
      <c r="J594" s="11"/>
      <c r="L594" s="40"/>
      <c r="M594" s="227"/>
      <c r="N594" s="80"/>
    </row>
    <row r="595" spans="1:14" ht="18.75" customHeight="1" x14ac:dyDescent="0.55000000000000004">
      <c r="A595" s="28"/>
      <c r="B595" s="45"/>
      <c r="C595" s="49"/>
      <c r="D595" s="54"/>
      <c r="E595" s="42"/>
      <c r="F595" s="23"/>
      <c r="G595" s="23"/>
      <c r="H595" s="7"/>
      <c r="I595" s="47"/>
      <c r="J595" s="11"/>
      <c r="L595" s="40"/>
      <c r="M595" s="30"/>
    </row>
    <row r="596" spans="1:14" ht="18.75" customHeight="1" x14ac:dyDescent="0.55000000000000004">
      <c r="A596" s="28"/>
      <c r="B596" s="45"/>
      <c r="C596" s="49"/>
      <c r="D596" s="54"/>
      <c r="E596" s="63"/>
      <c r="F596" s="23"/>
      <c r="G596" s="23"/>
      <c r="H596" s="7"/>
      <c r="I596" s="47"/>
      <c r="J596" s="25"/>
      <c r="K596" s="40"/>
      <c r="L596" s="40"/>
      <c r="M596" s="228"/>
    </row>
    <row r="597" spans="1:14" ht="18.75" customHeight="1" x14ac:dyDescent="0.55000000000000004">
      <c r="A597" s="28"/>
      <c r="B597" s="45"/>
      <c r="C597" s="49"/>
      <c r="D597" s="54"/>
      <c r="E597" s="63"/>
      <c r="F597" s="23"/>
      <c r="G597" s="23"/>
      <c r="H597" s="7"/>
      <c r="I597" s="47"/>
      <c r="J597" s="11"/>
      <c r="L597" s="40"/>
      <c r="M597" s="228"/>
    </row>
    <row r="598" spans="1:14" ht="18.75" customHeight="1" x14ac:dyDescent="0.55000000000000004">
      <c r="A598" s="28"/>
      <c r="B598" s="45"/>
      <c r="C598" s="49"/>
      <c r="D598" s="54"/>
      <c r="E598" s="63"/>
      <c r="F598" s="23"/>
      <c r="G598" s="23"/>
      <c r="H598" s="7"/>
      <c r="I598" s="47"/>
      <c r="J598" s="11"/>
      <c r="L598" s="40"/>
      <c r="M598" s="228"/>
    </row>
    <row r="599" spans="1:14" ht="18.75" customHeight="1" x14ac:dyDescent="0.55000000000000004">
      <c r="A599" s="28"/>
      <c r="B599" s="45"/>
      <c r="C599" s="49"/>
      <c r="D599" s="54"/>
      <c r="E599" s="42"/>
      <c r="F599" s="23"/>
      <c r="G599" s="23"/>
      <c r="H599" s="7"/>
      <c r="I599" s="47"/>
      <c r="J599" s="11"/>
      <c r="L599" s="40"/>
      <c r="M599" s="227"/>
      <c r="N599" s="80"/>
    </row>
    <row r="600" spans="1:14" ht="18.75" customHeight="1" x14ac:dyDescent="0.55000000000000004">
      <c r="A600" s="28"/>
      <c r="B600" s="45"/>
      <c r="C600" s="49"/>
      <c r="D600" s="54"/>
      <c r="E600" s="42"/>
      <c r="F600" s="23"/>
      <c r="G600" s="23"/>
      <c r="H600" s="7"/>
      <c r="I600" s="47"/>
      <c r="J600" s="11"/>
      <c r="L600" s="40"/>
      <c r="M600" s="30"/>
    </row>
    <row r="601" spans="1:14" ht="18.75" customHeight="1" x14ac:dyDescent="0.55000000000000004">
      <c r="A601" s="28"/>
      <c r="B601" s="45"/>
      <c r="C601" s="49"/>
      <c r="D601" s="54"/>
      <c r="E601" s="63"/>
      <c r="F601" s="23"/>
      <c r="G601" s="23"/>
      <c r="H601" s="7"/>
      <c r="I601" s="47"/>
      <c r="J601" s="25"/>
      <c r="K601" s="40"/>
      <c r="L601" s="40"/>
      <c r="M601" s="228"/>
    </row>
    <row r="602" spans="1:14" ht="18.75" customHeight="1" x14ac:dyDescent="0.55000000000000004">
      <c r="A602" s="28"/>
      <c r="B602" s="45"/>
      <c r="C602" s="49"/>
      <c r="D602" s="54"/>
      <c r="E602" s="63"/>
      <c r="F602" s="23"/>
      <c r="G602" s="23"/>
      <c r="H602" s="7"/>
      <c r="I602" s="47"/>
      <c r="J602" s="11"/>
      <c r="L602" s="40"/>
      <c r="M602" s="228"/>
    </row>
    <row r="603" spans="1:14" ht="18.75" customHeight="1" x14ac:dyDescent="0.55000000000000004">
      <c r="A603" s="28"/>
      <c r="B603" s="45"/>
      <c r="C603" s="49"/>
      <c r="D603" s="54"/>
      <c r="E603" s="63"/>
      <c r="F603" s="23"/>
      <c r="G603" s="23"/>
      <c r="H603" s="7"/>
      <c r="I603" s="47"/>
      <c r="J603" s="11"/>
      <c r="L603" s="40"/>
      <c r="M603" s="228"/>
    </row>
    <row r="604" spans="1:14" ht="18.75" customHeight="1" x14ac:dyDescent="0.55000000000000004">
      <c r="A604" s="28"/>
      <c r="B604" s="45"/>
      <c r="C604" s="49"/>
      <c r="D604" s="54"/>
      <c r="E604" s="42"/>
      <c r="F604" s="23"/>
      <c r="G604" s="23"/>
      <c r="H604" s="7"/>
      <c r="I604" s="47"/>
      <c r="J604" s="11"/>
      <c r="L604" s="40"/>
      <c r="M604" s="227"/>
      <c r="N604" s="80"/>
    </row>
    <row r="605" spans="1:14" ht="18.75" customHeight="1" x14ac:dyDescent="0.55000000000000004">
      <c r="A605" s="28"/>
      <c r="B605" s="45"/>
      <c r="C605" s="49"/>
      <c r="D605" s="54"/>
      <c r="E605" s="42"/>
      <c r="F605" s="23"/>
      <c r="G605" s="23"/>
      <c r="H605" s="7"/>
      <c r="I605" s="47"/>
      <c r="J605" s="11"/>
      <c r="L605" s="40"/>
      <c r="M605" s="30"/>
    </row>
    <row r="606" spans="1:14" ht="18.75" customHeight="1" x14ac:dyDescent="0.55000000000000004">
      <c r="A606" s="28"/>
      <c r="B606" s="45"/>
      <c r="C606" s="49"/>
      <c r="D606" s="54"/>
      <c r="E606" s="63"/>
      <c r="F606" s="23"/>
      <c r="G606" s="23"/>
      <c r="H606" s="7"/>
      <c r="I606" s="47"/>
      <c r="J606" s="25"/>
      <c r="K606" s="40"/>
      <c r="L606" s="40"/>
      <c r="M606" s="228"/>
    </row>
    <row r="607" spans="1:14" ht="18.75" customHeight="1" x14ac:dyDescent="0.55000000000000004">
      <c r="A607" s="28"/>
      <c r="B607" s="45"/>
      <c r="C607" s="49"/>
      <c r="D607" s="54"/>
      <c r="E607" s="63"/>
      <c r="F607" s="23"/>
      <c r="G607" s="23"/>
      <c r="H607" s="7"/>
      <c r="I607" s="47"/>
      <c r="J607" s="11"/>
      <c r="L607" s="40"/>
      <c r="M607" s="228"/>
    </row>
    <row r="608" spans="1:14" ht="18.75" customHeight="1" x14ac:dyDescent="0.55000000000000004">
      <c r="A608" s="28"/>
      <c r="B608" s="45"/>
      <c r="C608" s="49"/>
      <c r="D608" s="54"/>
      <c r="E608" s="63"/>
      <c r="F608" s="23"/>
      <c r="G608" s="23"/>
      <c r="H608" s="7"/>
      <c r="I608" s="47"/>
      <c r="J608" s="11"/>
      <c r="L608" s="40"/>
      <c r="M608" s="228"/>
    </row>
    <row r="609" spans="1:14" ht="18.75" customHeight="1" x14ac:dyDescent="0.55000000000000004">
      <c r="A609" s="28"/>
      <c r="B609" s="45"/>
      <c r="C609" s="49"/>
      <c r="D609" s="54"/>
      <c r="E609" s="42"/>
      <c r="F609" s="23"/>
      <c r="G609" s="23"/>
      <c r="H609" s="7"/>
      <c r="I609" s="47"/>
      <c r="J609" s="11"/>
      <c r="L609" s="40"/>
      <c r="M609" s="227"/>
      <c r="N609" s="80"/>
    </row>
    <row r="610" spans="1:14" ht="18.75" customHeight="1" x14ac:dyDescent="0.55000000000000004">
      <c r="A610" s="28"/>
      <c r="B610" s="45"/>
      <c r="C610" s="49"/>
      <c r="D610" s="54"/>
      <c r="E610" s="42"/>
      <c r="F610" s="23"/>
      <c r="G610" s="23"/>
      <c r="H610" s="7"/>
      <c r="I610" s="47"/>
      <c r="J610" s="11"/>
      <c r="L610" s="40"/>
      <c r="M610" s="30"/>
    </row>
    <row r="611" spans="1:14" ht="18.75" customHeight="1" x14ac:dyDescent="0.55000000000000004">
      <c r="A611" s="28"/>
      <c r="B611" s="45"/>
      <c r="C611" s="49"/>
      <c r="D611" s="54"/>
      <c r="E611" s="63"/>
      <c r="F611" s="23"/>
      <c r="G611" s="23"/>
      <c r="H611" s="7"/>
      <c r="I611" s="47"/>
      <c r="J611" s="25"/>
      <c r="K611" s="40"/>
      <c r="L611" s="40"/>
      <c r="M611" s="228"/>
    </row>
    <row r="612" spans="1:14" ht="18.75" customHeight="1" x14ac:dyDescent="0.55000000000000004">
      <c r="A612" s="28"/>
      <c r="B612" s="45"/>
      <c r="C612" s="49"/>
      <c r="D612" s="54"/>
      <c r="E612" s="63"/>
      <c r="F612" s="23"/>
      <c r="G612" s="23"/>
      <c r="H612" s="7"/>
      <c r="I612" s="47"/>
      <c r="J612" s="11"/>
      <c r="L612" s="40"/>
      <c r="M612" s="228"/>
    </row>
    <row r="613" spans="1:14" ht="18.75" customHeight="1" x14ac:dyDescent="0.55000000000000004">
      <c r="A613" s="28"/>
      <c r="B613" s="45"/>
      <c r="C613" s="49"/>
      <c r="D613" s="54"/>
      <c r="E613" s="63"/>
      <c r="F613" s="23"/>
      <c r="G613" s="23"/>
      <c r="H613" s="7"/>
      <c r="I613" s="47"/>
      <c r="J613" s="11"/>
      <c r="L613" s="40"/>
      <c r="M613" s="228"/>
    </row>
    <row r="614" spans="1:14" ht="18.75" customHeight="1" x14ac:dyDescent="0.55000000000000004">
      <c r="A614" s="28"/>
      <c r="B614" s="45"/>
      <c r="C614" s="49"/>
      <c r="D614" s="54"/>
      <c r="E614" s="42"/>
      <c r="F614" s="23"/>
      <c r="G614" s="23"/>
      <c r="H614" s="7"/>
      <c r="I614" s="47"/>
      <c r="J614" s="11"/>
      <c r="L614" s="40"/>
      <c r="M614" s="227"/>
      <c r="N614" s="80"/>
    </row>
    <row r="615" spans="1:14" ht="18.75" customHeight="1" x14ac:dyDescent="0.55000000000000004">
      <c r="A615" s="28"/>
      <c r="B615" s="45"/>
      <c r="C615" s="49"/>
      <c r="D615" s="54"/>
      <c r="E615" s="42"/>
      <c r="F615" s="23"/>
      <c r="G615" s="23"/>
      <c r="H615" s="7"/>
      <c r="I615" s="47"/>
      <c r="J615" s="11"/>
      <c r="L615" s="40"/>
      <c r="M615" s="30"/>
    </row>
    <row r="616" spans="1:14" ht="18.75" customHeight="1" x14ac:dyDescent="0.55000000000000004">
      <c r="A616" s="28"/>
      <c r="B616" s="45"/>
      <c r="C616" s="49"/>
      <c r="D616" s="54"/>
      <c r="E616" s="63"/>
      <c r="F616" s="23"/>
      <c r="G616" s="23"/>
      <c r="H616" s="7"/>
      <c r="I616" s="47"/>
      <c r="J616" s="25"/>
      <c r="K616" s="40"/>
      <c r="L616" s="40"/>
      <c r="M616" s="228"/>
    </row>
    <row r="617" spans="1:14" ht="18.75" customHeight="1" x14ac:dyDescent="0.55000000000000004">
      <c r="A617" s="28"/>
      <c r="B617" s="45"/>
      <c r="C617" s="49"/>
      <c r="D617" s="54"/>
      <c r="E617" s="63"/>
      <c r="F617" s="23"/>
      <c r="G617" s="23"/>
      <c r="H617" s="7"/>
      <c r="I617" s="47"/>
      <c r="J617" s="11"/>
      <c r="L617" s="40"/>
      <c r="M617" s="228"/>
    </row>
    <row r="618" spans="1:14" ht="18.75" customHeight="1" x14ac:dyDescent="0.55000000000000004">
      <c r="A618" s="28"/>
      <c r="B618" s="45"/>
      <c r="C618" s="49"/>
      <c r="D618" s="54"/>
      <c r="E618" s="63"/>
      <c r="F618" s="23"/>
      <c r="G618" s="23"/>
      <c r="H618" s="7"/>
      <c r="I618" s="47"/>
      <c r="J618" s="11"/>
      <c r="L618" s="40"/>
      <c r="M618" s="228"/>
    </row>
    <row r="619" spans="1:14" ht="18.75" customHeight="1" x14ac:dyDescent="0.55000000000000004">
      <c r="A619" s="28"/>
      <c r="B619" s="45"/>
      <c r="C619" s="49"/>
      <c r="D619" s="54"/>
      <c r="E619" s="42"/>
      <c r="F619" s="23"/>
      <c r="G619" s="23"/>
      <c r="H619" s="7"/>
      <c r="I619" s="47"/>
      <c r="J619" s="11"/>
      <c r="L619" s="40"/>
      <c r="M619" s="227"/>
      <c r="N619" s="80"/>
    </row>
    <row r="620" spans="1:14" ht="18.75" customHeight="1" x14ac:dyDescent="0.55000000000000004">
      <c r="A620" s="28"/>
      <c r="B620" s="45"/>
      <c r="C620" s="49"/>
      <c r="D620" s="54"/>
      <c r="E620" s="42"/>
      <c r="F620" s="23"/>
      <c r="G620" s="23"/>
      <c r="H620" s="7"/>
      <c r="I620" s="47"/>
      <c r="J620" s="11"/>
      <c r="L620" s="40"/>
      <c r="M620" s="30"/>
    </row>
    <row r="621" spans="1:14" ht="18.75" customHeight="1" x14ac:dyDescent="0.55000000000000004">
      <c r="A621" s="28"/>
      <c r="B621" s="45"/>
      <c r="C621" s="49"/>
      <c r="D621" s="54"/>
      <c r="E621" s="63"/>
      <c r="F621" s="23"/>
      <c r="G621" s="23"/>
      <c r="H621" s="7"/>
      <c r="I621" s="47"/>
      <c r="J621" s="25"/>
      <c r="K621" s="40"/>
      <c r="L621" s="40"/>
      <c r="M621" s="228"/>
    </row>
    <row r="622" spans="1:14" ht="18.75" customHeight="1" x14ac:dyDescent="0.55000000000000004">
      <c r="A622" s="28"/>
      <c r="B622" s="45"/>
      <c r="C622" s="49"/>
      <c r="D622" s="54"/>
      <c r="E622" s="63"/>
      <c r="F622" s="23"/>
      <c r="G622" s="23"/>
      <c r="H622" s="7"/>
      <c r="I622" s="47"/>
      <c r="J622" s="11"/>
      <c r="L622" s="40"/>
      <c r="M622" s="228"/>
    </row>
    <row r="623" spans="1:14" ht="18.75" customHeight="1" x14ac:dyDescent="0.55000000000000004">
      <c r="A623" s="28"/>
      <c r="B623" s="45"/>
      <c r="C623" s="49"/>
      <c r="D623" s="54"/>
      <c r="E623" s="63"/>
      <c r="F623" s="23"/>
      <c r="G623" s="23"/>
      <c r="H623" s="7"/>
      <c r="I623" s="47"/>
      <c r="J623" s="11"/>
      <c r="L623" s="40"/>
      <c r="M623" s="228"/>
    </row>
    <row r="624" spans="1:14" ht="18.75" customHeight="1" x14ac:dyDescent="0.55000000000000004">
      <c r="A624" s="28"/>
      <c r="B624" s="45"/>
      <c r="C624" s="49"/>
      <c r="D624" s="54"/>
      <c r="E624" s="42"/>
      <c r="F624" s="23"/>
      <c r="G624" s="23"/>
      <c r="H624" s="7"/>
      <c r="I624" s="47"/>
      <c r="J624" s="11"/>
      <c r="L624" s="40"/>
      <c r="M624" s="227"/>
      <c r="N624" s="80"/>
    </row>
    <row r="625" spans="1:14" ht="18.75" customHeight="1" x14ac:dyDescent="0.55000000000000004">
      <c r="A625" s="28"/>
      <c r="B625" s="45"/>
      <c r="C625" s="49"/>
      <c r="D625" s="54"/>
      <c r="E625" s="42"/>
      <c r="F625" s="23"/>
      <c r="G625" s="23"/>
      <c r="H625" s="7"/>
      <c r="I625" s="47"/>
      <c r="J625" s="11"/>
      <c r="L625" s="40"/>
      <c r="M625" s="30"/>
    </row>
    <row r="626" spans="1:14" ht="18.75" customHeight="1" x14ac:dyDescent="0.55000000000000004">
      <c r="A626" s="28"/>
      <c r="B626" s="45"/>
      <c r="C626" s="49"/>
      <c r="D626" s="54"/>
      <c r="E626" s="63"/>
      <c r="F626" s="23"/>
      <c r="G626" s="23"/>
      <c r="H626" s="7"/>
      <c r="I626" s="47"/>
      <c r="J626" s="25"/>
      <c r="K626" s="40"/>
      <c r="L626" s="40"/>
      <c r="M626" s="228"/>
    </row>
    <row r="627" spans="1:14" ht="18.75" customHeight="1" x14ac:dyDescent="0.55000000000000004">
      <c r="A627" s="28"/>
      <c r="B627" s="45"/>
      <c r="C627" s="49"/>
      <c r="D627" s="54"/>
      <c r="E627" s="63"/>
      <c r="F627" s="23"/>
      <c r="G627" s="23"/>
      <c r="H627" s="7"/>
      <c r="I627" s="47"/>
      <c r="J627" s="11"/>
      <c r="L627" s="40"/>
      <c r="M627" s="228"/>
    </row>
    <row r="628" spans="1:14" ht="18.75" customHeight="1" x14ac:dyDescent="0.55000000000000004">
      <c r="A628" s="28"/>
      <c r="B628" s="45"/>
      <c r="C628" s="49"/>
      <c r="D628" s="54"/>
      <c r="E628" s="63"/>
      <c r="F628" s="23"/>
      <c r="G628" s="23"/>
      <c r="H628" s="7"/>
      <c r="I628" s="47"/>
      <c r="J628" s="11"/>
      <c r="L628" s="40"/>
      <c r="M628" s="228"/>
    </row>
    <row r="629" spans="1:14" ht="18.75" customHeight="1" x14ac:dyDescent="0.55000000000000004">
      <c r="A629" s="28"/>
      <c r="B629" s="45"/>
      <c r="C629" s="49"/>
      <c r="D629" s="54"/>
      <c r="E629" s="42"/>
      <c r="F629" s="23"/>
      <c r="G629" s="23"/>
      <c r="H629" s="7"/>
      <c r="I629" s="47"/>
      <c r="J629" s="11"/>
      <c r="L629" s="40"/>
      <c r="M629" s="227"/>
      <c r="N629" s="80"/>
    </row>
    <row r="630" spans="1:14" ht="18.75" customHeight="1" x14ac:dyDescent="0.55000000000000004">
      <c r="A630" s="28"/>
      <c r="B630" s="45"/>
      <c r="C630" s="49"/>
      <c r="D630" s="54"/>
      <c r="E630" s="42"/>
      <c r="F630" s="23"/>
      <c r="G630" s="23"/>
      <c r="H630" s="7"/>
      <c r="I630" s="47"/>
      <c r="J630" s="11"/>
      <c r="L630" s="40"/>
      <c r="M630" s="30"/>
    </row>
    <row r="631" spans="1:14" ht="18.75" customHeight="1" x14ac:dyDescent="0.55000000000000004">
      <c r="A631" s="28"/>
      <c r="B631" s="45"/>
      <c r="C631" s="49"/>
      <c r="D631" s="54"/>
      <c r="E631" s="63"/>
      <c r="F631" s="23"/>
      <c r="G631" s="23"/>
      <c r="H631" s="7"/>
      <c r="I631" s="47"/>
      <c r="J631" s="25"/>
      <c r="K631" s="40"/>
      <c r="L631" s="40"/>
      <c r="M631" s="228"/>
    </row>
    <row r="632" spans="1:14" ht="18.75" customHeight="1" x14ac:dyDescent="0.55000000000000004">
      <c r="A632" s="28"/>
      <c r="B632" s="45"/>
      <c r="C632" s="49"/>
      <c r="D632" s="54"/>
      <c r="E632" s="63"/>
      <c r="F632" s="23"/>
      <c r="G632" s="23"/>
      <c r="H632" s="7"/>
      <c r="I632" s="47"/>
      <c r="J632" s="11"/>
      <c r="L632" s="40"/>
      <c r="M632" s="228"/>
    </row>
    <row r="633" spans="1:14" ht="18.75" customHeight="1" x14ac:dyDescent="0.55000000000000004">
      <c r="A633" s="28"/>
      <c r="B633" s="45"/>
      <c r="C633" s="49"/>
      <c r="D633" s="54"/>
      <c r="E633" s="63"/>
      <c r="F633" s="23"/>
      <c r="G633" s="23"/>
      <c r="H633" s="7"/>
      <c r="I633" s="47"/>
      <c r="J633" s="11"/>
      <c r="L633" s="40"/>
      <c r="M633" s="228"/>
    </row>
    <row r="634" spans="1:14" ht="18.75" customHeight="1" x14ac:dyDescent="0.55000000000000004">
      <c r="A634" s="28"/>
      <c r="B634" s="45"/>
      <c r="C634" s="49"/>
      <c r="D634" s="54"/>
      <c r="E634" s="42"/>
      <c r="F634" s="23"/>
      <c r="G634" s="23"/>
      <c r="H634" s="7"/>
      <c r="I634" s="47"/>
      <c r="J634" s="11"/>
      <c r="L634" s="40"/>
      <c r="M634" s="227"/>
      <c r="N634" s="80"/>
    </row>
    <row r="635" spans="1:14" ht="18.75" customHeight="1" x14ac:dyDescent="0.55000000000000004">
      <c r="A635" s="28"/>
      <c r="B635" s="45"/>
      <c r="C635" s="49"/>
      <c r="D635" s="54"/>
      <c r="E635" s="42"/>
      <c r="F635" s="23"/>
      <c r="G635" s="23"/>
      <c r="H635" s="7"/>
      <c r="I635" s="47"/>
      <c r="J635" s="11"/>
      <c r="L635" s="40"/>
      <c r="M635" s="30"/>
    </row>
    <row r="636" spans="1:14" ht="18.75" customHeight="1" x14ac:dyDescent="0.55000000000000004">
      <c r="A636" s="28"/>
      <c r="B636" s="45"/>
      <c r="C636" s="49"/>
      <c r="D636" s="54"/>
      <c r="E636" s="63"/>
      <c r="F636" s="23"/>
      <c r="G636" s="23"/>
      <c r="H636" s="7"/>
      <c r="I636" s="47"/>
      <c r="J636" s="25"/>
      <c r="K636" s="40"/>
      <c r="L636" s="40"/>
      <c r="M636" s="228"/>
    </row>
    <row r="637" spans="1:14" ht="18.75" customHeight="1" x14ac:dyDescent="0.55000000000000004">
      <c r="A637" s="28"/>
      <c r="B637" s="45"/>
      <c r="C637" s="49"/>
      <c r="D637" s="54"/>
      <c r="E637" s="63"/>
      <c r="F637" s="23"/>
      <c r="G637" s="23"/>
      <c r="H637" s="7"/>
      <c r="I637" s="47"/>
      <c r="J637" s="11"/>
      <c r="L637" s="40"/>
      <c r="M637" s="228"/>
    </row>
    <row r="638" spans="1:14" ht="18.75" customHeight="1" x14ac:dyDescent="0.55000000000000004">
      <c r="A638" s="28"/>
      <c r="B638" s="45"/>
      <c r="C638" s="49"/>
      <c r="D638" s="54"/>
      <c r="E638" s="63"/>
      <c r="F638" s="23"/>
      <c r="G638" s="23"/>
      <c r="H638" s="7"/>
      <c r="I638" s="47"/>
      <c r="J638" s="11"/>
      <c r="L638" s="40"/>
      <c r="M638" s="228"/>
    </row>
    <row r="639" spans="1:14" ht="18.75" customHeight="1" x14ac:dyDescent="0.55000000000000004">
      <c r="A639" s="28"/>
      <c r="B639" s="45"/>
      <c r="C639" s="49"/>
      <c r="D639" s="54"/>
      <c r="E639" s="42"/>
      <c r="F639" s="23"/>
      <c r="G639" s="23"/>
      <c r="H639" s="7"/>
      <c r="I639" s="47"/>
      <c r="J639" s="11"/>
      <c r="L639" s="40"/>
      <c r="M639" s="227"/>
      <c r="N639" s="80"/>
    </row>
    <row r="640" spans="1:14" ht="18.75" customHeight="1" x14ac:dyDescent="0.55000000000000004">
      <c r="A640" s="28"/>
      <c r="B640" s="45"/>
      <c r="C640" s="49"/>
      <c r="D640" s="54"/>
      <c r="E640" s="42"/>
      <c r="F640" s="23"/>
      <c r="G640" s="23"/>
      <c r="H640" s="7"/>
      <c r="I640" s="47"/>
      <c r="J640" s="11"/>
      <c r="L640" s="40"/>
      <c r="M640" s="30"/>
    </row>
    <row r="641" spans="1:14" ht="18.75" customHeight="1" x14ac:dyDescent="0.55000000000000004">
      <c r="A641" s="28"/>
      <c r="B641" s="45"/>
      <c r="C641" s="49"/>
      <c r="D641" s="54"/>
      <c r="E641" s="63"/>
      <c r="F641" s="23"/>
      <c r="G641" s="23"/>
      <c r="H641" s="7"/>
      <c r="I641" s="47"/>
      <c r="J641" s="25"/>
      <c r="K641" s="40"/>
      <c r="L641" s="40"/>
      <c r="M641" s="228"/>
    </row>
    <row r="642" spans="1:14" ht="18.75" customHeight="1" x14ac:dyDescent="0.55000000000000004">
      <c r="A642" s="28"/>
      <c r="B642" s="45"/>
      <c r="C642" s="49"/>
      <c r="D642" s="54"/>
      <c r="E642" s="63"/>
      <c r="F642" s="23"/>
      <c r="G642" s="23"/>
      <c r="H642" s="7"/>
      <c r="I642" s="47"/>
      <c r="J642" s="11"/>
      <c r="L642" s="40"/>
      <c r="M642" s="228"/>
    </row>
    <row r="643" spans="1:14" ht="18.75" customHeight="1" x14ac:dyDescent="0.55000000000000004">
      <c r="A643" s="28"/>
      <c r="B643" s="45"/>
      <c r="C643" s="49"/>
      <c r="D643" s="54"/>
      <c r="E643" s="63"/>
      <c r="F643" s="23"/>
      <c r="G643" s="23"/>
      <c r="H643" s="7"/>
      <c r="I643" s="47"/>
      <c r="J643" s="11"/>
      <c r="L643" s="40"/>
      <c r="M643" s="228"/>
    </row>
    <row r="644" spans="1:14" ht="18.75" customHeight="1" x14ac:dyDescent="0.55000000000000004">
      <c r="A644" s="28"/>
      <c r="B644" s="45"/>
      <c r="C644" s="49"/>
      <c r="D644" s="54"/>
      <c r="E644" s="42"/>
      <c r="F644" s="23"/>
      <c r="G644" s="23"/>
      <c r="H644" s="7"/>
      <c r="I644" s="47"/>
      <c r="J644" s="11"/>
      <c r="L644" s="40"/>
      <c r="M644" s="227"/>
      <c r="N644" s="80"/>
    </row>
    <row r="645" spans="1:14" ht="18.75" customHeight="1" x14ac:dyDescent="0.55000000000000004">
      <c r="A645" s="28"/>
      <c r="B645" s="45"/>
      <c r="C645" s="49"/>
      <c r="D645" s="54"/>
      <c r="E645" s="42"/>
      <c r="F645" s="23"/>
      <c r="G645" s="23"/>
      <c r="H645" s="7"/>
      <c r="I645" s="47"/>
      <c r="J645" s="11"/>
      <c r="L645" s="40"/>
      <c r="M645" s="30"/>
    </row>
    <row r="646" spans="1:14" ht="18.75" customHeight="1" x14ac:dyDescent="0.55000000000000004">
      <c r="A646" s="28"/>
      <c r="B646" s="45"/>
      <c r="C646" s="49"/>
      <c r="D646" s="54"/>
      <c r="E646" s="63"/>
      <c r="F646" s="23"/>
      <c r="G646" s="23"/>
      <c r="H646" s="7"/>
      <c r="I646" s="47"/>
      <c r="J646" s="25"/>
      <c r="K646" s="40"/>
      <c r="L646" s="40"/>
      <c r="M646" s="228"/>
    </row>
    <row r="647" spans="1:14" ht="18.75" customHeight="1" x14ac:dyDescent="0.55000000000000004">
      <c r="A647" s="28"/>
      <c r="B647" s="45"/>
      <c r="C647" s="49"/>
      <c r="D647" s="54"/>
      <c r="E647" s="63"/>
      <c r="F647" s="23"/>
      <c r="G647" s="23"/>
      <c r="H647" s="7"/>
      <c r="I647" s="47"/>
      <c r="J647" s="11"/>
      <c r="L647" s="40"/>
      <c r="M647" s="228"/>
    </row>
    <row r="648" spans="1:14" ht="18.75" customHeight="1" x14ac:dyDescent="0.55000000000000004">
      <c r="A648" s="28"/>
      <c r="B648" s="45"/>
      <c r="C648" s="49"/>
      <c r="D648" s="54"/>
      <c r="E648" s="63"/>
      <c r="F648" s="23"/>
      <c r="G648" s="23"/>
      <c r="H648" s="7"/>
      <c r="I648" s="47"/>
      <c r="J648" s="11"/>
      <c r="L648" s="40"/>
      <c r="M648" s="228"/>
    </row>
    <row r="649" spans="1:14" ht="18.75" customHeight="1" x14ac:dyDescent="0.55000000000000004">
      <c r="A649" s="28"/>
      <c r="B649" s="45"/>
      <c r="C649" s="49"/>
      <c r="D649" s="54"/>
      <c r="E649" s="42"/>
      <c r="F649" s="23"/>
      <c r="G649" s="23"/>
      <c r="H649" s="7"/>
      <c r="I649" s="47"/>
      <c r="J649" s="11"/>
      <c r="L649" s="40"/>
      <c r="M649" s="227"/>
      <c r="N649" s="80"/>
    </row>
    <row r="650" spans="1:14" ht="18.75" customHeight="1" x14ac:dyDescent="0.55000000000000004">
      <c r="A650" s="28"/>
      <c r="B650" s="45"/>
      <c r="C650" s="49"/>
      <c r="D650" s="54"/>
      <c r="E650" s="42"/>
      <c r="F650" s="23"/>
      <c r="G650" s="23"/>
      <c r="H650" s="7"/>
      <c r="I650" s="47"/>
      <c r="J650" s="11"/>
      <c r="L650" s="40"/>
      <c r="M650" s="30"/>
    </row>
    <row r="651" spans="1:14" ht="18.75" customHeight="1" x14ac:dyDescent="0.55000000000000004">
      <c r="A651" s="28"/>
      <c r="B651" s="45"/>
      <c r="C651" s="49"/>
      <c r="D651" s="54"/>
      <c r="E651" s="63"/>
      <c r="F651" s="23"/>
      <c r="G651" s="23"/>
      <c r="H651" s="7"/>
      <c r="I651" s="47"/>
      <c r="J651" s="25"/>
      <c r="K651" s="40"/>
      <c r="L651" s="40"/>
      <c r="M651" s="228"/>
    </row>
    <row r="652" spans="1:14" ht="18.75" customHeight="1" x14ac:dyDescent="0.55000000000000004">
      <c r="A652" s="28"/>
      <c r="B652" s="45"/>
      <c r="C652" s="49"/>
      <c r="D652" s="54"/>
      <c r="E652" s="63"/>
      <c r="F652" s="23"/>
      <c r="G652" s="23"/>
      <c r="H652" s="7"/>
      <c r="I652" s="47"/>
      <c r="J652" s="11"/>
      <c r="L652" s="40"/>
      <c r="M652" s="228"/>
    </row>
    <row r="653" spans="1:14" ht="18.75" customHeight="1" x14ac:dyDescent="0.55000000000000004">
      <c r="A653" s="28"/>
      <c r="B653" s="45"/>
      <c r="C653" s="49"/>
      <c r="D653" s="54"/>
      <c r="E653" s="63"/>
      <c r="F653" s="23"/>
      <c r="G653" s="23"/>
      <c r="H653" s="7"/>
      <c r="I653" s="47"/>
      <c r="J653" s="11"/>
      <c r="L653" s="40"/>
      <c r="M653" s="228"/>
    </row>
    <row r="654" spans="1:14" ht="18.75" customHeight="1" x14ac:dyDescent="0.55000000000000004">
      <c r="A654" s="28"/>
      <c r="B654" s="45"/>
      <c r="C654" s="49"/>
      <c r="D654" s="54"/>
      <c r="E654" s="42"/>
      <c r="F654" s="23"/>
      <c r="G654" s="23"/>
      <c r="H654" s="7"/>
      <c r="I654" s="47"/>
      <c r="J654" s="11"/>
      <c r="L654" s="40"/>
      <c r="M654" s="227"/>
      <c r="N654" s="80"/>
    </row>
    <row r="655" spans="1:14" ht="18.75" customHeight="1" x14ac:dyDescent="0.55000000000000004">
      <c r="A655" s="28"/>
      <c r="B655" s="45"/>
      <c r="C655" s="49"/>
      <c r="D655" s="54"/>
      <c r="E655" s="42"/>
      <c r="F655" s="23"/>
      <c r="G655" s="23"/>
      <c r="H655" s="7"/>
      <c r="I655" s="47"/>
      <c r="J655" s="11"/>
      <c r="L655" s="40"/>
      <c r="M655" s="30"/>
    </row>
    <row r="656" spans="1:14" ht="18.75" customHeight="1" x14ac:dyDescent="0.55000000000000004">
      <c r="A656" s="28"/>
      <c r="B656" s="45"/>
      <c r="C656" s="49"/>
      <c r="D656" s="54"/>
      <c r="E656" s="63"/>
      <c r="F656" s="23"/>
      <c r="G656" s="23"/>
      <c r="H656" s="7"/>
      <c r="I656" s="47"/>
      <c r="J656" s="25"/>
      <c r="K656" s="40"/>
      <c r="L656" s="40"/>
      <c r="M656" s="228"/>
    </row>
    <row r="657" spans="1:14" ht="18.75" customHeight="1" x14ac:dyDescent="0.55000000000000004">
      <c r="A657" s="28"/>
      <c r="B657" s="45"/>
      <c r="C657" s="49"/>
      <c r="D657" s="54"/>
      <c r="E657" s="63"/>
      <c r="F657" s="23"/>
      <c r="G657" s="23"/>
      <c r="H657" s="7"/>
      <c r="I657" s="47"/>
      <c r="J657" s="11"/>
      <c r="L657" s="40"/>
      <c r="M657" s="228"/>
    </row>
    <row r="658" spans="1:14" ht="18.75" customHeight="1" x14ac:dyDescent="0.55000000000000004">
      <c r="A658" s="28"/>
      <c r="B658" s="45"/>
      <c r="C658" s="49"/>
      <c r="D658" s="54"/>
      <c r="E658" s="63"/>
      <c r="F658" s="23"/>
      <c r="G658" s="23"/>
      <c r="H658" s="7"/>
      <c r="I658" s="47"/>
      <c r="J658" s="11"/>
      <c r="L658" s="40"/>
      <c r="M658" s="228"/>
    </row>
    <row r="659" spans="1:14" ht="18.75" customHeight="1" x14ac:dyDescent="0.55000000000000004">
      <c r="A659" s="28"/>
      <c r="B659" s="45"/>
      <c r="C659" s="49"/>
      <c r="D659" s="54"/>
      <c r="E659" s="42"/>
      <c r="F659" s="23"/>
      <c r="G659" s="23"/>
      <c r="H659" s="7"/>
      <c r="I659" s="47"/>
      <c r="J659" s="11"/>
      <c r="L659" s="40"/>
      <c r="M659" s="227"/>
      <c r="N659" s="80"/>
    </row>
    <row r="660" spans="1:14" ht="18.75" customHeight="1" x14ac:dyDescent="0.55000000000000004">
      <c r="A660" s="28"/>
      <c r="B660" s="45"/>
      <c r="C660" s="49"/>
      <c r="D660" s="54"/>
      <c r="E660" s="42"/>
      <c r="F660" s="23"/>
      <c r="G660" s="23"/>
      <c r="H660" s="7"/>
      <c r="I660" s="47"/>
      <c r="J660" s="11"/>
      <c r="L660" s="40"/>
      <c r="M660" s="30"/>
    </row>
    <row r="661" spans="1:14" ht="18.75" customHeight="1" x14ac:dyDescent="0.55000000000000004">
      <c r="A661" s="28"/>
      <c r="B661" s="45"/>
      <c r="C661" s="49"/>
      <c r="D661" s="54"/>
      <c r="E661" s="63"/>
      <c r="F661" s="23"/>
      <c r="G661" s="23"/>
      <c r="H661" s="7"/>
      <c r="I661" s="47"/>
      <c r="J661" s="25"/>
      <c r="K661" s="40"/>
      <c r="L661" s="40"/>
      <c r="M661" s="228"/>
    </row>
    <row r="662" spans="1:14" ht="18.75" customHeight="1" x14ac:dyDescent="0.55000000000000004">
      <c r="A662" s="28"/>
      <c r="B662" s="45"/>
      <c r="C662" s="49"/>
      <c r="D662" s="54"/>
      <c r="E662" s="63"/>
      <c r="F662" s="23"/>
      <c r="G662" s="23"/>
      <c r="H662" s="7"/>
      <c r="I662" s="47"/>
      <c r="J662" s="11"/>
      <c r="L662" s="40"/>
      <c r="M662" s="228"/>
    </row>
    <row r="663" spans="1:14" ht="18.75" customHeight="1" x14ac:dyDescent="0.55000000000000004">
      <c r="A663" s="28"/>
      <c r="B663" s="45"/>
      <c r="C663" s="49"/>
      <c r="D663" s="54"/>
      <c r="E663" s="63"/>
      <c r="F663" s="23"/>
      <c r="G663" s="23"/>
      <c r="H663" s="7"/>
      <c r="I663" s="47"/>
      <c r="J663" s="11"/>
      <c r="L663" s="40"/>
      <c r="M663" s="228"/>
    </row>
    <row r="664" spans="1:14" ht="18.75" customHeight="1" x14ac:dyDescent="0.55000000000000004">
      <c r="A664" s="28"/>
      <c r="B664" s="45"/>
      <c r="C664" s="49"/>
      <c r="D664" s="54"/>
      <c r="E664" s="42"/>
      <c r="F664" s="23"/>
      <c r="G664" s="23"/>
      <c r="H664" s="7"/>
      <c r="I664" s="47"/>
      <c r="J664" s="11"/>
      <c r="L664" s="40"/>
      <c r="M664" s="227"/>
      <c r="N664" s="80"/>
    </row>
    <row r="665" spans="1:14" ht="18.75" customHeight="1" x14ac:dyDescent="0.55000000000000004">
      <c r="A665" s="28"/>
      <c r="B665" s="45"/>
      <c r="C665" s="49"/>
      <c r="D665" s="54"/>
      <c r="E665" s="42"/>
      <c r="F665" s="23"/>
      <c r="G665" s="23"/>
      <c r="H665" s="7"/>
      <c r="I665" s="47"/>
      <c r="J665" s="11"/>
      <c r="L665" s="40"/>
      <c r="M665" s="30"/>
    </row>
    <row r="666" spans="1:14" ht="18.75" customHeight="1" x14ac:dyDescent="0.55000000000000004">
      <c r="A666" s="28"/>
      <c r="B666" s="45"/>
      <c r="C666" s="49"/>
      <c r="D666" s="54"/>
      <c r="E666" s="63"/>
      <c r="F666" s="23"/>
      <c r="G666" s="23"/>
      <c r="H666" s="7"/>
      <c r="I666" s="47"/>
      <c r="J666" s="25"/>
      <c r="K666" s="40"/>
      <c r="L666" s="40"/>
      <c r="M666" s="228"/>
    </row>
    <row r="667" spans="1:14" ht="18.75" customHeight="1" x14ac:dyDescent="0.55000000000000004">
      <c r="A667" s="28"/>
      <c r="B667" s="45"/>
      <c r="C667" s="49"/>
      <c r="D667" s="54"/>
      <c r="E667" s="63"/>
      <c r="F667" s="23"/>
      <c r="G667" s="23"/>
      <c r="H667" s="7"/>
      <c r="I667" s="47"/>
      <c r="J667" s="11"/>
      <c r="L667" s="40"/>
      <c r="M667" s="228"/>
    </row>
    <row r="668" spans="1:14" ht="18.75" customHeight="1" x14ac:dyDescent="0.55000000000000004">
      <c r="A668" s="28"/>
      <c r="B668" s="45"/>
      <c r="C668" s="49"/>
      <c r="D668" s="54"/>
      <c r="E668" s="63"/>
      <c r="F668" s="23"/>
      <c r="G668" s="23"/>
      <c r="H668" s="7"/>
      <c r="I668" s="47"/>
      <c r="J668" s="11"/>
      <c r="L668" s="40"/>
      <c r="M668" s="228"/>
    </row>
    <row r="669" spans="1:14" ht="18.75" customHeight="1" x14ac:dyDescent="0.55000000000000004">
      <c r="A669" s="28"/>
      <c r="B669" s="45"/>
      <c r="C669" s="49"/>
      <c r="D669" s="54"/>
      <c r="E669" s="42"/>
      <c r="F669" s="23"/>
      <c r="G669" s="23"/>
      <c r="H669" s="7"/>
      <c r="I669" s="47"/>
      <c r="J669" s="11"/>
      <c r="L669" s="40"/>
      <c r="M669" s="227"/>
      <c r="N669" s="80"/>
    </row>
    <row r="670" spans="1:14" ht="18.75" customHeight="1" x14ac:dyDescent="0.55000000000000004">
      <c r="A670" s="28"/>
      <c r="B670" s="45"/>
      <c r="C670" s="49"/>
      <c r="D670" s="54"/>
      <c r="E670" s="63"/>
      <c r="F670" s="23"/>
      <c r="G670" s="23"/>
      <c r="H670" s="7"/>
      <c r="I670" s="47"/>
      <c r="J670" s="25"/>
      <c r="K670" s="40"/>
      <c r="L670" s="40"/>
      <c r="M670" s="228"/>
    </row>
    <row r="671" spans="1:14" ht="18.75" customHeight="1" x14ac:dyDescent="0.55000000000000004">
      <c r="A671" s="28"/>
      <c r="B671" s="45"/>
      <c r="C671" s="49"/>
      <c r="D671" s="54"/>
      <c r="E671" s="63"/>
      <c r="F671" s="23"/>
      <c r="G671" s="23"/>
      <c r="H671" s="7"/>
      <c r="I671" s="47"/>
      <c r="J671" s="11"/>
      <c r="L671" s="40"/>
      <c r="M671" s="228"/>
    </row>
    <row r="672" spans="1:14" ht="18.75" customHeight="1" x14ac:dyDescent="0.55000000000000004">
      <c r="A672" s="28"/>
      <c r="B672" s="45"/>
      <c r="C672" s="49"/>
      <c r="D672" s="54"/>
      <c r="E672" s="63"/>
      <c r="F672" s="23"/>
      <c r="G672" s="23"/>
      <c r="H672" s="7"/>
      <c r="I672" s="47"/>
      <c r="J672" s="11"/>
      <c r="L672" s="40"/>
      <c r="M672" s="228"/>
    </row>
    <row r="673" spans="1:14" ht="18.75" customHeight="1" x14ac:dyDescent="0.55000000000000004">
      <c r="A673" s="28"/>
      <c r="B673" s="45"/>
      <c r="C673" s="49"/>
      <c r="D673" s="54"/>
      <c r="E673" s="42"/>
      <c r="F673" s="23"/>
      <c r="G673" s="23"/>
      <c r="H673" s="7"/>
      <c r="I673" s="47"/>
      <c r="J673" s="11"/>
      <c r="L673" s="40"/>
      <c r="M673" s="227"/>
      <c r="N673" s="80"/>
    </row>
    <row r="674" spans="1:14" ht="18.75" customHeight="1" x14ac:dyDescent="0.55000000000000004">
      <c r="A674" s="28"/>
      <c r="B674" s="45"/>
      <c r="C674" s="49"/>
      <c r="D674" s="54"/>
      <c r="E674" s="42"/>
      <c r="F674" s="23"/>
      <c r="G674" s="23"/>
      <c r="H674" s="7"/>
      <c r="I674" s="47"/>
      <c r="J674" s="11"/>
      <c r="L674" s="40"/>
      <c r="M674" s="30"/>
    </row>
    <row r="675" spans="1:14" ht="18.75" customHeight="1" x14ac:dyDescent="0.55000000000000004">
      <c r="A675" s="28"/>
      <c r="B675" s="45"/>
      <c r="C675" s="49"/>
      <c r="D675" s="54"/>
      <c r="E675" s="63"/>
      <c r="F675" s="23"/>
      <c r="G675" s="23"/>
      <c r="H675" s="7"/>
      <c r="I675" s="47"/>
      <c r="J675" s="25"/>
      <c r="K675" s="40"/>
      <c r="L675" s="40"/>
      <c r="M675" s="228"/>
    </row>
    <row r="676" spans="1:14" ht="18.75" customHeight="1" x14ac:dyDescent="0.55000000000000004">
      <c r="A676" s="28"/>
      <c r="B676" s="45"/>
      <c r="C676" s="49"/>
      <c r="D676" s="54"/>
      <c r="E676" s="63"/>
      <c r="F676" s="23"/>
      <c r="G676" s="23"/>
      <c r="H676" s="7"/>
      <c r="I676" s="47"/>
      <c r="J676" s="11"/>
      <c r="L676" s="40"/>
      <c r="M676" s="228"/>
    </row>
    <row r="677" spans="1:14" ht="18.75" customHeight="1" x14ac:dyDescent="0.55000000000000004">
      <c r="A677" s="28"/>
      <c r="B677" s="45"/>
      <c r="C677" s="49"/>
      <c r="D677" s="54"/>
      <c r="E677" s="63"/>
      <c r="F677" s="23"/>
      <c r="G677" s="23"/>
      <c r="H677" s="7"/>
      <c r="I677" s="47"/>
      <c r="J677" s="11"/>
      <c r="L677" s="40"/>
      <c r="M677" s="228"/>
    </row>
    <row r="678" spans="1:14" ht="18.75" customHeight="1" x14ac:dyDescent="0.55000000000000004">
      <c r="A678" s="28"/>
      <c r="B678" s="45"/>
      <c r="C678" s="49"/>
      <c r="D678" s="54"/>
      <c r="E678" s="42"/>
      <c r="F678" s="23"/>
      <c r="G678" s="23"/>
      <c r="H678" s="7"/>
      <c r="I678" s="47"/>
      <c r="J678" s="11"/>
      <c r="L678" s="40"/>
      <c r="M678" s="227"/>
      <c r="N678" s="80"/>
    </row>
    <row r="679" spans="1:14" ht="18.75" customHeight="1" x14ac:dyDescent="0.55000000000000004">
      <c r="A679" s="28"/>
      <c r="B679" s="45"/>
      <c r="C679" s="49"/>
      <c r="D679" s="54"/>
      <c r="E679" s="42"/>
      <c r="F679" s="23"/>
      <c r="G679" s="23"/>
      <c r="H679" s="7"/>
      <c r="I679" s="47"/>
      <c r="J679" s="11"/>
      <c r="L679" s="40"/>
      <c r="M679" s="30"/>
    </row>
    <row r="680" spans="1:14" ht="18.75" customHeight="1" x14ac:dyDescent="0.55000000000000004">
      <c r="A680" s="28"/>
      <c r="B680" s="45"/>
      <c r="C680" s="49"/>
      <c r="D680" s="54"/>
      <c r="E680" s="63"/>
      <c r="F680" s="23"/>
      <c r="G680" s="23"/>
      <c r="H680" s="7"/>
      <c r="I680" s="47"/>
      <c r="J680" s="25"/>
      <c r="K680" s="40"/>
      <c r="L680" s="40"/>
      <c r="M680" s="228"/>
    </row>
    <row r="681" spans="1:14" ht="18.75" customHeight="1" x14ac:dyDescent="0.55000000000000004">
      <c r="A681" s="28"/>
      <c r="B681" s="45"/>
      <c r="C681" s="49"/>
      <c r="D681" s="54"/>
      <c r="E681" s="63"/>
      <c r="F681" s="23"/>
      <c r="G681" s="23"/>
      <c r="H681" s="7"/>
      <c r="I681" s="47"/>
      <c r="J681" s="11"/>
      <c r="L681" s="40"/>
      <c r="M681" s="228"/>
    </row>
    <row r="682" spans="1:14" ht="18.75" customHeight="1" x14ac:dyDescent="0.55000000000000004">
      <c r="A682" s="28"/>
      <c r="B682" s="45"/>
      <c r="C682" s="49"/>
      <c r="D682" s="54"/>
      <c r="E682" s="63"/>
      <c r="F682" s="23"/>
      <c r="G682" s="23"/>
      <c r="H682" s="7"/>
      <c r="I682" s="47"/>
      <c r="J682" s="11"/>
      <c r="L682" s="40"/>
      <c r="M682" s="228"/>
    </row>
    <row r="683" spans="1:14" ht="18.75" customHeight="1" x14ac:dyDescent="0.55000000000000004">
      <c r="A683" s="28"/>
      <c r="B683" s="45"/>
      <c r="C683" s="49"/>
      <c r="D683" s="54"/>
      <c r="E683" s="42"/>
      <c r="F683" s="23"/>
      <c r="G683" s="23"/>
      <c r="H683" s="7"/>
      <c r="I683" s="47"/>
      <c r="J683" s="11"/>
      <c r="L683" s="40"/>
      <c r="M683" s="227"/>
      <c r="N683" s="80"/>
    </row>
    <row r="684" spans="1:14" ht="18.75" customHeight="1" x14ac:dyDescent="0.55000000000000004">
      <c r="A684" s="28"/>
      <c r="B684" s="45"/>
      <c r="C684" s="49"/>
      <c r="D684" s="54"/>
      <c r="E684" s="42"/>
      <c r="F684" s="23"/>
      <c r="G684" s="23"/>
      <c r="H684" s="7"/>
      <c r="I684" s="47"/>
      <c r="J684" s="11"/>
      <c r="L684" s="40"/>
      <c r="M684" s="30"/>
    </row>
    <row r="685" spans="1:14" ht="18.75" customHeight="1" x14ac:dyDescent="0.55000000000000004">
      <c r="A685" s="28"/>
      <c r="B685" s="45"/>
      <c r="C685" s="49"/>
      <c r="D685" s="54"/>
      <c r="E685" s="63"/>
      <c r="F685" s="23"/>
      <c r="G685" s="23"/>
      <c r="H685" s="7"/>
      <c r="I685" s="47"/>
      <c r="J685" s="25"/>
      <c r="K685" s="40"/>
      <c r="L685" s="40"/>
      <c r="M685" s="228"/>
    </row>
    <row r="686" spans="1:14" ht="18.75" customHeight="1" x14ac:dyDescent="0.55000000000000004">
      <c r="A686" s="28"/>
      <c r="B686" s="45"/>
      <c r="C686" s="49"/>
      <c r="D686" s="54"/>
      <c r="E686" s="63"/>
      <c r="F686" s="23"/>
      <c r="G686" s="23"/>
      <c r="H686" s="7"/>
      <c r="I686" s="47"/>
      <c r="J686" s="11"/>
      <c r="L686" s="40"/>
      <c r="M686" s="228"/>
    </row>
    <row r="687" spans="1:14" ht="18.75" customHeight="1" x14ac:dyDescent="0.55000000000000004">
      <c r="A687" s="28"/>
      <c r="B687" s="45"/>
      <c r="C687" s="49"/>
      <c r="D687" s="54"/>
      <c r="E687" s="63"/>
      <c r="F687" s="23"/>
      <c r="G687" s="23"/>
      <c r="H687" s="7"/>
      <c r="I687" s="47"/>
      <c r="J687" s="11"/>
      <c r="L687" s="40"/>
      <c r="M687" s="228"/>
    </row>
    <row r="688" spans="1:14" ht="18.75" customHeight="1" x14ac:dyDescent="0.55000000000000004">
      <c r="A688" s="28"/>
      <c r="B688" s="45"/>
      <c r="C688" s="49"/>
      <c r="D688" s="54"/>
      <c r="E688" s="42"/>
      <c r="F688" s="23"/>
      <c r="G688" s="23"/>
      <c r="H688" s="7"/>
      <c r="I688" s="47"/>
      <c r="J688" s="11"/>
      <c r="L688" s="40"/>
      <c r="M688" s="227"/>
      <c r="N688" s="80"/>
    </row>
    <row r="689" spans="1:14" ht="18.75" customHeight="1" x14ac:dyDescent="0.55000000000000004">
      <c r="A689" s="28"/>
      <c r="B689" s="45"/>
      <c r="C689" s="49"/>
      <c r="D689" s="54"/>
      <c r="E689" s="42"/>
      <c r="F689" s="23"/>
      <c r="G689" s="23"/>
      <c r="H689" s="7"/>
      <c r="I689" s="47"/>
      <c r="J689" s="11"/>
      <c r="L689" s="40"/>
      <c r="M689" s="30"/>
    </row>
    <row r="690" spans="1:14" ht="18.75" customHeight="1" x14ac:dyDescent="0.55000000000000004">
      <c r="A690" s="28"/>
      <c r="B690" s="45"/>
      <c r="C690" s="49"/>
      <c r="D690" s="54"/>
      <c r="E690" s="63"/>
      <c r="F690" s="23"/>
      <c r="G690" s="23"/>
      <c r="H690" s="7"/>
      <c r="I690" s="47"/>
      <c r="J690" s="25"/>
      <c r="K690" s="40"/>
      <c r="L690" s="40"/>
      <c r="M690" s="228"/>
    </row>
    <row r="691" spans="1:14" ht="18.75" customHeight="1" x14ac:dyDescent="0.55000000000000004">
      <c r="A691" s="28"/>
      <c r="B691" s="45"/>
      <c r="C691" s="49"/>
      <c r="D691" s="54"/>
      <c r="E691" s="63"/>
      <c r="F691" s="23"/>
      <c r="G691" s="23"/>
      <c r="H691" s="7"/>
      <c r="I691" s="47"/>
      <c r="J691" s="11"/>
      <c r="L691" s="40"/>
      <c r="M691" s="228"/>
    </row>
    <row r="692" spans="1:14" ht="18.75" customHeight="1" x14ac:dyDescent="0.55000000000000004">
      <c r="A692" s="28"/>
      <c r="B692" s="45"/>
      <c r="C692" s="49"/>
      <c r="D692" s="54"/>
      <c r="E692" s="63"/>
      <c r="F692" s="23"/>
      <c r="G692" s="23"/>
      <c r="H692" s="7"/>
      <c r="I692" s="47"/>
      <c r="J692" s="11"/>
      <c r="L692" s="40"/>
      <c r="M692" s="228"/>
    </row>
    <row r="693" spans="1:14" ht="18.75" customHeight="1" x14ac:dyDescent="0.55000000000000004">
      <c r="A693" s="28"/>
      <c r="B693" s="45"/>
      <c r="C693" s="49"/>
      <c r="D693" s="54"/>
      <c r="E693" s="42"/>
      <c r="F693" s="23"/>
      <c r="G693" s="23"/>
      <c r="H693" s="7"/>
      <c r="I693" s="47"/>
      <c r="J693" s="11"/>
      <c r="L693" s="40"/>
      <c r="M693" s="227"/>
      <c r="N693" s="80"/>
    </row>
    <row r="694" spans="1:14" ht="18.75" customHeight="1" x14ac:dyDescent="0.55000000000000004">
      <c r="A694" s="28"/>
      <c r="B694" s="45"/>
      <c r="C694" s="49"/>
      <c r="D694" s="54"/>
      <c r="E694" s="42"/>
      <c r="F694" s="23"/>
      <c r="G694" s="23"/>
      <c r="H694" s="7"/>
      <c r="I694" s="47"/>
      <c r="J694" s="11"/>
      <c r="L694" s="40"/>
      <c r="M694" s="30"/>
    </row>
    <row r="695" spans="1:14" ht="18.75" customHeight="1" x14ac:dyDescent="0.55000000000000004">
      <c r="A695" s="28"/>
      <c r="B695" s="45"/>
      <c r="C695" s="49"/>
      <c r="D695" s="54"/>
      <c r="E695" s="63"/>
      <c r="F695" s="23"/>
      <c r="G695" s="23"/>
      <c r="H695" s="7"/>
      <c r="I695" s="47"/>
      <c r="J695" s="25"/>
      <c r="K695" s="40"/>
      <c r="L695" s="40"/>
      <c r="M695" s="228"/>
    </row>
    <row r="696" spans="1:14" ht="18.75" customHeight="1" x14ac:dyDescent="0.55000000000000004">
      <c r="A696" s="28"/>
      <c r="B696" s="45"/>
      <c r="C696" s="49"/>
      <c r="D696" s="54"/>
      <c r="E696" s="63"/>
      <c r="F696" s="23"/>
      <c r="G696" s="23"/>
      <c r="H696" s="7"/>
      <c r="I696" s="47"/>
      <c r="J696" s="11"/>
      <c r="L696" s="40"/>
      <c r="M696" s="228"/>
    </row>
    <row r="697" spans="1:14" ht="18.75" customHeight="1" x14ac:dyDescent="0.55000000000000004">
      <c r="A697" s="28"/>
      <c r="B697" s="45"/>
      <c r="C697" s="49"/>
      <c r="D697" s="54"/>
      <c r="E697" s="63"/>
      <c r="F697" s="23"/>
      <c r="G697" s="23"/>
      <c r="H697" s="7"/>
      <c r="I697" s="47"/>
      <c r="J697" s="11"/>
      <c r="L697" s="40"/>
      <c r="M697" s="228"/>
    </row>
    <row r="698" spans="1:14" ht="18.75" customHeight="1" x14ac:dyDescent="0.55000000000000004">
      <c r="A698" s="28"/>
      <c r="B698" s="45"/>
      <c r="C698" s="49"/>
      <c r="D698" s="54"/>
      <c r="E698" s="42"/>
      <c r="F698" s="23"/>
      <c r="G698" s="23"/>
      <c r="H698" s="7"/>
      <c r="I698" s="47"/>
      <c r="J698" s="11"/>
      <c r="L698" s="40"/>
      <c r="M698" s="227"/>
      <c r="N698" s="80"/>
    </row>
    <row r="699" spans="1:14" ht="18.75" customHeight="1" x14ac:dyDescent="0.55000000000000004">
      <c r="A699" s="28"/>
      <c r="B699" s="45"/>
      <c r="C699" s="49"/>
      <c r="D699" s="54"/>
      <c r="E699" s="42"/>
      <c r="F699" s="23"/>
      <c r="G699" s="23"/>
      <c r="H699" s="7"/>
      <c r="I699" s="47"/>
      <c r="J699" s="11"/>
      <c r="L699" s="40"/>
      <c r="M699" s="30"/>
    </row>
    <row r="700" spans="1:14" ht="18.75" customHeight="1" x14ac:dyDescent="0.55000000000000004">
      <c r="A700" s="28"/>
      <c r="B700" s="45"/>
      <c r="C700" s="49"/>
      <c r="D700" s="54"/>
      <c r="E700" s="63"/>
      <c r="F700" s="23"/>
      <c r="G700" s="23"/>
      <c r="H700" s="7"/>
      <c r="I700" s="47"/>
      <c r="J700" s="25"/>
      <c r="K700" s="40"/>
      <c r="L700" s="40"/>
      <c r="M700" s="228"/>
    </row>
    <row r="701" spans="1:14" ht="18.75" customHeight="1" x14ac:dyDescent="0.55000000000000004">
      <c r="A701" s="28"/>
      <c r="B701" s="45"/>
      <c r="C701" s="49"/>
      <c r="D701" s="54"/>
      <c r="E701" s="63"/>
      <c r="F701" s="23"/>
      <c r="G701" s="23"/>
      <c r="H701" s="7"/>
      <c r="I701" s="47"/>
      <c r="J701" s="11"/>
      <c r="L701" s="40"/>
      <c r="M701" s="228"/>
    </row>
    <row r="702" spans="1:14" ht="18.75" customHeight="1" x14ac:dyDescent="0.55000000000000004">
      <c r="A702" s="28"/>
      <c r="B702" s="45"/>
      <c r="C702" s="49"/>
      <c r="D702" s="54"/>
      <c r="E702" s="63"/>
      <c r="F702" s="23"/>
      <c r="G702" s="23"/>
      <c r="H702" s="7"/>
      <c r="I702" s="47"/>
      <c r="J702" s="11"/>
      <c r="L702" s="40"/>
      <c r="M702" s="228"/>
    </row>
    <row r="703" spans="1:14" ht="18.75" customHeight="1" x14ac:dyDescent="0.55000000000000004">
      <c r="A703" s="28"/>
      <c r="B703" s="45"/>
      <c r="C703" s="49"/>
      <c r="D703" s="54"/>
      <c r="E703" s="42"/>
      <c r="F703" s="23"/>
      <c r="G703" s="23"/>
      <c r="H703" s="7"/>
      <c r="I703" s="47"/>
      <c r="J703" s="11"/>
      <c r="L703" s="40"/>
      <c r="M703" s="227"/>
      <c r="N703" s="80"/>
    </row>
    <row r="704" spans="1:14" ht="18.75" customHeight="1" x14ac:dyDescent="0.55000000000000004">
      <c r="A704" s="28"/>
      <c r="B704" s="45"/>
      <c r="C704" s="49"/>
      <c r="D704" s="54"/>
      <c r="E704" s="42"/>
      <c r="F704" s="23"/>
      <c r="G704" s="23"/>
      <c r="H704" s="7"/>
      <c r="I704" s="47"/>
      <c r="J704" s="11"/>
      <c r="L704" s="40"/>
      <c r="M704" s="30"/>
    </row>
    <row r="705" spans="1:14" ht="18.75" customHeight="1" x14ac:dyDescent="0.55000000000000004">
      <c r="A705" s="28"/>
      <c r="B705" s="45"/>
      <c r="C705" s="49"/>
      <c r="D705" s="54"/>
      <c r="E705" s="63"/>
      <c r="F705" s="23"/>
      <c r="G705" s="23"/>
      <c r="H705" s="7"/>
      <c r="I705" s="47"/>
      <c r="J705" s="25"/>
      <c r="K705" s="40"/>
      <c r="L705" s="40"/>
      <c r="M705" s="228"/>
    </row>
    <row r="706" spans="1:14" ht="18.75" customHeight="1" x14ac:dyDescent="0.55000000000000004">
      <c r="A706" s="28"/>
      <c r="B706" s="45"/>
      <c r="C706" s="49"/>
      <c r="D706" s="54"/>
      <c r="E706" s="63"/>
      <c r="F706" s="23"/>
      <c r="G706" s="23"/>
      <c r="H706" s="7"/>
      <c r="I706" s="47"/>
      <c r="J706" s="11"/>
      <c r="L706" s="40"/>
      <c r="M706" s="228"/>
    </row>
    <row r="707" spans="1:14" ht="18.75" customHeight="1" x14ac:dyDescent="0.55000000000000004">
      <c r="A707" s="28"/>
      <c r="B707" s="45"/>
      <c r="C707" s="49"/>
      <c r="D707" s="54"/>
      <c r="E707" s="63"/>
      <c r="F707" s="23"/>
      <c r="G707" s="23"/>
      <c r="H707" s="7"/>
      <c r="I707" s="47"/>
      <c r="J707" s="11"/>
      <c r="L707" s="40"/>
      <c r="M707" s="228"/>
    </row>
    <row r="708" spans="1:14" ht="18.75" customHeight="1" x14ac:dyDescent="0.55000000000000004">
      <c r="A708" s="28"/>
      <c r="B708" s="45"/>
      <c r="C708" s="49"/>
      <c r="D708" s="54"/>
      <c r="E708" s="42"/>
      <c r="F708" s="23"/>
      <c r="G708" s="23"/>
      <c r="H708" s="7"/>
      <c r="I708" s="47"/>
      <c r="J708" s="11"/>
      <c r="L708" s="40"/>
      <c r="M708" s="227"/>
      <c r="N708" s="80"/>
    </row>
    <row r="709" spans="1:14" ht="18.75" customHeight="1" x14ac:dyDescent="0.55000000000000004">
      <c r="A709" s="28"/>
      <c r="B709" s="45"/>
      <c r="C709" s="49"/>
      <c r="D709" s="54"/>
      <c r="E709" s="42"/>
      <c r="F709" s="23"/>
      <c r="G709" s="23"/>
      <c r="H709" s="7"/>
      <c r="I709" s="47"/>
      <c r="J709" s="11"/>
      <c r="L709" s="40"/>
      <c r="M709" s="30"/>
    </row>
    <row r="710" spans="1:14" ht="18.75" customHeight="1" x14ac:dyDescent="0.55000000000000004">
      <c r="A710" s="28"/>
      <c r="B710" s="45"/>
      <c r="C710" s="49"/>
      <c r="D710" s="54"/>
      <c r="E710" s="63"/>
      <c r="F710" s="23"/>
      <c r="G710" s="23"/>
      <c r="H710" s="7"/>
      <c r="I710" s="47"/>
      <c r="J710" s="25"/>
      <c r="K710" s="40"/>
      <c r="L710" s="40"/>
      <c r="M710" s="228"/>
    </row>
    <row r="711" spans="1:14" ht="18.75" customHeight="1" x14ac:dyDescent="0.55000000000000004">
      <c r="A711" s="28"/>
      <c r="B711" s="45"/>
      <c r="C711" s="49"/>
      <c r="D711" s="54"/>
      <c r="E711" s="63"/>
      <c r="F711" s="23"/>
      <c r="G711" s="23"/>
      <c r="H711" s="7"/>
      <c r="I711" s="47"/>
      <c r="J711" s="11"/>
      <c r="L711" s="40"/>
      <c r="M711" s="228"/>
    </row>
    <row r="712" spans="1:14" ht="18.75" customHeight="1" x14ac:dyDescent="0.55000000000000004">
      <c r="A712" s="28"/>
      <c r="B712" s="45"/>
      <c r="C712" s="49"/>
      <c r="D712" s="54"/>
      <c r="E712" s="63"/>
      <c r="F712" s="23"/>
      <c r="G712" s="23"/>
      <c r="H712" s="7"/>
      <c r="I712" s="47"/>
      <c r="J712" s="11"/>
      <c r="L712" s="40"/>
      <c r="M712" s="228"/>
    </row>
    <row r="713" spans="1:14" ht="18.75" customHeight="1" x14ac:dyDescent="0.55000000000000004">
      <c r="A713" s="28"/>
      <c r="B713" s="45"/>
      <c r="C713" s="49"/>
      <c r="D713" s="54"/>
      <c r="E713" s="42"/>
      <c r="F713" s="23"/>
      <c r="G713" s="23"/>
      <c r="H713" s="7"/>
      <c r="I713" s="47"/>
      <c r="J713" s="11"/>
      <c r="L713" s="40"/>
      <c r="M713" s="227"/>
      <c r="N713" s="80"/>
    </row>
    <row r="714" spans="1:14" ht="18.75" customHeight="1" x14ac:dyDescent="0.55000000000000004">
      <c r="A714" s="28"/>
      <c r="B714" s="45"/>
      <c r="C714" s="49"/>
      <c r="D714" s="54"/>
      <c r="E714" s="42"/>
      <c r="F714" s="23"/>
      <c r="G714" s="23"/>
      <c r="H714" s="7"/>
      <c r="I714" s="47"/>
      <c r="J714" s="11"/>
      <c r="L714" s="40"/>
      <c r="M714" s="30"/>
    </row>
    <row r="715" spans="1:14" ht="18.75" customHeight="1" x14ac:dyDescent="0.55000000000000004">
      <c r="A715" s="28"/>
      <c r="B715" s="45"/>
      <c r="C715" s="49"/>
      <c r="D715" s="54"/>
      <c r="E715" s="63"/>
      <c r="F715" s="23"/>
      <c r="G715" s="23"/>
      <c r="H715" s="7"/>
      <c r="I715" s="47"/>
      <c r="J715" s="25"/>
      <c r="K715" s="40"/>
      <c r="L715" s="40"/>
      <c r="M715" s="228"/>
    </row>
    <row r="716" spans="1:14" ht="18.75" customHeight="1" x14ac:dyDescent="0.55000000000000004">
      <c r="A716" s="28"/>
      <c r="B716" s="45"/>
      <c r="C716" s="49"/>
      <c r="D716" s="54"/>
      <c r="E716" s="63"/>
      <c r="F716" s="23"/>
      <c r="G716" s="23"/>
      <c r="H716" s="7"/>
      <c r="I716" s="47"/>
      <c r="J716" s="11"/>
      <c r="L716" s="40"/>
      <c r="M716" s="228"/>
    </row>
    <row r="717" spans="1:14" ht="18.75" customHeight="1" x14ac:dyDescent="0.55000000000000004">
      <c r="A717" s="28"/>
      <c r="B717" s="45"/>
      <c r="C717" s="49"/>
      <c r="D717" s="54"/>
      <c r="E717" s="63"/>
      <c r="F717" s="23"/>
      <c r="G717" s="23"/>
      <c r="H717" s="7"/>
      <c r="I717" s="47"/>
      <c r="J717" s="11"/>
      <c r="L717" s="40"/>
      <c r="M717" s="228"/>
    </row>
    <row r="718" spans="1:14" ht="18.75" customHeight="1" x14ac:dyDescent="0.55000000000000004">
      <c r="A718" s="28"/>
      <c r="B718" s="45"/>
      <c r="C718" s="49"/>
      <c r="D718" s="54"/>
      <c r="E718" s="42"/>
      <c r="F718" s="23"/>
      <c r="G718" s="23"/>
      <c r="H718" s="7"/>
      <c r="I718" s="47"/>
      <c r="J718" s="11"/>
      <c r="L718" s="40"/>
      <c r="M718" s="227"/>
      <c r="N718" s="80"/>
    </row>
    <row r="719" spans="1:14" ht="18.75" customHeight="1" x14ac:dyDescent="0.55000000000000004">
      <c r="A719" s="28"/>
      <c r="B719" s="45"/>
      <c r="C719" s="49"/>
      <c r="D719" s="54"/>
      <c r="E719" s="42"/>
      <c r="F719" s="23"/>
      <c r="G719" s="23"/>
      <c r="H719" s="7"/>
      <c r="I719" s="47"/>
      <c r="J719" s="11"/>
      <c r="L719" s="40"/>
      <c r="M719" s="30"/>
    </row>
    <row r="720" spans="1:14" ht="18.75" customHeight="1" x14ac:dyDescent="0.55000000000000004">
      <c r="A720" s="28"/>
      <c r="B720" s="45"/>
      <c r="C720" s="49"/>
      <c r="D720" s="54"/>
      <c r="E720" s="63"/>
      <c r="F720" s="23"/>
      <c r="G720" s="23"/>
      <c r="H720" s="7"/>
      <c r="I720" s="47"/>
      <c r="J720" s="25"/>
      <c r="K720" s="40"/>
      <c r="L720" s="40"/>
      <c r="M720" s="228"/>
    </row>
    <row r="721" spans="1:14" ht="18.75" customHeight="1" x14ac:dyDescent="0.55000000000000004">
      <c r="A721" s="28"/>
      <c r="B721" s="45"/>
      <c r="C721" s="49"/>
      <c r="D721" s="54"/>
      <c r="E721" s="63"/>
      <c r="F721" s="23"/>
      <c r="G721" s="23"/>
      <c r="H721" s="7"/>
      <c r="I721" s="47"/>
      <c r="J721" s="11"/>
      <c r="L721" s="40"/>
      <c r="M721" s="228"/>
    </row>
    <row r="722" spans="1:14" ht="18.75" customHeight="1" x14ac:dyDescent="0.55000000000000004">
      <c r="A722" s="28"/>
      <c r="B722" s="45"/>
      <c r="C722" s="49"/>
      <c r="D722" s="54"/>
      <c r="E722" s="63"/>
      <c r="F722" s="23"/>
      <c r="G722" s="23"/>
      <c r="H722" s="7"/>
      <c r="I722" s="47"/>
      <c r="J722" s="11"/>
      <c r="L722" s="40"/>
      <c r="M722" s="228"/>
    </row>
    <row r="723" spans="1:14" ht="18.75" customHeight="1" x14ac:dyDescent="0.55000000000000004">
      <c r="A723" s="28"/>
      <c r="B723" s="45"/>
      <c r="C723" s="49"/>
      <c r="D723" s="54"/>
      <c r="E723" s="42"/>
      <c r="F723" s="23"/>
      <c r="G723" s="23"/>
      <c r="H723" s="7"/>
      <c r="I723" s="47"/>
      <c r="J723" s="11"/>
      <c r="L723" s="40"/>
      <c r="M723" s="227"/>
      <c r="N723" s="80"/>
    </row>
    <row r="724" spans="1:14" ht="18.75" customHeight="1" x14ac:dyDescent="0.55000000000000004">
      <c r="A724" s="28"/>
      <c r="B724" s="45"/>
      <c r="C724" s="49"/>
      <c r="D724" s="54"/>
      <c r="E724" s="42"/>
      <c r="F724" s="23"/>
      <c r="G724" s="23"/>
      <c r="H724" s="7"/>
      <c r="I724" s="47"/>
      <c r="J724" s="11"/>
      <c r="L724" s="40"/>
      <c r="M724" s="30"/>
    </row>
    <row r="725" spans="1:14" ht="18.75" customHeight="1" x14ac:dyDescent="0.55000000000000004">
      <c r="A725" s="28"/>
      <c r="B725" s="45"/>
      <c r="C725" s="49"/>
      <c r="D725" s="54"/>
      <c r="E725" s="63"/>
      <c r="F725" s="23"/>
      <c r="G725" s="23"/>
      <c r="H725" s="7"/>
      <c r="I725" s="47"/>
      <c r="J725" s="25"/>
      <c r="K725" s="40"/>
      <c r="L725" s="40"/>
      <c r="M725" s="228"/>
    </row>
    <row r="726" spans="1:14" ht="18.75" customHeight="1" x14ac:dyDescent="0.55000000000000004">
      <c r="A726" s="28"/>
      <c r="B726" s="45"/>
      <c r="C726" s="49"/>
      <c r="D726" s="54"/>
      <c r="E726" s="63"/>
      <c r="F726" s="23"/>
      <c r="G726" s="23"/>
      <c r="H726" s="7"/>
      <c r="I726" s="47"/>
      <c r="J726" s="11"/>
      <c r="L726" s="40"/>
      <c r="M726" s="228"/>
    </row>
    <row r="727" spans="1:14" ht="18.75" customHeight="1" x14ac:dyDescent="0.55000000000000004">
      <c r="A727" s="28"/>
      <c r="B727" s="45"/>
      <c r="C727" s="49"/>
      <c r="D727" s="54"/>
      <c r="E727" s="63"/>
      <c r="F727" s="23"/>
      <c r="G727" s="23"/>
      <c r="H727" s="7"/>
      <c r="I727" s="47"/>
      <c r="J727" s="11"/>
      <c r="L727" s="40"/>
      <c r="M727" s="228"/>
    </row>
    <row r="728" spans="1:14" ht="18.75" customHeight="1" x14ac:dyDescent="0.55000000000000004">
      <c r="A728" s="28"/>
      <c r="B728" s="45"/>
      <c r="C728" s="49"/>
      <c r="D728" s="54"/>
      <c r="E728" s="42"/>
      <c r="F728" s="23"/>
      <c r="G728" s="23"/>
      <c r="H728" s="7"/>
      <c r="I728" s="47"/>
      <c r="J728" s="11"/>
      <c r="L728" s="40"/>
      <c r="M728" s="227"/>
      <c r="N728" s="80"/>
    </row>
    <row r="729" spans="1:14" ht="18.75" customHeight="1" x14ac:dyDescent="0.55000000000000004">
      <c r="A729" s="28"/>
      <c r="B729" s="45"/>
      <c r="C729" s="49"/>
      <c r="D729" s="54"/>
      <c r="E729" s="42"/>
      <c r="F729" s="23"/>
      <c r="G729" s="23"/>
      <c r="H729" s="7"/>
      <c r="I729" s="47"/>
      <c r="J729" s="11"/>
      <c r="L729" s="40"/>
      <c r="M729" s="30"/>
    </row>
    <row r="730" spans="1:14" ht="18.75" customHeight="1" x14ac:dyDescent="0.55000000000000004">
      <c r="A730" s="28"/>
      <c r="B730" s="45"/>
      <c r="C730" s="49"/>
      <c r="D730" s="54"/>
      <c r="E730" s="63"/>
      <c r="F730" s="23"/>
      <c r="G730" s="23"/>
      <c r="H730" s="7"/>
      <c r="I730" s="47"/>
      <c r="J730" s="25"/>
      <c r="K730" s="40"/>
      <c r="L730" s="40"/>
      <c r="M730" s="228"/>
    </row>
    <row r="731" spans="1:14" ht="18.75" customHeight="1" x14ac:dyDescent="0.55000000000000004">
      <c r="A731" s="28"/>
      <c r="B731" s="45"/>
      <c r="C731" s="49"/>
      <c r="D731" s="54"/>
      <c r="E731" s="63"/>
      <c r="F731" s="23"/>
      <c r="G731" s="23"/>
      <c r="H731" s="7"/>
      <c r="I731" s="47"/>
      <c r="J731" s="11"/>
      <c r="L731" s="40"/>
      <c r="M731" s="228"/>
    </row>
    <row r="732" spans="1:14" ht="18.75" customHeight="1" x14ac:dyDescent="0.55000000000000004">
      <c r="A732" s="28"/>
      <c r="B732" s="45"/>
      <c r="C732" s="49"/>
      <c r="D732" s="54"/>
      <c r="E732" s="63"/>
      <c r="F732" s="23"/>
      <c r="G732" s="23"/>
      <c r="H732" s="7"/>
      <c r="I732" s="47"/>
      <c r="J732" s="11"/>
      <c r="L732" s="40"/>
      <c r="M732" s="228"/>
    </row>
    <row r="733" spans="1:14" ht="18.75" customHeight="1" x14ac:dyDescent="0.55000000000000004">
      <c r="A733" s="28"/>
      <c r="B733" s="45"/>
      <c r="C733" s="49"/>
      <c r="D733" s="54"/>
      <c r="E733" s="42"/>
      <c r="F733" s="23"/>
      <c r="G733" s="23"/>
      <c r="H733" s="7"/>
      <c r="I733" s="47"/>
      <c r="J733" s="11"/>
      <c r="L733" s="40"/>
      <c r="M733" s="227"/>
      <c r="N733" s="80"/>
    </row>
    <row r="734" spans="1:14" ht="18.75" customHeight="1" x14ac:dyDescent="0.55000000000000004">
      <c r="A734" s="28"/>
      <c r="B734" s="45"/>
      <c r="C734" s="49"/>
      <c r="D734" s="54"/>
      <c r="E734" s="42"/>
      <c r="F734" s="23"/>
      <c r="G734" s="23"/>
      <c r="H734" s="7"/>
      <c r="I734" s="47"/>
      <c r="J734" s="11"/>
      <c r="L734" s="40"/>
      <c r="M734" s="30"/>
    </row>
    <row r="735" spans="1:14" ht="18.75" customHeight="1" x14ac:dyDescent="0.55000000000000004">
      <c r="A735" s="28"/>
      <c r="B735" s="45"/>
      <c r="C735" s="49"/>
      <c r="D735" s="54"/>
      <c r="E735" s="63"/>
      <c r="F735" s="23"/>
      <c r="G735" s="23"/>
      <c r="H735" s="7"/>
      <c r="I735" s="47"/>
      <c r="J735" s="25"/>
      <c r="K735" s="40"/>
      <c r="L735" s="40"/>
      <c r="M735" s="228"/>
    </row>
    <row r="736" spans="1:14" ht="18.75" customHeight="1" x14ac:dyDescent="0.55000000000000004">
      <c r="A736" s="28"/>
      <c r="B736" s="45"/>
      <c r="C736" s="49"/>
      <c r="D736" s="54"/>
      <c r="E736" s="63"/>
      <c r="F736" s="23"/>
      <c r="G736" s="23"/>
      <c r="H736" s="7"/>
      <c r="I736" s="47"/>
      <c r="J736" s="11"/>
      <c r="L736" s="40"/>
      <c r="M736" s="228"/>
    </row>
    <row r="737" spans="1:14" ht="18.75" customHeight="1" x14ac:dyDescent="0.55000000000000004">
      <c r="A737" s="28"/>
      <c r="B737" s="45"/>
      <c r="C737" s="49"/>
      <c r="D737" s="54"/>
      <c r="E737" s="63"/>
      <c r="F737" s="23"/>
      <c r="G737" s="23"/>
      <c r="H737" s="7"/>
      <c r="I737" s="47"/>
      <c r="J737" s="11"/>
      <c r="L737" s="40"/>
      <c r="M737" s="228"/>
    </row>
    <row r="738" spans="1:14" ht="18.75" customHeight="1" x14ac:dyDescent="0.55000000000000004">
      <c r="A738" s="28"/>
      <c r="B738" s="45"/>
      <c r="C738" s="49"/>
      <c r="D738" s="54"/>
      <c r="E738" s="42"/>
      <c r="F738" s="23"/>
      <c r="G738" s="23"/>
      <c r="H738" s="7"/>
      <c r="I738" s="47"/>
      <c r="J738" s="11"/>
      <c r="L738" s="40"/>
      <c r="M738" s="227"/>
      <c r="N738" s="80"/>
    </row>
    <row r="739" spans="1:14" ht="18.75" customHeight="1" x14ac:dyDescent="0.55000000000000004">
      <c r="A739" s="28"/>
      <c r="B739" s="45"/>
      <c r="C739" s="49"/>
      <c r="D739" s="54"/>
      <c r="E739" s="42"/>
      <c r="F739" s="23"/>
      <c r="G739" s="23"/>
      <c r="H739" s="7"/>
      <c r="I739" s="47"/>
      <c r="J739" s="11"/>
      <c r="L739" s="40"/>
      <c r="M739" s="30"/>
    </row>
    <row r="740" spans="1:14" ht="18.75" customHeight="1" x14ac:dyDescent="0.55000000000000004">
      <c r="A740" s="28"/>
      <c r="B740" s="45"/>
      <c r="C740" s="49"/>
      <c r="D740" s="54"/>
      <c r="E740" s="63"/>
      <c r="F740" s="23"/>
      <c r="G740" s="23"/>
      <c r="H740" s="7"/>
      <c r="I740" s="47"/>
      <c r="J740" s="25"/>
      <c r="K740" s="40"/>
      <c r="L740" s="40"/>
      <c r="M740" s="228"/>
    </row>
    <row r="741" spans="1:14" ht="18.75" customHeight="1" x14ac:dyDescent="0.55000000000000004">
      <c r="A741" s="28"/>
      <c r="B741" s="45"/>
      <c r="C741" s="49"/>
      <c r="D741" s="54"/>
      <c r="E741" s="63"/>
      <c r="F741" s="23"/>
      <c r="G741" s="23"/>
      <c r="H741" s="7"/>
      <c r="I741" s="47"/>
      <c r="J741" s="11"/>
      <c r="L741" s="40"/>
      <c r="M741" s="228"/>
    </row>
    <row r="742" spans="1:14" ht="18.75" customHeight="1" x14ac:dyDescent="0.55000000000000004">
      <c r="A742" s="28"/>
      <c r="B742" s="45"/>
      <c r="C742" s="49"/>
      <c r="D742" s="54"/>
      <c r="E742" s="63"/>
      <c r="F742" s="23"/>
      <c r="G742" s="23"/>
      <c r="H742" s="7"/>
      <c r="I742" s="47"/>
      <c r="J742" s="11"/>
      <c r="L742" s="40"/>
      <c r="M742" s="228"/>
    </row>
    <row r="743" spans="1:14" ht="18.75" customHeight="1" x14ac:dyDescent="0.55000000000000004">
      <c r="A743" s="28"/>
      <c r="B743" s="45"/>
      <c r="C743" s="49"/>
      <c r="D743" s="54"/>
      <c r="E743" s="42"/>
      <c r="F743" s="23"/>
      <c r="G743" s="23"/>
      <c r="H743" s="7"/>
      <c r="I743" s="47"/>
      <c r="J743" s="11"/>
      <c r="L743" s="40"/>
      <c r="M743" s="227"/>
      <c r="N743" s="80"/>
    </row>
    <row r="744" spans="1:14" ht="18.75" customHeight="1" x14ac:dyDescent="0.55000000000000004">
      <c r="A744" s="28"/>
      <c r="B744" s="45"/>
      <c r="C744" s="49"/>
      <c r="D744" s="54"/>
      <c r="E744" s="42"/>
      <c r="F744" s="23"/>
      <c r="G744" s="23"/>
      <c r="H744" s="7"/>
      <c r="I744" s="47"/>
      <c r="J744" s="11"/>
      <c r="L744" s="40"/>
      <c r="M744" s="30"/>
    </row>
    <row r="745" spans="1:14" ht="18.75" customHeight="1" x14ac:dyDescent="0.55000000000000004">
      <c r="A745" s="28"/>
      <c r="B745" s="45"/>
      <c r="C745" s="49"/>
      <c r="D745" s="54"/>
      <c r="E745" s="63"/>
      <c r="F745" s="23"/>
      <c r="G745" s="23"/>
      <c r="H745" s="7"/>
      <c r="I745" s="47"/>
      <c r="J745" s="25"/>
      <c r="K745" s="40"/>
      <c r="L745" s="40"/>
      <c r="M745" s="228"/>
    </row>
    <row r="746" spans="1:14" ht="18.75" customHeight="1" x14ac:dyDescent="0.55000000000000004">
      <c r="A746" s="28"/>
      <c r="B746" s="45"/>
      <c r="C746" s="49"/>
      <c r="D746" s="54"/>
      <c r="E746" s="63"/>
      <c r="F746" s="23"/>
      <c r="G746" s="23"/>
      <c r="H746" s="7"/>
      <c r="I746" s="47"/>
      <c r="J746" s="11"/>
      <c r="L746" s="40"/>
      <c r="M746" s="228"/>
    </row>
    <row r="747" spans="1:14" ht="18.75" customHeight="1" x14ac:dyDescent="0.55000000000000004">
      <c r="A747" s="28"/>
      <c r="B747" s="45"/>
      <c r="C747" s="49"/>
      <c r="D747" s="54"/>
      <c r="E747" s="63"/>
      <c r="F747" s="23"/>
      <c r="G747" s="23"/>
      <c r="H747" s="7"/>
      <c r="I747" s="47"/>
      <c r="J747" s="11"/>
      <c r="L747" s="40"/>
      <c r="M747" s="228"/>
    </row>
    <row r="748" spans="1:14" ht="18.75" customHeight="1" x14ac:dyDescent="0.55000000000000004">
      <c r="A748" s="28"/>
      <c r="B748" s="45"/>
      <c r="C748" s="49"/>
      <c r="D748" s="54"/>
      <c r="E748" s="42"/>
      <c r="F748" s="23"/>
      <c r="G748" s="23"/>
      <c r="H748" s="7"/>
      <c r="I748" s="47"/>
      <c r="J748" s="11"/>
      <c r="L748" s="40"/>
      <c r="M748" s="227"/>
      <c r="N748" s="80"/>
    </row>
    <row r="749" spans="1:14" ht="18.75" customHeight="1" x14ac:dyDescent="0.55000000000000004">
      <c r="A749" s="28"/>
      <c r="B749" s="45"/>
      <c r="C749" s="49"/>
      <c r="D749" s="54"/>
      <c r="E749" s="42"/>
      <c r="F749" s="23"/>
      <c r="G749" s="23"/>
      <c r="H749" s="7"/>
      <c r="I749" s="47"/>
      <c r="J749" s="11"/>
      <c r="L749" s="40"/>
      <c r="M749" s="30"/>
    </row>
    <row r="750" spans="1:14" ht="18.75" customHeight="1" x14ac:dyDescent="0.55000000000000004">
      <c r="A750" s="28"/>
      <c r="B750" s="45"/>
      <c r="C750" s="49"/>
      <c r="D750" s="54"/>
      <c r="E750" s="63"/>
      <c r="F750" s="23"/>
      <c r="G750" s="23"/>
      <c r="H750" s="7"/>
      <c r="I750" s="47"/>
      <c r="J750" s="25"/>
      <c r="K750" s="40"/>
      <c r="L750" s="40"/>
      <c r="M750" s="228"/>
    </row>
    <row r="751" spans="1:14" ht="18.75" customHeight="1" x14ac:dyDescent="0.55000000000000004">
      <c r="A751" s="28"/>
      <c r="B751" s="45"/>
      <c r="C751" s="49"/>
      <c r="D751" s="54"/>
      <c r="E751" s="63"/>
      <c r="F751" s="23"/>
      <c r="G751" s="23"/>
      <c r="H751" s="7"/>
      <c r="I751" s="47"/>
      <c r="J751" s="11"/>
      <c r="L751" s="40"/>
      <c r="M751" s="228"/>
    </row>
    <row r="752" spans="1:14" ht="18.75" customHeight="1" x14ac:dyDescent="0.55000000000000004">
      <c r="A752" s="28"/>
      <c r="B752" s="45"/>
      <c r="C752" s="49"/>
      <c r="D752" s="54"/>
      <c r="E752" s="63"/>
      <c r="F752" s="23"/>
      <c r="G752" s="23"/>
      <c r="H752" s="7"/>
      <c r="I752" s="47"/>
      <c r="J752" s="11"/>
      <c r="L752" s="40"/>
      <c r="M752" s="228"/>
    </row>
    <row r="753" spans="1:14" ht="18.75" customHeight="1" x14ac:dyDescent="0.55000000000000004">
      <c r="A753" s="28"/>
      <c r="B753" s="45"/>
      <c r="C753" s="49"/>
      <c r="D753" s="54"/>
      <c r="E753" s="42"/>
      <c r="F753" s="23"/>
      <c r="G753" s="23"/>
      <c r="H753" s="7"/>
      <c r="I753" s="47"/>
      <c r="J753" s="11"/>
      <c r="L753" s="40"/>
      <c r="M753" s="227"/>
      <c r="N753" s="80"/>
    </row>
    <row r="754" spans="1:14" ht="18.75" customHeight="1" x14ac:dyDescent="0.55000000000000004">
      <c r="A754" s="28"/>
      <c r="B754" s="45"/>
      <c r="C754" s="49"/>
      <c r="D754" s="54"/>
      <c r="E754" s="42"/>
      <c r="F754" s="23"/>
      <c r="G754" s="23"/>
      <c r="H754" s="7"/>
      <c r="I754" s="47"/>
      <c r="J754" s="11"/>
      <c r="L754" s="40"/>
      <c r="M754" s="30"/>
    </row>
    <row r="755" spans="1:14" ht="18.75" customHeight="1" x14ac:dyDescent="0.55000000000000004">
      <c r="A755" s="28"/>
      <c r="B755" s="45"/>
      <c r="C755" s="49"/>
      <c r="D755" s="54"/>
      <c r="E755" s="63"/>
      <c r="F755" s="23"/>
      <c r="G755" s="23"/>
      <c r="H755" s="7"/>
      <c r="I755" s="47"/>
      <c r="J755" s="25"/>
      <c r="K755" s="40"/>
      <c r="L755" s="40"/>
      <c r="M755" s="228"/>
    </row>
    <row r="756" spans="1:14" ht="18.75" customHeight="1" x14ac:dyDescent="0.55000000000000004">
      <c r="A756" s="28"/>
      <c r="B756" s="45"/>
      <c r="C756" s="49"/>
      <c r="D756" s="54"/>
      <c r="E756" s="63"/>
      <c r="F756" s="23"/>
      <c r="G756" s="23"/>
      <c r="H756" s="7"/>
      <c r="I756" s="47"/>
      <c r="J756" s="11"/>
      <c r="L756" s="40"/>
      <c r="M756" s="228"/>
    </row>
    <row r="757" spans="1:14" ht="18.75" customHeight="1" x14ac:dyDescent="0.55000000000000004">
      <c r="A757" s="28"/>
      <c r="B757" s="45"/>
      <c r="C757" s="49"/>
      <c r="D757" s="54"/>
      <c r="E757" s="63"/>
      <c r="F757" s="23"/>
      <c r="G757" s="23"/>
      <c r="H757" s="7"/>
      <c r="I757" s="47"/>
      <c r="J757" s="11"/>
      <c r="L757" s="40"/>
      <c r="M757" s="228"/>
    </row>
    <row r="758" spans="1:14" ht="18.75" customHeight="1" x14ac:dyDescent="0.55000000000000004">
      <c r="A758" s="28"/>
      <c r="B758" s="45"/>
      <c r="C758" s="49"/>
      <c r="D758" s="54"/>
      <c r="E758" s="42"/>
      <c r="F758" s="23"/>
      <c r="G758" s="23"/>
      <c r="H758" s="7"/>
      <c r="I758" s="47"/>
      <c r="J758" s="11"/>
      <c r="L758" s="40"/>
      <c r="M758" s="227"/>
      <c r="N758" s="80"/>
    </row>
    <row r="759" spans="1:14" ht="18.75" customHeight="1" x14ac:dyDescent="0.55000000000000004">
      <c r="A759" s="28"/>
      <c r="B759" s="45"/>
      <c r="C759" s="49"/>
      <c r="D759" s="54"/>
      <c r="E759" s="42"/>
      <c r="F759" s="23"/>
      <c r="G759" s="23"/>
      <c r="H759" s="7"/>
      <c r="I759" s="47"/>
      <c r="J759" s="11"/>
      <c r="L759" s="40"/>
      <c r="M759" s="30"/>
    </row>
    <row r="760" spans="1:14" ht="18.75" customHeight="1" x14ac:dyDescent="0.55000000000000004">
      <c r="A760" s="28"/>
      <c r="B760" s="45"/>
      <c r="C760" s="49"/>
      <c r="D760" s="54"/>
      <c r="E760" s="63"/>
      <c r="F760" s="23"/>
      <c r="G760" s="23"/>
      <c r="H760" s="7"/>
      <c r="I760" s="47"/>
      <c r="J760" s="25"/>
      <c r="K760" s="40"/>
      <c r="L760" s="40"/>
      <c r="M760" s="228"/>
    </row>
    <row r="761" spans="1:14" ht="18.75" customHeight="1" x14ac:dyDescent="0.55000000000000004">
      <c r="A761" s="28"/>
      <c r="B761" s="45"/>
      <c r="C761" s="49"/>
      <c r="D761" s="54"/>
      <c r="E761" s="63"/>
      <c r="F761" s="23"/>
      <c r="G761" s="23"/>
      <c r="H761" s="7"/>
      <c r="I761" s="47"/>
      <c r="J761" s="11"/>
      <c r="L761" s="40"/>
      <c r="M761" s="228"/>
    </row>
    <row r="762" spans="1:14" ht="18.75" customHeight="1" x14ac:dyDescent="0.55000000000000004">
      <c r="A762" s="28"/>
      <c r="B762" s="45"/>
      <c r="C762" s="49"/>
      <c r="D762" s="54"/>
      <c r="E762" s="63"/>
      <c r="F762" s="23"/>
      <c r="G762" s="23"/>
      <c r="H762" s="7"/>
      <c r="I762" s="47"/>
      <c r="J762" s="11"/>
      <c r="L762" s="40"/>
      <c r="M762" s="228"/>
    </row>
    <row r="763" spans="1:14" ht="18.75" customHeight="1" x14ac:dyDescent="0.55000000000000004">
      <c r="A763" s="28"/>
      <c r="B763" s="45"/>
      <c r="C763" s="49"/>
      <c r="D763" s="54"/>
      <c r="E763" s="42"/>
      <c r="F763" s="23"/>
      <c r="G763" s="23"/>
      <c r="H763" s="7"/>
      <c r="I763" s="47"/>
      <c r="J763" s="11"/>
      <c r="L763" s="40"/>
      <c r="M763" s="227"/>
      <c r="N763" s="80"/>
    </row>
    <row r="764" spans="1:14" ht="18.75" customHeight="1" x14ac:dyDescent="0.55000000000000004">
      <c r="A764" s="28"/>
      <c r="B764" s="45"/>
      <c r="C764" s="49"/>
      <c r="D764" s="54"/>
      <c r="E764" s="42"/>
      <c r="F764" s="23"/>
      <c r="G764" s="23"/>
      <c r="H764" s="7"/>
      <c r="I764" s="47"/>
      <c r="J764" s="11"/>
      <c r="L764" s="40"/>
      <c r="M764" s="30"/>
    </row>
    <row r="765" spans="1:14" ht="18.75" customHeight="1" x14ac:dyDescent="0.55000000000000004">
      <c r="A765" s="28"/>
      <c r="B765" s="45"/>
      <c r="C765" s="49"/>
      <c r="D765" s="54"/>
      <c r="E765" s="63"/>
      <c r="F765" s="23"/>
      <c r="G765" s="23"/>
      <c r="H765" s="7"/>
      <c r="I765" s="47"/>
      <c r="J765" s="25"/>
      <c r="K765" s="40"/>
      <c r="L765" s="40"/>
      <c r="M765" s="228"/>
    </row>
    <row r="766" spans="1:14" ht="18.75" customHeight="1" x14ac:dyDescent="0.55000000000000004">
      <c r="A766" s="28"/>
      <c r="B766" s="45"/>
      <c r="C766" s="49"/>
      <c r="D766" s="54"/>
      <c r="E766" s="63"/>
      <c r="F766" s="23"/>
      <c r="G766" s="23"/>
      <c r="H766" s="7"/>
      <c r="I766" s="47"/>
      <c r="J766" s="11"/>
      <c r="L766" s="40"/>
      <c r="M766" s="228"/>
    </row>
    <row r="767" spans="1:14" ht="18.75" customHeight="1" x14ac:dyDescent="0.55000000000000004">
      <c r="A767" s="28"/>
      <c r="B767" s="45"/>
      <c r="C767" s="49"/>
      <c r="D767" s="54"/>
      <c r="E767" s="63"/>
      <c r="F767" s="23"/>
      <c r="G767" s="23"/>
      <c r="H767" s="7"/>
      <c r="I767" s="47"/>
      <c r="J767" s="11"/>
      <c r="L767" s="40"/>
      <c r="M767" s="228"/>
    </row>
    <row r="768" spans="1:14" ht="18.75" customHeight="1" x14ac:dyDescent="0.55000000000000004">
      <c r="A768" s="28"/>
      <c r="B768" s="45"/>
      <c r="C768" s="49"/>
      <c r="D768" s="54"/>
      <c r="E768" s="42"/>
      <c r="F768" s="23"/>
      <c r="G768" s="23"/>
      <c r="H768" s="7"/>
      <c r="I768" s="47"/>
      <c r="J768" s="11"/>
      <c r="L768" s="40"/>
      <c r="M768" s="227"/>
      <c r="N768" s="80"/>
    </row>
    <row r="769" spans="1:14" ht="18.75" customHeight="1" x14ac:dyDescent="0.55000000000000004">
      <c r="A769" s="28"/>
      <c r="B769" s="45"/>
      <c r="C769" s="49"/>
      <c r="D769" s="54"/>
      <c r="E769" s="42"/>
      <c r="F769" s="23"/>
      <c r="G769" s="23"/>
      <c r="H769" s="7"/>
      <c r="I769" s="47"/>
      <c r="J769" s="11"/>
      <c r="L769" s="40"/>
      <c r="M769" s="30"/>
    </row>
    <row r="770" spans="1:14" ht="18.75" customHeight="1" x14ac:dyDescent="0.55000000000000004">
      <c r="A770" s="28"/>
      <c r="B770" s="45"/>
      <c r="C770" s="49"/>
      <c r="D770" s="54"/>
      <c r="E770" s="63"/>
      <c r="F770" s="23"/>
      <c r="G770" s="23"/>
      <c r="H770" s="7"/>
      <c r="I770" s="47"/>
      <c r="J770" s="25"/>
      <c r="K770" s="40"/>
      <c r="L770" s="40"/>
      <c r="M770" s="228"/>
    </row>
    <row r="771" spans="1:14" ht="18.75" customHeight="1" x14ac:dyDescent="0.55000000000000004">
      <c r="A771" s="28"/>
      <c r="B771" s="45"/>
      <c r="C771" s="49"/>
      <c r="D771" s="54"/>
      <c r="E771" s="63"/>
      <c r="F771" s="23"/>
      <c r="G771" s="23"/>
      <c r="H771" s="7"/>
      <c r="I771" s="47"/>
      <c r="J771" s="11"/>
      <c r="L771" s="40"/>
      <c r="M771" s="228"/>
    </row>
    <row r="772" spans="1:14" ht="18.75" customHeight="1" x14ac:dyDescent="0.55000000000000004">
      <c r="A772" s="28"/>
      <c r="B772" s="45"/>
      <c r="C772" s="49"/>
      <c r="D772" s="54"/>
      <c r="E772" s="63"/>
      <c r="F772" s="23"/>
      <c r="G772" s="23"/>
      <c r="H772" s="7"/>
      <c r="I772" s="47"/>
      <c r="J772" s="11"/>
      <c r="L772" s="40"/>
      <c r="M772" s="228"/>
    </row>
    <row r="773" spans="1:14" ht="18.75" customHeight="1" x14ac:dyDescent="0.55000000000000004">
      <c r="A773" s="28"/>
      <c r="B773" s="45"/>
      <c r="C773" s="49"/>
      <c r="D773" s="54"/>
      <c r="E773" s="42"/>
      <c r="F773" s="23"/>
      <c r="G773" s="23"/>
      <c r="H773" s="7"/>
      <c r="I773" s="47"/>
      <c r="J773" s="11"/>
      <c r="L773" s="40"/>
      <c r="M773" s="227"/>
      <c r="N773" s="80"/>
    </row>
    <row r="774" spans="1:14" ht="18.75" customHeight="1" x14ac:dyDescent="0.55000000000000004">
      <c r="A774" s="28"/>
      <c r="B774" s="45"/>
      <c r="C774" s="49"/>
      <c r="D774" s="54"/>
      <c r="E774" s="42"/>
      <c r="F774" s="23"/>
      <c r="G774" s="23"/>
      <c r="H774" s="7"/>
      <c r="I774" s="47"/>
      <c r="J774" s="11"/>
      <c r="L774" s="40"/>
      <c r="M774" s="30"/>
    </row>
    <row r="775" spans="1:14" ht="18.75" customHeight="1" x14ac:dyDescent="0.55000000000000004">
      <c r="A775" s="28"/>
      <c r="B775" s="45"/>
      <c r="C775" s="49"/>
      <c r="D775" s="54"/>
      <c r="E775" s="63"/>
      <c r="F775" s="23"/>
      <c r="G775" s="23"/>
      <c r="H775" s="7"/>
      <c r="I775" s="47"/>
      <c r="J775" s="25"/>
      <c r="K775" s="40"/>
      <c r="L775" s="40"/>
      <c r="M775" s="228"/>
    </row>
    <row r="776" spans="1:14" ht="18.75" customHeight="1" x14ac:dyDescent="0.55000000000000004">
      <c r="A776" s="28"/>
      <c r="B776" s="45"/>
      <c r="C776" s="49"/>
      <c r="D776" s="54"/>
      <c r="E776" s="63"/>
      <c r="F776" s="23"/>
      <c r="G776" s="23"/>
      <c r="H776" s="7"/>
      <c r="I776" s="47"/>
      <c r="J776" s="11"/>
      <c r="L776" s="40"/>
      <c r="M776" s="228"/>
    </row>
    <row r="777" spans="1:14" ht="18.75" customHeight="1" x14ac:dyDescent="0.55000000000000004">
      <c r="A777" s="28"/>
      <c r="B777" s="45"/>
      <c r="C777" s="49"/>
      <c r="D777" s="54"/>
      <c r="E777" s="63"/>
      <c r="F777" s="23"/>
      <c r="G777" s="23"/>
      <c r="H777" s="7"/>
      <c r="I777" s="47"/>
      <c r="J777" s="11"/>
      <c r="L777" s="40"/>
      <c r="M777" s="228"/>
    </row>
    <row r="778" spans="1:14" ht="18.75" customHeight="1" x14ac:dyDescent="0.55000000000000004">
      <c r="A778" s="28"/>
      <c r="B778" s="45"/>
      <c r="C778" s="49"/>
      <c r="D778" s="54"/>
      <c r="E778" s="42"/>
      <c r="F778" s="23"/>
      <c r="G778" s="23"/>
      <c r="H778" s="7"/>
      <c r="I778" s="47"/>
      <c r="J778" s="11"/>
      <c r="L778" s="40"/>
      <c r="M778" s="227"/>
      <c r="N778" s="80"/>
    </row>
    <row r="779" spans="1:14" ht="18.75" customHeight="1" x14ac:dyDescent="0.55000000000000004">
      <c r="A779" s="28"/>
      <c r="B779" s="45"/>
      <c r="C779" s="49"/>
      <c r="D779" s="54"/>
      <c r="E779" s="42"/>
      <c r="F779" s="23"/>
      <c r="G779" s="23"/>
      <c r="H779" s="7"/>
      <c r="I779" s="47"/>
      <c r="J779" s="11"/>
      <c r="L779" s="40"/>
      <c r="M779" s="30"/>
    </row>
    <row r="780" spans="1:14" ht="18.75" customHeight="1" x14ac:dyDescent="0.55000000000000004">
      <c r="A780" s="28"/>
      <c r="B780" s="45"/>
      <c r="C780" s="49"/>
      <c r="D780" s="54"/>
      <c r="E780" s="63"/>
      <c r="F780" s="23"/>
      <c r="G780" s="23"/>
      <c r="H780" s="7"/>
      <c r="I780" s="47"/>
      <c r="J780" s="25"/>
      <c r="K780" s="40"/>
      <c r="L780" s="40"/>
      <c r="M780" s="228"/>
    </row>
    <row r="781" spans="1:14" ht="18.75" customHeight="1" x14ac:dyDescent="0.55000000000000004">
      <c r="A781" s="28"/>
      <c r="B781" s="45"/>
      <c r="C781" s="49"/>
      <c r="D781" s="54"/>
      <c r="E781" s="63"/>
      <c r="F781" s="23"/>
      <c r="G781" s="23"/>
      <c r="H781" s="7"/>
      <c r="I781" s="47"/>
      <c r="J781" s="11"/>
      <c r="L781" s="40"/>
      <c r="M781" s="228"/>
    </row>
    <row r="782" spans="1:14" ht="18.75" customHeight="1" x14ac:dyDescent="0.55000000000000004">
      <c r="A782" s="28"/>
      <c r="B782" s="45"/>
      <c r="C782" s="49"/>
      <c r="D782" s="54"/>
      <c r="E782" s="63"/>
      <c r="F782" s="23"/>
      <c r="G782" s="23"/>
      <c r="H782" s="7"/>
      <c r="I782" s="47"/>
      <c r="J782" s="11"/>
      <c r="L782" s="40"/>
      <c r="M782" s="228"/>
    </row>
    <row r="783" spans="1:14" ht="18.75" customHeight="1" x14ac:dyDescent="0.55000000000000004">
      <c r="A783" s="28"/>
      <c r="B783" s="45"/>
      <c r="C783" s="49"/>
      <c r="D783" s="54"/>
      <c r="E783" s="42"/>
      <c r="F783" s="23"/>
      <c r="G783" s="23"/>
      <c r="H783" s="7"/>
      <c r="I783" s="47"/>
      <c r="J783" s="11"/>
      <c r="L783" s="40"/>
      <c r="M783" s="227"/>
      <c r="N783" s="80"/>
    </row>
    <row r="784" spans="1:14" ht="18.75" customHeight="1" x14ac:dyDescent="0.55000000000000004">
      <c r="A784" s="28"/>
      <c r="B784" s="45"/>
      <c r="C784" s="49"/>
      <c r="D784" s="54"/>
      <c r="E784" s="42"/>
      <c r="F784" s="23"/>
      <c r="G784" s="23"/>
      <c r="H784" s="7"/>
      <c r="I784" s="47"/>
      <c r="J784" s="11"/>
      <c r="L784" s="40"/>
      <c r="M784" s="30"/>
    </row>
    <row r="785" spans="1:14" ht="18.75" customHeight="1" x14ac:dyDescent="0.55000000000000004">
      <c r="A785" s="28"/>
      <c r="B785" s="45"/>
      <c r="C785" s="49"/>
      <c r="D785" s="54"/>
      <c r="E785" s="63"/>
      <c r="F785" s="23"/>
      <c r="G785" s="23"/>
      <c r="H785" s="7"/>
      <c r="I785" s="47"/>
      <c r="J785" s="25"/>
      <c r="K785" s="40"/>
      <c r="L785" s="40"/>
      <c r="M785" s="228"/>
    </row>
    <row r="786" spans="1:14" ht="18.75" customHeight="1" x14ac:dyDescent="0.55000000000000004">
      <c r="A786" s="28"/>
      <c r="B786" s="45"/>
      <c r="C786" s="49"/>
      <c r="D786" s="54"/>
      <c r="E786" s="63"/>
      <c r="F786" s="23"/>
      <c r="G786" s="23"/>
      <c r="H786" s="7"/>
      <c r="I786" s="47"/>
      <c r="J786" s="11"/>
      <c r="L786" s="40"/>
      <c r="M786" s="228"/>
    </row>
    <row r="787" spans="1:14" ht="18.75" customHeight="1" x14ac:dyDescent="0.55000000000000004">
      <c r="A787" s="28"/>
      <c r="B787" s="45"/>
      <c r="C787" s="49"/>
      <c r="D787" s="54"/>
      <c r="E787" s="63"/>
      <c r="F787" s="23"/>
      <c r="G787" s="23"/>
      <c r="H787" s="7"/>
      <c r="I787" s="47"/>
      <c r="J787" s="11"/>
      <c r="L787" s="40"/>
      <c r="M787" s="228"/>
    </row>
    <row r="788" spans="1:14" ht="18.75" customHeight="1" x14ac:dyDescent="0.55000000000000004">
      <c r="A788" s="28"/>
      <c r="B788" s="45"/>
      <c r="C788" s="49"/>
      <c r="D788" s="54"/>
      <c r="E788" s="42"/>
      <c r="F788" s="23"/>
      <c r="G788" s="23"/>
      <c r="H788" s="7"/>
      <c r="I788" s="47"/>
      <c r="J788" s="11"/>
      <c r="L788" s="40"/>
      <c r="M788" s="227"/>
      <c r="N788" s="80"/>
    </row>
    <row r="789" spans="1:14" ht="18.75" customHeight="1" x14ac:dyDescent="0.55000000000000004">
      <c r="A789" s="28"/>
      <c r="B789" s="45"/>
      <c r="C789" s="49"/>
      <c r="D789" s="54"/>
      <c r="E789" s="42"/>
      <c r="F789" s="23"/>
      <c r="G789" s="23"/>
      <c r="H789" s="7"/>
      <c r="I789" s="47"/>
      <c r="J789" s="11"/>
      <c r="L789" s="40"/>
      <c r="M789" s="30"/>
    </row>
    <row r="790" spans="1:14" ht="18.75" customHeight="1" x14ac:dyDescent="0.55000000000000004">
      <c r="A790" s="28"/>
      <c r="B790" s="45"/>
      <c r="C790" s="49"/>
      <c r="D790" s="54"/>
      <c r="E790" s="63"/>
      <c r="F790" s="23"/>
      <c r="G790" s="23"/>
      <c r="H790" s="7"/>
      <c r="I790" s="47"/>
      <c r="J790" s="25"/>
      <c r="K790" s="40"/>
      <c r="L790" s="40"/>
      <c r="M790" s="228"/>
    </row>
    <row r="791" spans="1:14" ht="18.75" customHeight="1" x14ac:dyDescent="0.55000000000000004">
      <c r="A791" s="28"/>
      <c r="B791" s="45"/>
      <c r="C791" s="49"/>
      <c r="D791" s="54"/>
      <c r="E791" s="63"/>
      <c r="F791" s="23"/>
      <c r="G791" s="23"/>
      <c r="H791" s="7"/>
      <c r="I791" s="47"/>
      <c r="J791" s="11"/>
      <c r="L791" s="40"/>
      <c r="M791" s="228"/>
    </row>
    <row r="792" spans="1:14" ht="18.75" customHeight="1" x14ac:dyDescent="0.55000000000000004">
      <c r="A792" s="28"/>
      <c r="B792" s="45"/>
      <c r="C792" s="49"/>
      <c r="D792" s="54"/>
      <c r="E792" s="63"/>
      <c r="F792" s="23"/>
      <c r="G792" s="23"/>
      <c r="H792" s="7"/>
      <c r="I792" s="47"/>
      <c r="J792" s="11"/>
      <c r="L792" s="40"/>
      <c r="M792" s="228"/>
    </row>
    <row r="793" spans="1:14" ht="18.75" customHeight="1" x14ac:dyDescent="0.55000000000000004">
      <c r="A793" s="28"/>
      <c r="B793" s="45"/>
      <c r="C793" s="49"/>
      <c r="D793" s="54"/>
      <c r="E793" s="42"/>
      <c r="F793" s="23"/>
      <c r="G793" s="23"/>
      <c r="H793" s="7"/>
      <c r="I793" s="47"/>
      <c r="J793" s="11"/>
      <c r="L793" s="40"/>
      <c r="M793" s="227"/>
      <c r="N793" s="80"/>
    </row>
    <row r="794" spans="1:14" ht="18.75" customHeight="1" x14ac:dyDescent="0.55000000000000004">
      <c r="A794" s="28"/>
      <c r="B794" s="45"/>
      <c r="C794" s="49"/>
      <c r="D794" s="54"/>
      <c r="E794" s="42"/>
      <c r="F794" s="23"/>
      <c r="G794" s="23"/>
      <c r="H794" s="7"/>
      <c r="I794" s="47"/>
      <c r="J794" s="11"/>
      <c r="L794" s="40"/>
      <c r="M794" s="30"/>
    </row>
    <row r="795" spans="1:14" ht="18.75" customHeight="1" x14ac:dyDescent="0.55000000000000004">
      <c r="A795" s="28"/>
      <c r="B795" s="45"/>
      <c r="C795" s="49"/>
      <c r="D795" s="54"/>
      <c r="E795" s="63"/>
      <c r="F795" s="23"/>
      <c r="G795" s="23"/>
      <c r="H795" s="7"/>
      <c r="I795" s="47"/>
      <c r="J795" s="25"/>
      <c r="K795" s="40"/>
      <c r="L795" s="40"/>
      <c r="M795" s="228"/>
    </row>
    <row r="796" spans="1:14" ht="18.75" customHeight="1" x14ac:dyDescent="0.55000000000000004">
      <c r="A796" s="28"/>
      <c r="B796" s="45"/>
      <c r="C796" s="49"/>
      <c r="D796" s="54"/>
      <c r="E796" s="63"/>
      <c r="F796" s="23"/>
      <c r="G796" s="23"/>
      <c r="H796" s="7"/>
      <c r="I796" s="47"/>
      <c r="J796" s="11"/>
      <c r="L796" s="40"/>
      <c r="M796" s="228"/>
    </row>
    <row r="797" spans="1:14" ht="18.75" customHeight="1" x14ac:dyDescent="0.55000000000000004">
      <c r="A797" s="28"/>
      <c r="B797" s="45"/>
      <c r="C797" s="49"/>
      <c r="D797" s="54"/>
      <c r="E797" s="63"/>
      <c r="F797" s="23"/>
      <c r="G797" s="23"/>
      <c r="H797" s="7"/>
      <c r="I797" s="47"/>
      <c r="J797" s="11"/>
      <c r="L797" s="40"/>
      <c r="M797" s="228"/>
    </row>
    <row r="798" spans="1:14" ht="18.75" customHeight="1" x14ac:dyDescent="0.55000000000000004">
      <c r="A798" s="28"/>
      <c r="B798" s="45"/>
      <c r="C798" s="49"/>
      <c r="D798" s="54"/>
      <c r="E798" s="42"/>
      <c r="F798" s="23"/>
      <c r="G798" s="23"/>
      <c r="H798" s="7"/>
      <c r="I798" s="47"/>
      <c r="J798" s="11"/>
      <c r="L798" s="40"/>
      <c r="M798" s="227"/>
      <c r="N798" s="80"/>
    </row>
    <row r="799" spans="1:14" ht="18.75" customHeight="1" x14ac:dyDescent="0.55000000000000004">
      <c r="A799" s="28"/>
      <c r="B799" s="45"/>
      <c r="C799" s="49"/>
      <c r="D799" s="54"/>
      <c r="E799" s="42"/>
      <c r="F799" s="23"/>
      <c r="G799" s="23"/>
      <c r="H799" s="7"/>
      <c r="I799" s="47"/>
      <c r="J799" s="11"/>
      <c r="L799" s="40"/>
      <c r="M799" s="30"/>
    </row>
    <row r="800" spans="1:14" ht="18.75" customHeight="1" x14ac:dyDescent="0.55000000000000004">
      <c r="A800" s="28"/>
      <c r="B800" s="45"/>
      <c r="C800" s="49"/>
      <c r="D800" s="54"/>
      <c r="E800" s="63"/>
      <c r="F800" s="23"/>
      <c r="G800" s="23"/>
      <c r="H800" s="7"/>
      <c r="I800" s="47"/>
      <c r="J800" s="25"/>
      <c r="K800" s="40"/>
      <c r="L800" s="40"/>
      <c r="M800" s="228"/>
    </row>
    <row r="801" spans="1:14" ht="18.75" customHeight="1" x14ac:dyDescent="0.55000000000000004">
      <c r="A801" s="28"/>
      <c r="B801" s="45"/>
      <c r="C801" s="49"/>
      <c r="D801" s="54"/>
      <c r="E801" s="63"/>
      <c r="F801" s="23"/>
      <c r="G801" s="23"/>
      <c r="H801" s="7"/>
      <c r="I801" s="47"/>
      <c r="J801" s="11"/>
      <c r="L801" s="40"/>
      <c r="M801" s="228"/>
    </row>
    <row r="802" spans="1:14" ht="18.75" customHeight="1" x14ac:dyDescent="0.55000000000000004">
      <c r="A802" s="28"/>
      <c r="B802" s="45"/>
      <c r="C802" s="49"/>
      <c r="D802" s="54"/>
      <c r="E802" s="63"/>
      <c r="F802" s="23"/>
      <c r="G802" s="23"/>
      <c r="H802" s="7"/>
      <c r="I802" s="47"/>
      <c r="J802" s="11"/>
      <c r="L802" s="40"/>
      <c r="M802" s="228"/>
    </row>
    <row r="803" spans="1:14" ht="18.75" customHeight="1" x14ac:dyDescent="0.55000000000000004">
      <c r="A803" s="28"/>
      <c r="B803" s="45"/>
      <c r="C803" s="49"/>
      <c r="D803" s="54"/>
      <c r="E803" s="42"/>
      <c r="F803" s="23"/>
      <c r="G803" s="23"/>
      <c r="H803" s="7"/>
      <c r="I803" s="47"/>
      <c r="J803" s="11"/>
      <c r="L803" s="40"/>
      <c r="M803" s="227"/>
      <c r="N803" s="80"/>
    </row>
    <row r="804" spans="1:14" ht="18.75" customHeight="1" x14ac:dyDescent="0.55000000000000004">
      <c r="A804" s="28"/>
      <c r="B804" s="45"/>
      <c r="C804" s="49"/>
      <c r="D804" s="54"/>
      <c r="E804" s="42"/>
      <c r="F804" s="23"/>
      <c r="G804" s="23"/>
      <c r="H804" s="7"/>
      <c r="I804" s="47"/>
      <c r="J804" s="11"/>
      <c r="L804" s="40"/>
      <c r="M804" s="30"/>
    </row>
    <row r="805" spans="1:14" ht="18.75" customHeight="1" x14ac:dyDescent="0.55000000000000004">
      <c r="A805" s="28"/>
      <c r="B805" s="45"/>
      <c r="C805" s="49"/>
      <c r="D805" s="54"/>
      <c r="E805" s="63"/>
      <c r="F805" s="23"/>
      <c r="G805" s="23"/>
      <c r="H805" s="7"/>
      <c r="I805" s="47"/>
      <c r="J805" s="25"/>
      <c r="K805" s="40"/>
      <c r="L805" s="40"/>
      <c r="M805" s="228"/>
    </row>
    <row r="806" spans="1:14" ht="18.75" customHeight="1" x14ac:dyDescent="0.55000000000000004">
      <c r="A806" s="28"/>
      <c r="B806" s="45"/>
      <c r="C806" s="49"/>
      <c r="D806" s="54"/>
      <c r="E806" s="63"/>
      <c r="F806" s="23"/>
      <c r="G806" s="23"/>
      <c r="H806" s="7"/>
      <c r="I806" s="47"/>
      <c r="J806" s="11"/>
      <c r="L806" s="40"/>
      <c r="M806" s="228"/>
    </row>
    <row r="807" spans="1:14" ht="18.75" customHeight="1" x14ac:dyDescent="0.55000000000000004">
      <c r="A807" s="28"/>
      <c r="B807" s="45"/>
      <c r="C807" s="49"/>
      <c r="D807" s="54"/>
      <c r="E807" s="63"/>
      <c r="F807" s="23"/>
      <c r="G807" s="23"/>
      <c r="H807" s="7"/>
      <c r="I807" s="47"/>
      <c r="J807" s="11"/>
      <c r="L807" s="40"/>
      <c r="M807" s="228"/>
    </row>
    <row r="808" spans="1:14" ht="18.75" customHeight="1" x14ac:dyDescent="0.55000000000000004">
      <c r="A808" s="28"/>
      <c r="B808" s="45"/>
      <c r="C808" s="49"/>
      <c r="D808" s="54"/>
      <c r="E808" s="42"/>
      <c r="F808" s="23"/>
      <c r="G808" s="23"/>
      <c r="H808" s="7"/>
      <c r="I808" s="47"/>
      <c r="J808" s="11"/>
      <c r="L808" s="40"/>
      <c r="M808" s="227"/>
      <c r="N808" s="80"/>
    </row>
    <row r="809" spans="1:14" ht="18.75" customHeight="1" x14ac:dyDescent="0.55000000000000004">
      <c r="A809" s="28"/>
      <c r="B809" s="45"/>
      <c r="C809" s="49"/>
      <c r="D809" s="54"/>
      <c r="E809" s="42"/>
      <c r="F809" s="23"/>
      <c r="G809" s="23"/>
      <c r="H809" s="7"/>
      <c r="I809" s="47"/>
      <c r="J809" s="11"/>
      <c r="L809" s="40"/>
      <c r="M809" s="30"/>
    </row>
    <row r="810" spans="1:14" ht="18.75" customHeight="1" x14ac:dyDescent="0.55000000000000004">
      <c r="A810" s="28"/>
      <c r="B810" s="45"/>
      <c r="C810" s="49"/>
      <c r="D810" s="54"/>
      <c r="E810" s="63"/>
      <c r="F810" s="23"/>
      <c r="G810" s="23"/>
      <c r="H810" s="7"/>
      <c r="I810" s="47"/>
      <c r="J810" s="25"/>
      <c r="K810" s="40"/>
      <c r="L810" s="40"/>
      <c r="M810" s="228"/>
    </row>
    <row r="811" spans="1:14" ht="18.75" customHeight="1" x14ac:dyDescent="0.55000000000000004">
      <c r="A811" s="28"/>
      <c r="B811" s="45"/>
      <c r="C811" s="49"/>
      <c r="D811" s="54"/>
      <c r="E811" s="63"/>
      <c r="F811" s="23"/>
      <c r="G811" s="23"/>
      <c r="H811" s="7"/>
      <c r="I811" s="47"/>
      <c r="J811" s="11"/>
      <c r="L811" s="40"/>
      <c r="M811" s="228"/>
    </row>
    <row r="812" spans="1:14" ht="18.75" customHeight="1" x14ac:dyDescent="0.55000000000000004">
      <c r="A812" s="28"/>
      <c r="B812" s="45"/>
      <c r="C812" s="49"/>
      <c r="D812" s="54"/>
      <c r="E812" s="63"/>
      <c r="F812" s="23"/>
      <c r="G812" s="23"/>
      <c r="H812" s="7"/>
      <c r="I812" s="47"/>
      <c r="J812" s="11"/>
      <c r="L812" s="40"/>
      <c r="M812" s="228"/>
    </row>
    <row r="813" spans="1:14" ht="18.75" customHeight="1" x14ac:dyDescent="0.55000000000000004">
      <c r="A813" s="28"/>
      <c r="B813" s="45"/>
      <c r="C813" s="49"/>
      <c r="D813" s="54"/>
      <c r="E813" s="42"/>
      <c r="F813" s="23"/>
      <c r="G813" s="23"/>
      <c r="H813" s="7"/>
      <c r="I813" s="47"/>
      <c r="J813" s="11"/>
      <c r="L813" s="40"/>
      <c r="M813" s="227"/>
      <c r="N813" s="80"/>
    </row>
    <row r="814" spans="1:14" ht="18.75" customHeight="1" x14ac:dyDescent="0.55000000000000004">
      <c r="A814" s="28"/>
      <c r="B814" s="45"/>
      <c r="C814" s="49"/>
      <c r="D814" s="54"/>
      <c r="E814" s="42"/>
      <c r="F814" s="23"/>
      <c r="G814" s="23"/>
      <c r="H814" s="7"/>
      <c r="I814" s="47"/>
      <c r="J814" s="11"/>
      <c r="L814" s="40"/>
      <c r="M814" s="30"/>
    </row>
    <row r="815" spans="1:14" ht="18.75" customHeight="1" x14ac:dyDescent="0.55000000000000004">
      <c r="A815" s="28"/>
      <c r="B815" s="45"/>
      <c r="C815" s="49"/>
      <c r="D815" s="54"/>
      <c r="E815" s="63"/>
      <c r="F815" s="23"/>
      <c r="G815" s="23"/>
      <c r="H815" s="7"/>
      <c r="I815" s="47"/>
      <c r="J815" s="25"/>
      <c r="K815" s="40"/>
      <c r="L815" s="40"/>
      <c r="M815" s="228"/>
    </row>
    <row r="816" spans="1:14" ht="18.75" customHeight="1" x14ac:dyDescent="0.55000000000000004">
      <c r="A816" s="28"/>
      <c r="B816" s="45"/>
      <c r="C816" s="49"/>
      <c r="D816" s="54"/>
      <c r="E816" s="63"/>
      <c r="F816" s="23"/>
      <c r="G816" s="23"/>
      <c r="H816" s="7"/>
      <c r="I816" s="47"/>
      <c r="J816" s="11"/>
      <c r="L816" s="40"/>
      <c r="M816" s="228"/>
    </row>
    <row r="817" spans="1:14" ht="18.75" customHeight="1" x14ac:dyDescent="0.55000000000000004">
      <c r="A817" s="28"/>
      <c r="B817" s="45"/>
      <c r="C817" s="49"/>
      <c r="D817" s="54"/>
      <c r="E817" s="63"/>
      <c r="F817" s="23"/>
      <c r="G817" s="23"/>
      <c r="H817" s="7"/>
      <c r="I817" s="47"/>
      <c r="J817" s="11"/>
      <c r="L817" s="40"/>
      <c r="M817" s="228"/>
    </row>
    <row r="818" spans="1:14" ht="18.75" customHeight="1" x14ac:dyDescent="0.55000000000000004">
      <c r="A818" s="28"/>
      <c r="B818" s="45"/>
      <c r="C818" s="49"/>
      <c r="D818" s="54"/>
      <c r="E818" s="42"/>
      <c r="F818" s="23"/>
      <c r="G818" s="23"/>
      <c r="H818" s="7"/>
      <c r="I818" s="47"/>
      <c r="J818" s="11"/>
      <c r="L818" s="40"/>
      <c r="M818" s="227"/>
      <c r="N818" s="80"/>
    </row>
    <row r="819" spans="1:14" ht="18.75" customHeight="1" x14ac:dyDescent="0.55000000000000004">
      <c r="A819" s="28"/>
      <c r="B819" s="45"/>
      <c r="C819" s="49"/>
      <c r="D819" s="54"/>
      <c r="E819" s="42"/>
      <c r="F819" s="23"/>
      <c r="G819" s="23"/>
      <c r="H819" s="7"/>
      <c r="I819" s="47"/>
      <c r="J819" s="11"/>
      <c r="L819" s="40"/>
      <c r="M819" s="30"/>
    </row>
    <row r="820" spans="1:14" ht="18.75" customHeight="1" x14ac:dyDescent="0.55000000000000004">
      <c r="A820" s="28"/>
      <c r="B820" s="45"/>
      <c r="C820" s="49"/>
      <c r="D820" s="54"/>
      <c r="E820" s="63"/>
      <c r="F820" s="23"/>
      <c r="G820" s="23"/>
      <c r="H820" s="7"/>
      <c r="I820" s="47"/>
      <c r="J820" s="25"/>
      <c r="K820" s="40"/>
      <c r="L820" s="40"/>
      <c r="M820" s="228"/>
    </row>
    <row r="821" spans="1:14" ht="18.75" customHeight="1" x14ac:dyDescent="0.55000000000000004">
      <c r="A821" s="28"/>
      <c r="B821" s="45"/>
      <c r="C821" s="49"/>
      <c r="D821" s="54"/>
      <c r="E821" s="63"/>
      <c r="F821" s="23"/>
      <c r="G821" s="23"/>
      <c r="H821" s="7"/>
      <c r="I821" s="47"/>
      <c r="J821" s="11"/>
      <c r="L821" s="40"/>
      <c r="M821" s="228"/>
    </row>
    <row r="822" spans="1:14" ht="18.75" customHeight="1" x14ac:dyDescent="0.55000000000000004">
      <c r="A822" s="28"/>
      <c r="B822" s="45"/>
      <c r="C822" s="49"/>
      <c r="D822" s="54"/>
      <c r="E822" s="63"/>
      <c r="F822" s="23"/>
      <c r="G822" s="23"/>
      <c r="H822" s="7"/>
      <c r="I822" s="47"/>
      <c r="J822" s="11"/>
      <c r="L822" s="40"/>
      <c r="M822" s="228"/>
    </row>
    <row r="823" spans="1:14" ht="18.75" customHeight="1" x14ac:dyDescent="0.55000000000000004">
      <c r="A823" s="28"/>
      <c r="B823" s="45"/>
      <c r="C823" s="49"/>
      <c r="D823" s="54"/>
      <c r="E823" s="42"/>
      <c r="F823" s="23"/>
      <c r="G823" s="23"/>
      <c r="H823" s="7"/>
      <c r="I823" s="47"/>
      <c r="J823" s="11"/>
      <c r="L823" s="40"/>
      <c r="M823" s="227"/>
      <c r="N823" s="80"/>
    </row>
    <row r="824" spans="1:14" ht="18.75" customHeight="1" x14ac:dyDescent="0.55000000000000004">
      <c r="A824" s="28"/>
      <c r="B824" s="45"/>
      <c r="C824" s="49"/>
      <c r="D824" s="54"/>
      <c r="E824" s="42"/>
      <c r="F824" s="23"/>
      <c r="G824" s="23"/>
      <c r="H824" s="7"/>
      <c r="I824" s="47"/>
      <c r="J824" s="11"/>
      <c r="L824" s="40"/>
      <c r="M824" s="30"/>
    </row>
    <row r="825" spans="1:14" ht="18.75" customHeight="1" x14ac:dyDescent="0.55000000000000004">
      <c r="A825" s="28"/>
      <c r="B825" s="45"/>
      <c r="C825" s="49"/>
      <c r="D825" s="54"/>
      <c r="E825" s="63"/>
      <c r="F825" s="23"/>
      <c r="G825" s="23"/>
      <c r="H825" s="7"/>
      <c r="I825" s="47"/>
      <c r="J825" s="25"/>
      <c r="K825" s="40"/>
      <c r="L825" s="40"/>
      <c r="M825" s="228"/>
    </row>
    <row r="826" spans="1:14" ht="18.75" customHeight="1" x14ac:dyDescent="0.55000000000000004">
      <c r="A826" s="28"/>
      <c r="B826" s="45"/>
      <c r="C826" s="49"/>
      <c r="D826" s="54"/>
      <c r="E826" s="63"/>
      <c r="F826" s="23"/>
      <c r="G826" s="23"/>
      <c r="H826" s="7"/>
      <c r="I826" s="47"/>
      <c r="J826" s="11"/>
      <c r="L826" s="40"/>
      <c r="M826" s="228"/>
    </row>
    <row r="827" spans="1:14" ht="18.75" customHeight="1" x14ac:dyDescent="0.55000000000000004">
      <c r="A827" s="28"/>
      <c r="B827" s="45"/>
      <c r="C827" s="49"/>
      <c r="D827" s="54"/>
      <c r="E827" s="63"/>
      <c r="F827" s="23"/>
      <c r="G827" s="23"/>
      <c r="H827" s="7"/>
      <c r="I827" s="47"/>
      <c r="J827" s="11"/>
      <c r="L827" s="40"/>
      <c r="M827" s="228"/>
    </row>
    <row r="828" spans="1:14" ht="18.75" customHeight="1" x14ac:dyDescent="0.55000000000000004">
      <c r="A828" s="28"/>
      <c r="B828" s="45"/>
      <c r="C828" s="49"/>
      <c r="D828" s="54"/>
      <c r="E828" s="42"/>
      <c r="F828" s="23"/>
      <c r="G828" s="23"/>
      <c r="H828" s="7"/>
      <c r="I828" s="47"/>
      <c r="J828" s="11"/>
      <c r="L828" s="40"/>
      <c r="M828" s="227"/>
      <c r="N828" s="80"/>
    </row>
    <row r="829" spans="1:14" ht="18.75" customHeight="1" x14ac:dyDescent="0.55000000000000004">
      <c r="A829" s="28"/>
      <c r="B829" s="45"/>
      <c r="C829" s="49"/>
      <c r="D829" s="54"/>
      <c r="E829" s="63"/>
      <c r="F829" s="23"/>
      <c r="G829" s="23"/>
      <c r="H829" s="7"/>
      <c r="I829" s="47"/>
      <c r="J829" s="25"/>
      <c r="K829" s="40"/>
      <c r="L829" s="40"/>
      <c r="M829" s="228"/>
    </row>
    <row r="830" spans="1:14" ht="18.75" customHeight="1" x14ac:dyDescent="0.55000000000000004">
      <c r="A830" s="28"/>
      <c r="B830" s="45"/>
      <c r="C830" s="49"/>
      <c r="D830" s="54"/>
      <c r="E830" s="63"/>
      <c r="F830" s="23"/>
      <c r="G830" s="23"/>
      <c r="H830" s="7"/>
      <c r="I830" s="47"/>
      <c r="J830" s="11"/>
      <c r="L830" s="40"/>
      <c r="M830" s="228"/>
    </row>
    <row r="831" spans="1:14" ht="18.75" customHeight="1" x14ac:dyDescent="0.55000000000000004">
      <c r="A831" s="28"/>
      <c r="B831" s="45"/>
      <c r="C831" s="49"/>
      <c r="D831" s="54"/>
      <c r="E831" s="63"/>
      <c r="F831" s="23"/>
      <c r="G831" s="23"/>
      <c r="H831" s="7"/>
      <c r="I831" s="47"/>
      <c r="J831" s="11"/>
      <c r="L831" s="40"/>
      <c r="M831" s="228"/>
    </row>
    <row r="832" spans="1:14" ht="18.75" customHeight="1" x14ac:dyDescent="0.55000000000000004">
      <c r="A832" s="28"/>
      <c r="B832" s="45"/>
      <c r="C832" s="49"/>
      <c r="D832" s="54"/>
      <c r="E832" s="42"/>
      <c r="F832" s="23"/>
      <c r="G832" s="23"/>
      <c r="H832" s="7"/>
      <c r="I832" s="47"/>
      <c r="J832" s="11"/>
      <c r="L832" s="40"/>
      <c r="M832" s="227"/>
      <c r="N832" s="80"/>
    </row>
    <row r="833" spans="1:14" ht="18.75" customHeight="1" x14ac:dyDescent="0.55000000000000004">
      <c r="A833" s="28"/>
      <c r="B833" s="45"/>
      <c r="C833" s="49"/>
      <c r="D833" s="54"/>
      <c r="E833" s="42"/>
      <c r="F833" s="23"/>
      <c r="G833" s="23"/>
      <c r="H833" s="7"/>
      <c r="I833" s="47"/>
      <c r="J833" s="11"/>
      <c r="L833" s="40"/>
      <c r="M833" s="30"/>
    </row>
    <row r="834" spans="1:14" ht="18.75" customHeight="1" x14ac:dyDescent="0.55000000000000004">
      <c r="A834" s="28"/>
      <c r="B834" s="45"/>
      <c r="C834" s="49"/>
      <c r="D834" s="54"/>
      <c r="E834" s="63"/>
      <c r="F834" s="23"/>
      <c r="G834" s="23"/>
      <c r="H834" s="7"/>
      <c r="I834" s="47"/>
      <c r="J834" s="25"/>
      <c r="K834" s="40"/>
      <c r="L834" s="40"/>
      <c r="M834" s="228"/>
    </row>
    <row r="835" spans="1:14" ht="18.75" customHeight="1" x14ac:dyDescent="0.55000000000000004">
      <c r="A835" s="28"/>
      <c r="B835" s="45"/>
      <c r="C835" s="49"/>
      <c r="D835" s="54"/>
      <c r="E835" s="63"/>
      <c r="F835" s="23"/>
      <c r="G835" s="23"/>
      <c r="H835" s="7"/>
      <c r="I835" s="47"/>
      <c r="J835" s="11"/>
      <c r="L835" s="40"/>
      <c r="M835" s="228"/>
    </row>
    <row r="836" spans="1:14" ht="18.75" customHeight="1" x14ac:dyDescent="0.55000000000000004">
      <c r="A836" s="28"/>
      <c r="B836" s="45"/>
      <c r="C836" s="49"/>
      <c r="D836" s="54"/>
      <c r="E836" s="63"/>
      <c r="F836" s="23"/>
      <c r="G836" s="23"/>
      <c r="H836" s="7"/>
      <c r="I836" s="47"/>
      <c r="J836" s="11"/>
      <c r="L836" s="40"/>
      <c r="M836" s="228"/>
    </row>
    <row r="837" spans="1:14" ht="18.75" customHeight="1" x14ac:dyDescent="0.55000000000000004">
      <c r="A837" s="28"/>
      <c r="B837" s="45"/>
      <c r="C837" s="49"/>
      <c r="D837" s="54"/>
      <c r="E837" s="42"/>
      <c r="F837" s="23"/>
      <c r="G837" s="23"/>
      <c r="H837" s="7"/>
      <c r="I837" s="47"/>
      <c r="J837" s="11"/>
      <c r="L837" s="40"/>
      <c r="M837" s="227"/>
      <c r="N837" s="80"/>
    </row>
    <row r="838" spans="1:14" ht="18.75" customHeight="1" x14ac:dyDescent="0.55000000000000004">
      <c r="A838" s="28"/>
      <c r="B838" s="45"/>
      <c r="C838" s="49"/>
      <c r="D838" s="54"/>
      <c r="E838" s="42"/>
      <c r="F838" s="23"/>
      <c r="G838" s="23"/>
      <c r="H838" s="7"/>
      <c r="I838" s="47"/>
      <c r="J838" s="11"/>
      <c r="L838" s="40"/>
      <c r="M838" s="30"/>
    </row>
    <row r="839" spans="1:14" ht="18.75" customHeight="1" x14ac:dyDescent="0.55000000000000004">
      <c r="A839" s="28"/>
      <c r="B839" s="45"/>
      <c r="C839" s="49"/>
      <c r="D839" s="54"/>
      <c r="E839" s="63"/>
      <c r="F839" s="23"/>
      <c r="G839" s="23"/>
      <c r="H839" s="7"/>
      <c r="I839" s="47"/>
      <c r="J839" s="25"/>
      <c r="K839" s="40"/>
      <c r="L839" s="40"/>
      <c r="M839" s="228"/>
    </row>
    <row r="840" spans="1:14" ht="18.75" customHeight="1" x14ac:dyDescent="0.55000000000000004">
      <c r="A840" s="28"/>
      <c r="B840" s="45"/>
      <c r="C840" s="49"/>
      <c r="D840" s="54"/>
      <c r="E840" s="63"/>
      <c r="F840" s="23"/>
      <c r="G840" s="23"/>
      <c r="H840" s="7"/>
      <c r="I840" s="47"/>
      <c r="J840" s="11"/>
      <c r="L840" s="40"/>
      <c r="M840" s="228"/>
    </row>
    <row r="841" spans="1:14" ht="18.75" customHeight="1" x14ac:dyDescent="0.55000000000000004">
      <c r="A841" s="28"/>
      <c r="B841" s="45"/>
      <c r="C841" s="49"/>
      <c r="D841" s="54"/>
      <c r="E841" s="63"/>
      <c r="F841" s="23"/>
      <c r="G841" s="23"/>
      <c r="H841" s="7"/>
      <c r="I841" s="47"/>
      <c r="J841" s="11"/>
      <c r="L841" s="40"/>
      <c r="M841" s="228"/>
    </row>
    <row r="842" spans="1:14" ht="18.75" customHeight="1" x14ac:dyDescent="0.55000000000000004">
      <c r="A842" s="28"/>
      <c r="B842" s="45"/>
      <c r="C842" s="49"/>
      <c r="D842" s="54"/>
      <c r="E842" s="42"/>
      <c r="F842" s="23"/>
      <c r="G842" s="23"/>
      <c r="H842" s="7"/>
      <c r="I842" s="47"/>
      <c r="J842" s="11"/>
      <c r="L842" s="40"/>
      <c r="M842" s="227"/>
      <c r="N842" s="80"/>
    </row>
    <row r="843" spans="1:14" ht="18.75" customHeight="1" x14ac:dyDescent="0.55000000000000004">
      <c r="A843" s="28"/>
      <c r="B843" s="45"/>
      <c r="C843" s="49"/>
      <c r="D843" s="54"/>
      <c r="E843" s="42"/>
      <c r="F843" s="23"/>
      <c r="G843" s="23"/>
      <c r="H843" s="7"/>
      <c r="I843" s="47"/>
      <c r="J843" s="11"/>
      <c r="L843" s="40"/>
      <c r="M843" s="30"/>
    </row>
    <row r="844" spans="1:14" ht="18.75" customHeight="1" x14ac:dyDescent="0.55000000000000004">
      <c r="A844" s="28"/>
      <c r="B844" s="45"/>
      <c r="C844" s="49"/>
      <c r="D844" s="54"/>
      <c r="E844" s="63"/>
      <c r="F844" s="23"/>
      <c r="G844" s="23"/>
      <c r="H844" s="7"/>
      <c r="I844" s="47"/>
      <c r="J844" s="25"/>
      <c r="K844" s="40"/>
      <c r="L844" s="40"/>
      <c r="M844" s="228"/>
    </row>
    <row r="845" spans="1:14" ht="18.75" customHeight="1" x14ac:dyDescent="0.55000000000000004">
      <c r="A845" s="28"/>
      <c r="B845" s="45"/>
      <c r="C845" s="49"/>
      <c r="D845" s="54"/>
      <c r="E845" s="63"/>
      <c r="F845" s="23"/>
      <c r="G845" s="23"/>
      <c r="H845" s="7"/>
      <c r="I845" s="47"/>
      <c r="J845" s="11"/>
      <c r="L845" s="40"/>
      <c r="M845" s="228"/>
    </row>
    <row r="846" spans="1:14" ht="18.75" customHeight="1" x14ac:dyDescent="0.55000000000000004">
      <c r="A846" s="28"/>
      <c r="B846" s="45"/>
      <c r="C846" s="49"/>
      <c r="D846" s="54"/>
      <c r="E846" s="63"/>
      <c r="F846" s="23"/>
      <c r="G846" s="23"/>
      <c r="H846" s="7"/>
      <c r="I846" s="47"/>
      <c r="J846" s="11"/>
      <c r="L846" s="40"/>
      <c r="M846" s="228"/>
    </row>
    <row r="847" spans="1:14" ht="18.75" customHeight="1" x14ac:dyDescent="0.55000000000000004">
      <c r="A847" s="28"/>
      <c r="B847" s="45"/>
      <c r="C847" s="49"/>
      <c r="D847" s="54"/>
      <c r="E847" s="42"/>
      <c r="F847" s="23"/>
      <c r="G847" s="23"/>
      <c r="H847" s="7"/>
      <c r="I847" s="47"/>
      <c r="J847" s="11"/>
      <c r="L847" s="40"/>
      <c r="M847" s="227"/>
      <c r="N847" s="80"/>
    </row>
    <row r="848" spans="1:14" ht="18.75" customHeight="1" x14ac:dyDescent="0.55000000000000004">
      <c r="A848" s="28"/>
      <c r="B848" s="45"/>
      <c r="C848" s="49"/>
      <c r="D848" s="54"/>
      <c r="E848" s="42"/>
      <c r="F848" s="23"/>
      <c r="G848" s="23"/>
      <c r="H848" s="7"/>
      <c r="I848" s="47"/>
      <c r="J848" s="11"/>
      <c r="L848" s="40"/>
      <c r="M848" s="30"/>
    </row>
    <row r="849" spans="1:14" ht="18.75" customHeight="1" x14ac:dyDescent="0.55000000000000004">
      <c r="A849" s="28"/>
      <c r="B849" s="45"/>
      <c r="C849" s="49"/>
      <c r="D849" s="54"/>
      <c r="E849" s="63"/>
      <c r="F849" s="23"/>
      <c r="G849" s="23"/>
      <c r="H849" s="7"/>
      <c r="I849" s="47"/>
      <c r="J849" s="25"/>
      <c r="K849" s="40"/>
      <c r="L849" s="40"/>
      <c r="M849" s="228"/>
    </row>
    <row r="850" spans="1:14" ht="18.75" customHeight="1" x14ac:dyDescent="0.55000000000000004">
      <c r="A850" s="28"/>
      <c r="B850" s="45"/>
      <c r="C850" s="49"/>
      <c r="D850" s="54"/>
      <c r="E850" s="63"/>
      <c r="F850" s="23"/>
      <c r="G850" s="23"/>
      <c r="H850" s="7"/>
      <c r="I850" s="47"/>
      <c r="J850" s="11"/>
      <c r="L850" s="40"/>
      <c r="M850" s="228"/>
    </row>
    <row r="851" spans="1:14" ht="18.75" customHeight="1" x14ac:dyDescent="0.55000000000000004">
      <c r="A851" s="28"/>
      <c r="B851" s="45"/>
      <c r="C851" s="49"/>
      <c r="D851" s="54"/>
      <c r="E851" s="63"/>
      <c r="F851" s="23"/>
      <c r="G851" s="23"/>
      <c r="H851" s="7"/>
      <c r="I851" s="47"/>
      <c r="J851" s="11"/>
      <c r="L851" s="40"/>
      <c r="M851" s="228"/>
    </row>
    <row r="852" spans="1:14" ht="18.75" customHeight="1" x14ac:dyDescent="0.55000000000000004">
      <c r="A852" s="28"/>
      <c r="B852" s="45"/>
      <c r="C852" s="49"/>
      <c r="D852" s="54"/>
      <c r="E852" s="42"/>
      <c r="F852" s="23"/>
      <c r="G852" s="23"/>
      <c r="H852" s="7"/>
      <c r="I852" s="47"/>
      <c r="J852" s="11"/>
      <c r="L852" s="40"/>
      <c r="M852" s="227"/>
      <c r="N852" s="80"/>
    </row>
    <row r="853" spans="1:14" ht="18.75" customHeight="1" x14ac:dyDescent="0.55000000000000004">
      <c r="A853" s="28"/>
      <c r="B853" s="45"/>
      <c r="C853" s="49"/>
      <c r="D853" s="54"/>
      <c r="E853" s="42"/>
      <c r="F853" s="23"/>
      <c r="G853" s="23"/>
      <c r="H853" s="7"/>
      <c r="I853" s="47"/>
      <c r="J853" s="11"/>
      <c r="L853" s="40"/>
      <c r="M853" s="30"/>
    </row>
    <row r="854" spans="1:14" ht="18.75" customHeight="1" x14ac:dyDescent="0.55000000000000004">
      <c r="A854" s="28"/>
      <c r="B854" s="45"/>
      <c r="C854" s="49"/>
      <c r="D854" s="54"/>
      <c r="E854" s="63"/>
      <c r="F854" s="23"/>
      <c r="G854" s="23"/>
      <c r="H854" s="7"/>
      <c r="I854" s="47"/>
      <c r="J854" s="25"/>
      <c r="K854" s="40"/>
      <c r="L854" s="40"/>
      <c r="M854" s="228"/>
    </row>
    <row r="855" spans="1:14" ht="18.75" customHeight="1" x14ac:dyDescent="0.55000000000000004">
      <c r="A855" s="28"/>
      <c r="B855" s="45"/>
      <c r="C855" s="49"/>
      <c r="D855" s="54"/>
      <c r="E855" s="63"/>
      <c r="F855" s="23"/>
      <c r="G855" s="23"/>
      <c r="H855" s="7"/>
      <c r="I855" s="47"/>
      <c r="J855" s="11"/>
      <c r="L855" s="40"/>
      <c r="M855" s="228"/>
    </row>
    <row r="856" spans="1:14" ht="18.75" customHeight="1" x14ac:dyDescent="0.55000000000000004">
      <c r="A856" s="28"/>
      <c r="B856" s="45"/>
      <c r="C856" s="49"/>
      <c r="D856" s="54"/>
      <c r="E856" s="63"/>
      <c r="F856" s="23"/>
      <c r="G856" s="23"/>
      <c r="H856" s="7"/>
      <c r="I856" s="47"/>
      <c r="J856" s="11"/>
      <c r="L856" s="40"/>
      <c r="M856" s="228"/>
    </row>
    <row r="857" spans="1:14" ht="18.75" customHeight="1" x14ac:dyDescent="0.55000000000000004">
      <c r="A857" s="28"/>
      <c r="B857" s="45"/>
      <c r="C857" s="49"/>
      <c r="D857" s="54"/>
      <c r="E857" s="42"/>
      <c r="F857" s="23"/>
      <c r="G857" s="23"/>
      <c r="H857" s="7"/>
      <c r="I857" s="47"/>
      <c r="J857" s="11"/>
      <c r="L857" s="40"/>
      <c r="M857" s="227"/>
      <c r="N857" s="80"/>
    </row>
    <row r="858" spans="1:14" ht="18.75" customHeight="1" x14ac:dyDescent="0.55000000000000004">
      <c r="A858" s="28"/>
      <c r="B858" s="45"/>
      <c r="C858" s="49"/>
      <c r="D858" s="54"/>
      <c r="E858" s="42"/>
      <c r="F858" s="23"/>
      <c r="G858" s="23"/>
      <c r="H858" s="7"/>
      <c r="I858" s="47"/>
      <c r="J858" s="11"/>
      <c r="L858" s="40"/>
      <c r="M858" s="30"/>
    </row>
    <row r="859" spans="1:14" ht="18.75" customHeight="1" x14ac:dyDescent="0.55000000000000004">
      <c r="A859" s="28"/>
      <c r="B859" s="45"/>
      <c r="C859" s="49"/>
      <c r="D859" s="54"/>
      <c r="E859" s="63"/>
      <c r="F859" s="23"/>
      <c r="G859" s="23"/>
      <c r="H859" s="7"/>
      <c r="I859" s="47"/>
      <c r="J859" s="25"/>
      <c r="K859" s="40"/>
      <c r="L859" s="40"/>
      <c r="M859" s="228"/>
    </row>
    <row r="860" spans="1:14" ht="18.75" customHeight="1" x14ac:dyDescent="0.55000000000000004">
      <c r="A860" s="28"/>
      <c r="B860" s="45"/>
      <c r="C860" s="49"/>
      <c r="D860" s="54"/>
      <c r="E860" s="63"/>
      <c r="F860" s="23"/>
      <c r="G860" s="23"/>
      <c r="H860" s="7"/>
      <c r="I860" s="47"/>
      <c r="J860" s="11"/>
      <c r="L860" s="40"/>
      <c r="M860" s="228"/>
    </row>
    <row r="861" spans="1:14" ht="18.75" customHeight="1" x14ac:dyDescent="0.55000000000000004">
      <c r="A861" s="28"/>
      <c r="B861" s="45"/>
      <c r="C861" s="49"/>
      <c r="D861" s="54"/>
      <c r="E861" s="63"/>
      <c r="F861" s="23"/>
      <c r="G861" s="23"/>
      <c r="H861" s="7"/>
      <c r="I861" s="47"/>
      <c r="J861" s="11"/>
      <c r="L861" s="40"/>
      <c r="M861" s="228"/>
    </row>
    <row r="862" spans="1:14" ht="18.75" customHeight="1" x14ac:dyDescent="0.55000000000000004">
      <c r="A862" s="28"/>
      <c r="B862" s="45"/>
      <c r="C862" s="49"/>
      <c r="D862" s="54"/>
      <c r="E862" s="42"/>
      <c r="F862" s="23"/>
      <c r="G862" s="23"/>
      <c r="H862" s="7"/>
      <c r="I862" s="47"/>
      <c r="J862" s="11"/>
      <c r="L862" s="40"/>
      <c r="M862" s="227"/>
      <c r="N862" s="80"/>
    </row>
    <row r="863" spans="1:14" ht="18.75" customHeight="1" x14ac:dyDescent="0.55000000000000004">
      <c r="A863" s="28"/>
      <c r="B863" s="45"/>
      <c r="C863" s="49"/>
      <c r="D863" s="54"/>
      <c r="E863" s="42"/>
      <c r="F863" s="23"/>
      <c r="G863" s="23"/>
      <c r="H863" s="7"/>
      <c r="I863" s="47"/>
      <c r="J863" s="11"/>
      <c r="L863" s="40"/>
      <c r="M863" s="30"/>
    </row>
    <row r="864" spans="1:14" ht="18.75" customHeight="1" x14ac:dyDescent="0.55000000000000004">
      <c r="A864" s="28"/>
      <c r="B864" s="45"/>
      <c r="C864" s="49"/>
      <c r="D864" s="54"/>
      <c r="E864" s="63"/>
      <c r="F864" s="23"/>
      <c r="G864" s="23"/>
      <c r="H864" s="7"/>
      <c r="I864" s="47"/>
      <c r="J864" s="25"/>
      <c r="K864" s="40"/>
      <c r="L864" s="40"/>
      <c r="M864" s="228"/>
    </row>
    <row r="865" spans="1:14" ht="18.75" customHeight="1" x14ac:dyDescent="0.55000000000000004">
      <c r="A865" s="28"/>
      <c r="B865" s="45"/>
      <c r="C865" s="49"/>
      <c r="D865" s="54"/>
      <c r="E865" s="63"/>
      <c r="F865" s="23"/>
      <c r="G865" s="23"/>
      <c r="H865" s="7"/>
      <c r="I865" s="47"/>
      <c r="J865" s="11"/>
      <c r="L865" s="40"/>
      <c r="M865" s="228"/>
    </row>
    <row r="866" spans="1:14" ht="18.75" customHeight="1" x14ac:dyDescent="0.55000000000000004">
      <c r="A866" s="28"/>
      <c r="B866" s="45"/>
      <c r="C866" s="49"/>
      <c r="D866" s="54"/>
      <c r="E866" s="63"/>
      <c r="F866" s="23"/>
      <c r="G866" s="23"/>
      <c r="H866" s="7"/>
      <c r="I866" s="47"/>
      <c r="J866" s="11"/>
      <c r="L866" s="40"/>
      <c r="M866" s="228"/>
    </row>
    <row r="867" spans="1:14" ht="18.75" customHeight="1" x14ac:dyDescent="0.55000000000000004">
      <c r="A867" s="28"/>
      <c r="B867" s="45"/>
      <c r="C867" s="49"/>
      <c r="D867" s="54"/>
      <c r="E867" s="42"/>
      <c r="F867" s="23"/>
      <c r="G867" s="23"/>
      <c r="H867" s="7"/>
      <c r="I867" s="47"/>
      <c r="J867" s="11"/>
      <c r="L867" s="40"/>
      <c r="M867" s="227"/>
      <c r="N867" s="80"/>
    </row>
    <row r="868" spans="1:14" ht="18.75" customHeight="1" x14ac:dyDescent="0.55000000000000004">
      <c r="A868" s="28"/>
      <c r="B868" s="45"/>
      <c r="C868" s="49"/>
      <c r="D868" s="54"/>
      <c r="E868" s="42"/>
      <c r="F868" s="23"/>
      <c r="G868" s="23"/>
      <c r="H868" s="7"/>
      <c r="I868" s="47"/>
      <c r="J868" s="11"/>
      <c r="L868" s="40"/>
      <c r="M868" s="30"/>
    </row>
    <row r="869" spans="1:14" ht="18.75" customHeight="1" x14ac:dyDescent="0.55000000000000004">
      <c r="A869" s="28"/>
      <c r="B869" s="45"/>
      <c r="C869" s="49"/>
      <c r="D869" s="54"/>
      <c r="E869" s="63"/>
      <c r="F869" s="23"/>
      <c r="G869" s="23"/>
      <c r="H869" s="7"/>
      <c r="I869" s="47"/>
      <c r="J869" s="25"/>
      <c r="K869" s="40"/>
      <c r="L869" s="40"/>
      <c r="M869" s="228"/>
    </row>
    <row r="870" spans="1:14" ht="18.75" customHeight="1" x14ac:dyDescent="0.55000000000000004">
      <c r="A870" s="28"/>
      <c r="B870" s="45"/>
      <c r="C870" s="49"/>
      <c r="D870" s="54"/>
      <c r="E870" s="63"/>
      <c r="F870" s="23"/>
      <c r="G870" s="23"/>
      <c r="H870" s="7"/>
      <c r="I870" s="47"/>
      <c r="J870" s="11"/>
      <c r="L870" s="40"/>
      <c r="M870" s="228"/>
    </row>
    <row r="871" spans="1:14" ht="18.75" customHeight="1" x14ac:dyDescent="0.55000000000000004">
      <c r="A871" s="28"/>
      <c r="B871" s="45"/>
      <c r="C871" s="49"/>
      <c r="D871" s="54"/>
      <c r="E871" s="63"/>
      <c r="F871" s="23"/>
      <c r="G871" s="23"/>
      <c r="H871" s="7"/>
      <c r="I871" s="47"/>
      <c r="J871" s="11"/>
      <c r="L871" s="40"/>
      <c r="M871" s="228"/>
    </row>
    <row r="872" spans="1:14" ht="18.75" customHeight="1" x14ac:dyDescent="0.55000000000000004">
      <c r="A872" s="28"/>
      <c r="B872" s="45"/>
      <c r="C872" s="49"/>
      <c r="D872" s="54"/>
      <c r="E872" s="42"/>
      <c r="F872" s="23"/>
      <c r="G872" s="23"/>
      <c r="H872" s="7"/>
      <c r="I872" s="47"/>
      <c r="J872" s="11"/>
      <c r="L872" s="40"/>
      <c r="M872" s="227"/>
      <c r="N872" s="80"/>
    </row>
    <row r="873" spans="1:14" ht="18.75" customHeight="1" x14ac:dyDescent="0.55000000000000004">
      <c r="A873" s="28"/>
      <c r="B873" s="45"/>
      <c r="C873" s="49"/>
      <c r="D873" s="54"/>
      <c r="E873" s="42"/>
      <c r="F873" s="23"/>
      <c r="G873" s="23"/>
      <c r="H873" s="7"/>
      <c r="I873" s="47"/>
      <c r="J873" s="11"/>
      <c r="L873" s="40"/>
      <c r="M873" s="30"/>
    </row>
    <row r="874" spans="1:14" ht="18.75" customHeight="1" x14ac:dyDescent="0.55000000000000004">
      <c r="A874" s="28"/>
      <c r="B874" s="45"/>
      <c r="C874" s="49"/>
      <c r="D874" s="54"/>
      <c r="E874" s="63"/>
      <c r="F874" s="23"/>
      <c r="G874" s="23"/>
      <c r="H874" s="7"/>
      <c r="I874" s="47"/>
      <c r="J874" s="25"/>
      <c r="K874" s="40"/>
      <c r="L874" s="40"/>
      <c r="M874" s="228"/>
    </row>
    <row r="875" spans="1:14" ht="18.75" customHeight="1" x14ac:dyDescent="0.55000000000000004">
      <c r="A875" s="28"/>
      <c r="B875" s="45"/>
      <c r="C875" s="49"/>
      <c r="D875" s="54"/>
      <c r="E875" s="63"/>
      <c r="F875" s="23"/>
      <c r="G875" s="23"/>
      <c r="H875" s="7"/>
      <c r="I875" s="47"/>
      <c r="J875" s="11"/>
      <c r="L875" s="40"/>
      <c r="M875" s="228"/>
    </row>
    <row r="876" spans="1:14" ht="18.75" customHeight="1" x14ac:dyDescent="0.55000000000000004">
      <c r="A876" s="28"/>
      <c r="B876" s="45"/>
      <c r="C876" s="49"/>
      <c r="D876" s="54"/>
      <c r="E876" s="63"/>
      <c r="F876" s="23"/>
      <c r="G876" s="23"/>
      <c r="H876" s="7"/>
      <c r="I876" s="47"/>
      <c r="J876" s="11"/>
      <c r="L876" s="40"/>
      <c r="M876" s="228"/>
    </row>
    <row r="877" spans="1:14" ht="18.75" customHeight="1" x14ac:dyDescent="0.55000000000000004">
      <c r="A877" s="28"/>
      <c r="B877" s="45"/>
      <c r="C877" s="49"/>
      <c r="D877" s="54"/>
      <c r="E877" s="42"/>
      <c r="F877" s="23"/>
      <c r="G877" s="23"/>
      <c r="H877" s="7"/>
      <c r="I877" s="47"/>
      <c r="J877" s="11"/>
      <c r="L877" s="40"/>
      <c r="M877" s="227"/>
      <c r="N877" s="80"/>
    </row>
    <row r="878" spans="1:14" ht="18.75" customHeight="1" x14ac:dyDescent="0.55000000000000004">
      <c r="A878" s="28"/>
      <c r="B878" s="45"/>
      <c r="C878" s="49"/>
      <c r="D878" s="54"/>
      <c r="E878" s="42"/>
      <c r="F878" s="23"/>
      <c r="G878" s="23"/>
      <c r="H878" s="7"/>
      <c r="I878" s="47"/>
      <c r="J878" s="11"/>
      <c r="L878" s="40"/>
      <c r="M878" s="30"/>
    </row>
    <row r="879" spans="1:14" ht="18.75" customHeight="1" x14ac:dyDescent="0.55000000000000004">
      <c r="A879" s="28"/>
      <c r="B879" s="45"/>
      <c r="C879" s="49"/>
      <c r="D879" s="54"/>
      <c r="E879" s="63"/>
      <c r="F879" s="23"/>
      <c r="G879" s="23"/>
      <c r="H879" s="7"/>
      <c r="I879" s="47"/>
      <c r="J879" s="25"/>
      <c r="K879" s="40"/>
      <c r="L879" s="40"/>
      <c r="M879" s="228"/>
    </row>
    <row r="880" spans="1:14" ht="18.75" customHeight="1" x14ac:dyDescent="0.55000000000000004">
      <c r="A880" s="28"/>
      <c r="B880" s="45"/>
      <c r="C880" s="49"/>
      <c r="D880" s="54"/>
      <c r="E880" s="63"/>
      <c r="F880" s="23"/>
      <c r="G880" s="23"/>
      <c r="H880" s="7"/>
      <c r="I880" s="47"/>
      <c r="J880" s="11"/>
      <c r="L880" s="40"/>
      <c r="M880" s="228"/>
    </row>
    <row r="881" spans="1:14" ht="18.75" customHeight="1" x14ac:dyDescent="0.55000000000000004">
      <c r="A881" s="28"/>
      <c r="B881" s="45"/>
      <c r="C881" s="49"/>
      <c r="D881" s="54"/>
      <c r="E881" s="63"/>
      <c r="F881" s="23"/>
      <c r="G881" s="23"/>
      <c r="H881" s="7"/>
      <c r="I881" s="47"/>
      <c r="J881" s="11"/>
      <c r="L881" s="40"/>
      <c r="M881" s="228"/>
    </row>
    <row r="882" spans="1:14" ht="18.75" customHeight="1" x14ac:dyDescent="0.55000000000000004">
      <c r="A882" s="28"/>
      <c r="B882" s="45"/>
      <c r="C882" s="49"/>
      <c r="D882" s="54"/>
      <c r="E882" s="42"/>
      <c r="F882" s="23"/>
      <c r="G882" s="23"/>
      <c r="H882" s="7"/>
      <c r="I882" s="47"/>
      <c r="J882" s="11"/>
      <c r="L882" s="40"/>
      <c r="M882" s="227"/>
      <c r="N882" s="80"/>
    </row>
    <row r="883" spans="1:14" ht="18.75" customHeight="1" x14ac:dyDescent="0.55000000000000004">
      <c r="A883" s="28"/>
      <c r="B883" s="45"/>
      <c r="C883" s="49"/>
      <c r="D883" s="54"/>
      <c r="E883" s="42"/>
      <c r="F883" s="23"/>
      <c r="G883" s="23"/>
      <c r="H883" s="7"/>
      <c r="I883" s="47"/>
      <c r="J883" s="11"/>
      <c r="L883" s="40"/>
      <c r="M883" s="30"/>
    </row>
    <row r="884" spans="1:14" ht="18.75" customHeight="1" x14ac:dyDescent="0.55000000000000004">
      <c r="A884" s="28"/>
      <c r="B884" s="45"/>
      <c r="C884" s="49"/>
      <c r="D884" s="54"/>
      <c r="E884" s="63"/>
      <c r="F884" s="23"/>
      <c r="G884" s="23"/>
      <c r="H884" s="7"/>
      <c r="I884" s="47"/>
      <c r="J884" s="25"/>
      <c r="K884" s="40"/>
      <c r="L884" s="40"/>
      <c r="M884" s="228"/>
    </row>
    <row r="885" spans="1:14" ht="18.75" customHeight="1" x14ac:dyDescent="0.55000000000000004">
      <c r="A885" s="28"/>
      <c r="B885" s="45"/>
      <c r="C885" s="49"/>
      <c r="D885" s="54"/>
      <c r="E885" s="63"/>
      <c r="F885" s="23"/>
      <c r="G885" s="23"/>
      <c r="H885" s="7"/>
      <c r="I885" s="47"/>
      <c r="J885" s="11"/>
      <c r="L885" s="40"/>
      <c r="M885" s="228"/>
    </row>
    <row r="886" spans="1:14" ht="18.75" customHeight="1" x14ac:dyDescent="0.55000000000000004">
      <c r="A886" s="28"/>
      <c r="B886" s="45"/>
      <c r="C886" s="49"/>
      <c r="D886" s="54"/>
      <c r="E886" s="63"/>
      <c r="F886" s="23"/>
      <c r="G886" s="23"/>
      <c r="H886" s="7"/>
      <c r="I886" s="47"/>
      <c r="J886" s="11"/>
      <c r="L886" s="40"/>
      <c r="M886" s="228"/>
    </row>
    <row r="887" spans="1:14" ht="18.75" customHeight="1" x14ac:dyDescent="0.55000000000000004">
      <c r="A887" s="28"/>
      <c r="B887" s="45"/>
      <c r="C887" s="49"/>
      <c r="D887" s="54"/>
      <c r="E887" s="42"/>
      <c r="F887" s="23"/>
      <c r="G887" s="23"/>
      <c r="H887" s="7"/>
      <c r="I887" s="47"/>
      <c r="J887" s="11"/>
      <c r="L887" s="40"/>
      <c r="M887" s="227"/>
      <c r="N887" s="80"/>
    </row>
    <row r="888" spans="1:14" ht="18.75" customHeight="1" x14ac:dyDescent="0.55000000000000004">
      <c r="A888" s="28"/>
      <c r="B888" s="45"/>
      <c r="C888" s="49"/>
      <c r="D888" s="54"/>
      <c r="E888" s="42"/>
      <c r="F888" s="23"/>
      <c r="G888" s="23"/>
      <c r="H888" s="7"/>
      <c r="I888" s="47"/>
      <c r="J888" s="11"/>
      <c r="L888" s="40"/>
      <c r="M888" s="30"/>
    </row>
    <row r="889" spans="1:14" ht="18.75" customHeight="1" x14ac:dyDescent="0.55000000000000004">
      <c r="A889" s="28"/>
      <c r="B889" s="45"/>
      <c r="C889" s="49"/>
      <c r="D889" s="54"/>
      <c r="E889" s="63"/>
      <c r="F889" s="23"/>
      <c r="G889" s="23"/>
      <c r="H889" s="7"/>
      <c r="I889" s="47"/>
      <c r="J889" s="25"/>
      <c r="K889" s="40"/>
      <c r="L889" s="40"/>
      <c r="M889" s="228"/>
    </row>
    <row r="890" spans="1:14" ht="18.75" customHeight="1" x14ac:dyDescent="0.55000000000000004">
      <c r="A890" s="28"/>
      <c r="B890" s="45"/>
      <c r="C890" s="49"/>
      <c r="D890" s="54"/>
      <c r="E890" s="63"/>
      <c r="F890" s="23"/>
      <c r="G890" s="23"/>
      <c r="H890" s="7"/>
      <c r="I890" s="47"/>
      <c r="J890" s="11"/>
      <c r="L890" s="40"/>
      <c r="M890" s="228"/>
    </row>
    <row r="891" spans="1:14" ht="18.75" customHeight="1" x14ac:dyDescent="0.55000000000000004">
      <c r="A891" s="28"/>
      <c r="B891" s="45"/>
      <c r="C891" s="49"/>
      <c r="D891" s="54"/>
      <c r="E891" s="63"/>
      <c r="F891" s="23"/>
      <c r="G891" s="23"/>
      <c r="H891" s="7"/>
      <c r="I891" s="47"/>
      <c r="J891" s="11"/>
      <c r="L891" s="40"/>
      <c r="M891" s="228"/>
    </row>
    <row r="892" spans="1:14" ht="18.75" customHeight="1" x14ac:dyDescent="0.55000000000000004">
      <c r="A892" s="28"/>
      <c r="B892" s="45"/>
      <c r="C892" s="49"/>
      <c r="D892" s="54"/>
      <c r="E892" s="42"/>
      <c r="F892" s="23"/>
      <c r="G892" s="23"/>
      <c r="H892" s="7"/>
      <c r="I892" s="47"/>
      <c r="J892" s="11"/>
      <c r="L892" s="40"/>
      <c r="M892" s="227"/>
      <c r="N892" s="80"/>
    </row>
    <row r="893" spans="1:14" ht="18.75" customHeight="1" x14ac:dyDescent="0.55000000000000004">
      <c r="A893" s="28"/>
      <c r="B893" s="45"/>
      <c r="C893" s="49"/>
      <c r="D893" s="54"/>
      <c r="E893" s="42"/>
      <c r="F893" s="23"/>
      <c r="G893" s="23"/>
      <c r="H893" s="7"/>
      <c r="I893" s="47"/>
      <c r="J893" s="11"/>
      <c r="L893" s="40"/>
      <c r="M893" s="30"/>
    </row>
    <row r="894" spans="1:14" ht="18.75" customHeight="1" x14ac:dyDescent="0.55000000000000004">
      <c r="A894" s="28"/>
      <c r="B894" s="45"/>
      <c r="C894" s="49"/>
      <c r="D894" s="54"/>
      <c r="E894" s="63"/>
      <c r="F894" s="23"/>
      <c r="G894" s="23"/>
      <c r="H894" s="7"/>
      <c r="I894" s="47"/>
      <c r="J894" s="25"/>
      <c r="K894" s="40"/>
      <c r="L894" s="40"/>
      <c r="M894" s="228"/>
    </row>
    <row r="895" spans="1:14" ht="18.75" customHeight="1" x14ac:dyDescent="0.55000000000000004">
      <c r="A895" s="28"/>
      <c r="B895" s="45"/>
      <c r="C895" s="49"/>
      <c r="D895" s="54"/>
      <c r="E895" s="63"/>
      <c r="F895" s="23"/>
      <c r="G895" s="23"/>
      <c r="H895" s="7"/>
      <c r="I895" s="47"/>
      <c r="J895" s="11"/>
      <c r="L895" s="40"/>
      <c r="M895" s="228"/>
    </row>
    <row r="896" spans="1:14" ht="18.75" customHeight="1" x14ac:dyDescent="0.55000000000000004">
      <c r="A896" s="28"/>
      <c r="B896" s="45"/>
      <c r="C896" s="49"/>
      <c r="D896" s="54"/>
      <c r="E896" s="63"/>
      <c r="F896" s="23"/>
      <c r="G896" s="23"/>
      <c r="H896" s="7"/>
      <c r="I896" s="47"/>
      <c r="J896" s="11"/>
      <c r="L896" s="40"/>
      <c r="M896" s="228"/>
    </row>
    <row r="897" spans="1:14" ht="18.75" customHeight="1" x14ac:dyDescent="0.55000000000000004">
      <c r="A897" s="28"/>
      <c r="B897" s="45"/>
      <c r="C897" s="49"/>
      <c r="D897" s="54"/>
      <c r="E897" s="42"/>
      <c r="F897" s="23"/>
      <c r="G897" s="23"/>
      <c r="H897" s="7"/>
      <c r="I897" s="47"/>
      <c r="J897" s="11"/>
      <c r="L897" s="40"/>
      <c r="M897" s="227"/>
      <c r="N897" s="80"/>
    </row>
    <row r="898" spans="1:14" ht="18.75" customHeight="1" x14ac:dyDescent="0.55000000000000004">
      <c r="A898" s="28"/>
      <c r="B898" s="45"/>
      <c r="C898" s="49"/>
      <c r="D898" s="54"/>
      <c r="E898" s="42"/>
      <c r="F898" s="23"/>
      <c r="G898" s="23"/>
      <c r="H898" s="7"/>
      <c r="I898" s="47"/>
      <c r="J898" s="11"/>
      <c r="L898" s="40"/>
      <c r="M898" s="30"/>
    </row>
    <row r="899" spans="1:14" ht="18.75" customHeight="1" x14ac:dyDescent="0.55000000000000004">
      <c r="A899" s="28"/>
      <c r="B899" s="45"/>
      <c r="C899" s="49"/>
      <c r="D899" s="54"/>
      <c r="E899" s="63"/>
      <c r="F899" s="23"/>
      <c r="G899" s="23"/>
      <c r="H899" s="7"/>
      <c r="I899" s="47"/>
      <c r="J899" s="25"/>
      <c r="K899" s="40"/>
      <c r="L899" s="40"/>
      <c r="M899" s="228"/>
    </row>
    <row r="900" spans="1:14" ht="18.75" customHeight="1" x14ac:dyDescent="0.55000000000000004">
      <c r="A900" s="28"/>
      <c r="B900" s="45"/>
      <c r="C900" s="49"/>
      <c r="D900" s="54"/>
      <c r="E900" s="63"/>
      <c r="F900" s="23"/>
      <c r="G900" s="23"/>
      <c r="H900" s="7"/>
      <c r="I900" s="47"/>
      <c r="J900" s="11"/>
      <c r="L900" s="40"/>
      <c r="M900" s="228"/>
    </row>
    <row r="901" spans="1:14" ht="18.75" customHeight="1" x14ac:dyDescent="0.55000000000000004">
      <c r="A901" s="28"/>
      <c r="B901" s="45"/>
      <c r="C901" s="49"/>
      <c r="D901" s="54"/>
      <c r="E901" s="63"/>
      <c r="F901" s="23"/>
      <c r="G901" s="23"/>
      <c r="H901" s="7"/>
      <c r="I901" s="47"/>
      <c r="J901" s="11"/>
      <c r="L901" s="40"/>
      <c r="M901" s="228"/>
    </row>
    <row r="902" spans="1:14" ht="18.75" customHeight="1" x14ac:dyDescent="0.55000000000000004">
      <c r="A902" s="28"/>
      <c r="B902" s="45"/>
      <c r="C902" s="49"/>
      <c r="D902" s="54"/>
      <c r="E902" s="42"/>
      <c r="F902" s="23"/>
      <c r="G902" s="23"/>
      <c r="H902" s="7"/>
      <c r="I902" s="47"/>
      <c r="J902" s="11"/>
      <c r="L902" s="40"/>
      <c r="M902" s="227"/>
      <c r="N902" s="80"/>
    </row>
    <row r="903" spans="1:14" ht="18.75" customHeight="1" x14ac:dyDescent="0.55000000000000004">
      <c r="A903" s="28"/>
      <c r="B903" s="45"/>
      <c r="C903" s="49"/>
      <c r="D903" s="54"/>
      <c r="E903" s="42"/>
      <c r="F903" s="23"/>
      <c r="G903" s="23"/>
      <c r="H903" s="7"/>
      <c r="I903" s="47"/>
      <c r="J903" s="11"/>
      <c r="L903" s="40"/>
      <c r="M903" s="30"/>
    </row>
    <row r="904" spans="1:14" ht="18.75" customHeight="1" x14ac:dyDescent="0.55000000000000004">
      <c r="A904" s="28"/>
      <c r="B904" s="45"/>
      <c r="C904" s="49"/>
      <c r="D904" s="54"/>
      <c r="E904" s="63"/>
      <c r="F904" s="23"/>
      <c r="G904" s="23"/>
      <c r="H904" s="7"/>
      <c r="I904" s="47"/>
      <c r="J904" s="25"/>
      <c r="K904" s="40"/>
      <c r="L904" s="40"/>
      <c r="M904" s="228"/>
    </row>
    <row r="905" spans="1:14" ht="18.75" customHeight="1" x14ac:dyDescent="0.55000000000000004">
      <c r="A905" s="28"/>
      <c r="B905" s="45"/>
      <c r="C905" s="49"/>
      <c r="D905" s="54"/>
      <c r="E905" s="63"/>
      <c r="F905" s="23"/>
      <c r="G905" s="23"/>
      <c r="H905" s="7"/>
      <c r="I905" s="47"/>
      <c r="J905" s="11"/>
      <c r="L905" s="40"/>
      <c r="M905" s="228"/>
    </row>
    <row r="906" spans="1:14" ht="18.75" customHeight="1" x14ac:dyDescent="0.55000000000000004">
      <c r="A906" s="28"/>
      <c r="B906" s="45"/>
      <c r="C906" s="49"/>
      <c r="D906" s="54"/>
      <c r="E906" s="63"/>
      <c r="F906" s="23"/>
      <c r="G906" s="23"/>
      <c r="H906" s="7"/>
      <c r="I906" s="47"/>
      <c r="J906" s="11"/>
      <c r="L906" s="40"/>
      <c r="M906" s="228"/>
    </row>
    <row r="907" spans="1:14" ht="18.75" customHeight="1" x14ac:dyDescent="0.55000000000000004">
      <c r="A907" s="28"/>
      <c r="B907" s="45"/>
      <c r="C907" s="49"/>
      <c r="D907" s="54"/>
      <c r="E907" s="42"/>
      <c r="F907" s="23"/>
      <c r="G907" s="23"/>
      <c r="H907" s="7"/>
      <c r="I907" s="47"/>
      <c r="J907" s="11"/>
      <c r="L907" s="40"/>
      <c r="M907" s="227"/>
      <c r="N907" s="80"/>
    </row>
    <row r="908" spans="1:14" ht="18.75" customHeight="1" x14ac:dyDescent="0.55000000000000004">
      <c r="A908" s="28"/>
      <c r="B908" s="45"/>
      <c r="C908" s="49"/>
      <c r="D908" s="54"/>
      <c r="E908" s="42"/>
      <c r="F908" s="23"/>
      <c r="G908" s="23"/>
      <c r="H908" s="7"/>
      <c r="I908" s="47"/>
      <c r="J908" s="11"/>
      <c r="L908" s="40"/>
      <c r="M908" s="30"/>
    </row>
    <row r="909" spans="1:14" ht="18.75" customHeight="1" x14ac:dyDescent="0.55000000000000004">
      <c r="A909" s="28"/>
      <c r="B909" s="45"/>
      <c r="C909" s="49"/>
      <c r="D909" s="54"/>
      <c r="E909" s="63"/>
      <c r="F909" s="23"/>
      <c r="G909" s="23"/>
      <c r="H909" s="7"/>
      <c r="I909" s="47"/>
      <c r="J909" s="25"/>
      <c r="K909" s="40"/>
      <c r="L909" s="40"/>
      <c r="M909" s="228"/>
    </row>
    <row r="910" spans="1:14" ht="18.75" customHeight="1" x14ac:dyDescent="0.55000000000000004">
      <c r="A910" s="28"/>
      <c r="B910" s="45"/>
      <c r="C910" s="49"/>
      <c r="D910" s="54"/>
      <c r="E910" s="63"/>
      <c r="F910" s="23"/>
      <c r="G910" s="23"/>
      <c r="H910" s="7"/>
      <c r="I910" s="47"/>
      <c r="J910" s="11"/>
      <c r="L910" s="40"/>
      <c r="M910" s="228"/>
    </row>
    <row r="911" spans="1:14" ht="18.75" customHeight="1" x14ac:dyDescent="0.55000000000000004">
      <c r="A911" s="28"/>
      <c r="B911" s="45"/>
      <c r="C911" s="49"/>
      <c r="D911" s="54"/>
      <c r="E911" s="63"/>
      <c r="F911" s="23"/>
      <c r="G911" s="23"/>
      <c r="H911" s="7"/>
      <c r="I911" s="47"/>
      <c r="J911" s="11"/>
      <c r="L911" s="40"/>
      <c r="M911" s="228"/>
    </row>
    <row r="912" spans="1:14" ht="18.75" customHeight="1" x14ac:dyDescent="0.55000000000000004">
      <c r="A912" s="28"/>
      <c r="B912" s="45"/>
      <c r="C912" s="49"/>
      <c r="D912" s="54"/>
      <c r="E912" s="42"/>
      <c r="F912" s="23"/>
      <c r="G912" s="23"/>
      <c r="H912" s="7"/>
      <c r="I912" s="47"/>
      <c r="J912" s="11"/>
      <c r="L912" s="40"/>
      <c r="M912" s="227"/>
      <c r="N912" s="80"/>
    </row>
    <row r="913" spans="1:14" ht="18.75" customHeight="1" x14ac:dyDescent="0.55000000000000004">
      <c r="A913" s="28"/>
      <c r="B913" s="45"/>
      <c r="C913" s="49"/>
      <c r="D913" s="54"/>
      <c r="E913" s="42"/>
      <c r="F913" s="23"/>
      <c r="G913" s="23"/>
      <c r="H913" s="7"/>
      <c r="I913" s="47"/>
      <c r="J913" s="11"/>
      <c r="L913" s="40"/>
      <c r="M913" s="30"/>
    </row>
    <row r="914" spans="1:14" ht="18.75" customHeight="1" x14ac:dyDescent="0.55000000000000004">
      <c r="A914" s="28"/>
      <c r="B914" s="45"/>
      <c r="C914" s="49"/>
      <c r="D914" s="54"/>
      <c r="E914" s="63"/>
      <c r="F914" s="23"/>
      <c r="G914" s="23"/>
      <c r="H914" s="7"/>
      <c r="I914" s="47"/>
      <c r="J914" s="25"/>
      <c r="K914" s="40"/>
      <c r="L914" s="40"/>
      <c r="M914" s="228"/>
    </row>
    <row r="915" spans="1:14" ht="18.75" customHeight="1" x14ac:dyDescent="0.55000000000000004">
      <c r="A915" s="28"/>
      <c r="B915" s="45"/>
      <c r="C915" s="49"/>
      <c r="D915" s="54"/>
      <c r="E915" s="63"/>
      <c r="F915" s="23"/>
      <c r="G915" s="23"/>
      <c r="H915" s="7"/>
      <c r="I915" s="47"/>
      <c r="J915" s="11"/>
      <c r="L915" s="40"/>
      <c r="M915" s="228"/>
    </row>
    <row r="916" spans="1:14" ht="18.75" customHeight="1" x14ac:dyDescent="0.55000000000000004">
      <c r="A916" s="28"/>
      <c r="B916" s="45"/>
      <c r="C916" s="49"/>
      <c r="D916" s="54"/>
      <c r="E916" s="63"/>
      <c r="F916" s="23"/>
      <c r="G916" s="23"/>
      <c r="H916" s="7"/>
      <c r="I916" s="47"/>
      <c r="J916" s="11"/>
      <c r="L916" s="40"/>
      <c r="M916" s="228"/>
    </row>
    <row r="917" spans="1:14" ht="18.75" customHeight="1" x14ac:dyDescent="0.55000000000000004">
      <c r="A917" s="28"/>
      <c r="B917" s="45"/>
      <c r="C917" s="49"/>
      <c r="D917" s="54"/>
      <c r="E917" s="42"/>
      <c r="F917" s="23"/>
      <c r="G917" s="23"/>
      <c r="H917" s="7"/>
      <c r="I917" s="47"/>
      <c r="J917" s="11"/>
      <c r="L917" s="40"/>
      <c r="M917" s="227"/>
      <c r="N917" s="80"/>
    </row>
    <row r="918" spans="1:14" ht="18.75" customHeight="1" x14ac:dyDescent="0.55000000000000004">
      <c r="A918" s="28"/>
      <c r="B918" s="45"/>
      <c r="C918" s="49"/>
      <c r="D918" s="54"/>
      <c r="E918" s="42"/>
      <c r="F918" s="23"/>
      <c r="G918" s="23"/>
      <c r="H918" s="7"/>
      <c r="I918" s="47"/>
      <c r="J918" s="11"/>
      <c r="L918" s="40"/>
      <c r="M918" s="30"/>
    </row>
    <row r="919" spans="1:14" ht="18.75" customHeight="1" x14ac:dyDescent="0.55000000000000004">
      <c r="A919" s="28"/>
      <c r="B919" s="45"/>
      <c r="C919" s="49"/>
      <c r="D919" s="54"/>
      <c r="E919" s="63"/>
      <c r="F919" s="23"/>
      <c r="G919" s="23"/>
      <c r="H919" s="7"/>
      <c r="I919" s="47"/>
      <c r="J919" s="25"/>
      <c r="K919" s="40"/>
      <c r="L919" s="40"/>
      <c r="M919" s="228"/>
    </row>
    <row r="920" spans="1:14" ht="18.75" customHeight="1" x14ac:dyDescent="0.55000000000000004">
      <c r="A920" s="28"/>
      <c r="B920" s="45"/>
      <c r="C920" s="49"/>
      <c r="D920" s="54"/>
      <c r="E920" s="63"/>
      <c r="F920" s="23"/>
      <c r="G920" s="23"/>
      <c r="H920" s="7"/>
      <c r="I920" s="47"/>
      <c r="J920" s="11"/>
      <c r="L920" s="40"/>
      <c r="M920" s="228"/>
    </row>
    <row r="921" spans="1:14" ht="18.75" customHeight="1" x14ac:dyDescent="0.55000000000000004">
      <c r="A921" s="28"/>
      <c r="B921" s="45"/>
      <c r="C921" s="49"/>
      <c r="D921" s="54"/>
      <c r="E921" s="63"/>
      <c r="F921" s="23"/>
      <c r="G921" s="23"/>
      <c r="H921" s="7"/>
      <c r="I921" s="47"/>
      <c r="J921" s="11"/>
      <c r="L921" s="40"/>
      <c r="M921" s="228"/>
    </row>
    <row r="922" spans="1:14" ht="18.75" customHeight="1" x14ac:dyDescent="0.55000000000000004">
      <c r="A922" s="28"/>
      <c r="B922" s="45"/>
      <c r="C922" s="49"/>
      <c r="D922" s="54"/>
      <c r="E922" s="42"/>
      <c r="F922" s="23"/>
      <c r="G922" s="23"/>
      <c r="H922" s="7"/>
      <c r="I922" s="47"/>
      <c r="J922" s="11"/>
      <c r="L922" s="40"/>
      <c r="M922" s="227"/>
      <c r="N922" s="80"/>
    </row>
    <row r="923" spans="1:14" ht="18.75" customHeight="1" x14ac:dyDescent="0.55000000000000004">
      <c r="A923" s="28"/>
      <c r="B923" s="45"/>
      <c r="C923" s="49"/>
      <c r="D923" s="54"/>
      <c r="E923" s="42"/>
      <c r="F923" s="23"/>
      <c r="G923" s="23"/>
      <c r="H923" s="7"/>
      <c r="I923" s="47"/>
      <c r="J923" s="11"/>
      <c r="L923" s="40"/>
      <c r="M923" s="30"/>
    </row>
    <row r="924" spans="1:14" ht="18.75" customHeight="1" x14ac:dyDescent="0.55000000000000004">
      <c r="A924" s="28"/>
      <c r="B924" s="45"/>
      <c r="C924" s="49"/>
      <c r="D924" s="54"/>
      <c r="E924" s="63"/>
      <c r="F924" s="23"/>
      <c r="G924" s="23"/>
      <c r="H924" s="7"/>
      <c r="I924" s="47"/>
      <c r="J924" s="25"/>
      <c r="K924" s="40"/>
      <c r="L924" s="40"/>
      <c r="M924" s="228"/>
    </row>
    <row r="925" spans="1:14" ht="18.75" customHeight="1" x14ac:dyDescent="0.55000000000000004">
      <c r="A925" s="28"/>
      <c r="B925" s="45"/>
      <c r="C925" s="49"/>
      <c r="D925" s="54"/>
      <c r="E925" s="63"/>
      <c r="F925" s="23"/>
      <c r="G925" s="23"/>
      <c r="H925" s="7"/>
      <c r="I925" s="47"/>
      <c r="J925" s="11"/>
      <c r="L925" s="40"/>
      <c r="M925" s="228"/>
    </row>
    <row r="926" spans="1:14" ht="18.75" customHeight="1" x14ac:dyDescent="0.55000000000000004">
      <c r="A926" s="28"/>
      <c r="B926" s="45"/>
      <c r="C926" s="49"/>
      <c r="D926" s="54"/>
      <c r="E926" s="63"/>
      <c r="F926" s="23"/>
      <c r="G926" s="23"/>
      <c r="H926" s="7"/>
      <c r="I926" s="47"/>
      <c r="J926" s="11"/>
      <c r="L926" s="40"/>
      <c r="M926" s="228"/>
    </row>
    <row r="927" spans="1:14" ht="18.75" customHeight="1" x14ac:dyDescent="0.55000000000000004">
      <c r="A927" s="28"/>
      <c r="B927" s="45"/>
      <c r="C927" s="49"/>
      <c r="D927" s="54"/>
      <c r="E927" s="42"/>
      <c r="F927" s="23"/>
      <c r="G927" s="23"/>
      <c r="H927" s="7"/>
      <c r="I927" s="47"/>
      <c r="J927" s="11"/>
      <c r="L927" s="40"/>
      <c r="M927" s="227"/>
      <c r="N927" s="80"/>
    </row>
    <row r="928" spans="1:14" ht="18.75" customHeight="1" x14ac:dyDescent="0.55000000000000004">
      <c r="A928" s="28"/>
      <c r="B928" s="45"/>
      <c r="C928" s="49"/>
      <c r="D928" s="54"/>
      <c r="E928" s="42"/>
      <c r="F928" s="23"/>
      <c r="G928" s="23"/>
      <c r="H928" s="7"/>
      <c r="I928" s="47"/>
      <c r="J928" s="11"/>
      <c r="L928" s="40"/>
      <c r="M928" s="30"/>
    </row>
    <row r="929" spans="1:14" ht="18.75" customHeight="1" x14ac:dyDescent="0.55000000000000004">
      <c r="A929" s="28"/>
      <c r="B929" s="45"/>
      <c r="C929" s="49"/>
      <c r="D929" s="54"/>
      <c r="E929" s="63"/>
      <c r="F929" s="23"/>
      <c r="G929" s="23"/>
      <c r="H929" s="7"/>
      <c r="I929" s="47"/>
      <c r="J929" s="25"/>
      <c r="K929" s="40"/>
      <c r="L929" s="40"/>
      <c r="M929" s="228"/>
    </row>
    <row r="930" spans="1:14" ht="18.75" customHeight="1" x14ac:dyDescent="0.55000000000000004">
      <c r="A930" s="28"/>
      <c r="B930" s="45"/>
      <c r="C930" s="49"/>
      <c r="D930" s="54"/>
      <c r="E930" s="63"/>
      <c r="F930" s="23"/>
      <c r="G930" s="23"/>
      <c r="H930" s="7"/>
      <c r="I930" s="47"/>
      <c r="J930" s="11"/>
      <c r="L930" s="40"/>
      <c r="M930" s="228"/>
    </row>
    <row r="931" spans="1:14" ht="18.75" customHeight="1" x14ac:dyDescent="0.55000000000000004">
      <c r="A931" s="28"/>
      <c r="B931" s="45"/>
      <c r="C931" s="49"/>
      <c r="D931" s="54"/>
      <c r="E931" s="63"/>
      <c r="F931" s="23"/>
      <c r="G931" s="23"/>
      <c r="H931" s="7"/>
      <c r="I931" s="47"/>
      <c r="J931" s="11"/>
      <c r="L931" s="40"/>
      <c r="M931" s="228"/>
    </row>
    <row r="932" spans="1:14" ht="18.75" customHeight="1" x14ac:dyDescent="0.55000000000000004">
      <c r="A932" s="28"/>
      <c r="B932" s="45"/>
      <c r="C932" s="49"/>
      <c r="D932" s="54"/>
      <c r="E932" s="42"/>
      <c r="F932" s="23"/>
      <c r="G932" s="23"/>
      <c r="H932" s="7"/>
      <c r="I932" s="47"/>
      <c r="J932" s="11"/>
      <c r="L932" s="40"/>
      <c r="M932" s="227"/>
      <c r="N932" s="80"/>
    </row>
    <row r="933" spans="1:14" ht="18.75" customHeight="1" x14ac:dyDescent="0.55000000000000004">
      <c r="A933" s="28"/>
      <c r="B933" s="45"/>
      <c r="C933" s="49"/>
      <c r="D933" s="54"/>
      <c r="E933" s="42"/>
      <c r="F933" s="23"/>
      <c r="G933" s="23"/>
      <c r="H933" s="7"/>
      <c r="I933" s="47"/>
      <c r="J933" s="11"/>
      <c r="L933" s="40"/>
      <c r="M933" s="30"/>
    </row>
    <row r="934" spans="1:14" ht="18.75" customHeight="1" x14ac:dyDescent="0.55000000000000004">
      <c r="A934" s="28"/>
      <c r="B934" s="45"/>
      <c r="C934" s="49"/>
      <c r="D934" s="54"/>
      <c r="E934" s="63"/>
      <c r="F934" s="23"/>
      <c r="G934" s="23"/>
      <c r="H934" s="7"/>
      <c r="I934" s="47"/>
      <c r="J934" s="25"/>
      <c r="K934" s="40"/>
      <c r="L934" s="40"/>
      <c r="M934" s="228"/>
    </row>
    <row r="935" spans="1:14" ht="18.75" customHeight="1" x14ac:dyDescent="0.55000000000000004">
      <c r="A935" s="28"/>
      <c r="B935" s="45"/>
      <c r="C935" s="49"/>
      <c r="D935" s="54"/>
      <c r="E935" s="63"/>
      <c r="F935" s="23"/>
      <c r="G935" s="23"/>
      <c r="H935" s="7"/>
      <c r="I935" s="47"/>
      <c r="J935" s="11"/>
      <c r="L935" s="40"/>
      <c r="M935" s="228"/>
    </row>
    <row r="936" spans="1:14" ht="18.75" customHeight="1" x14ac:dyDescent="0.55000000000000004">
      <c r="A936" s="28"/>
      <c r="B936" s="45"/>
      <c r="C936" s="49"/>
      <c r="D936" s="54"/>
      <c r="E936" s="63"/>
      <c r="F936" s="23"/>
      <c r="G936" s="23"/>
      <c r="H936" s="7"/>
      <c r="I936" s="47"/>
      <c r="J936" s="11"/>
      <c r="L936" s="40"/>
      <c r="M936" s="228"/>
    </row>
    <row r="937" spans="1:14" ht="18.75" customHeight="1" x14ac:dyDescent="0.55000000000000004">
      <c r="A937" s="28"/>
      <c r="B937" s="45"/>
      <c r="C937" s="49"/>
      <c r="D937" s="54"/>
      <c r="E937" s="42"/>
      <c r="F937" s="23"/>
      <c r="G937" s="23"/>
      <c r="H937" s="7"/>
      <c r="I937" s="47"/>
      <c r="J937" s="11"/>
      <c r="L937" s="40"/>
      <c r="M937" s="227"/>
      <c r="N937" s="80"/>
    </row>
    <row r="938" spans="1:14" ht="18.75" customHeight="1" x14ac:dyDescent="0.55000000000000004">
      <c r="A938" s="28"/>
      <c r="B938" s="45"/>
      <c r="C938" s="49"/>
      <c r="D938" s="54"/>
      <c r="E938" s="42"/>
      <c r="F938" s="23"/>
      <c r="G938" s="23"/>
      <c r="H938" s="7"/>
      <c r="I938" s="47"/>
      <c r="J938" s="11"/>
      <c r="L938" s="40"/>
      <c r="M938" s="30"/>
    </row>
    <row r="939" spans="1:14" ht="18.75" customHeight="1" x14ac:dyDescent="0.55000000000000004">
      <c r="A939" s="28"/>
      <c r="B939" s="45"/>
      <c r="C939" s="49"/>
      <c r="D939" s="54"/>
      <c r="E939" s="63"/>
      <c r="F939" s="23"/>
      <c r="G939" s="23"/>
      <c r="H939" s="7"/>
      <c r="I939" s="47"/>
      <c r="J939" s="25"/>
      <c r="K939" s="40"/>
      <c r="L939" s="40"/>
      <c r="M939" s="228"/>
    </row>
    <row r="940" spans="1:14" ht="18.75" customHeight="1" x14ac:dyDescent="0.55000000000000004">
      <c r="A940" s="28"/>
      <c r="B940" s="45"/>
      <c r="C940" s="49"/>
      <c r="D940" s="54"/>
      <c r="E940" s="63"/>
      <c r="F940" s="23"/>
      <c r="G940" s="23"/>
      <c r="H940" s="7"/>
      <c r="I940" s="47"/>
      <c r="J940" s="11"/>
      <c r="L940" s="40"/>
      <c r="M940" s="228"/>
    </row>
    <row r="941" spans="1:14" ht="18.75" customHeight="1" x14ac:dyDescent="0.55000000000000004">
      <c r="A941" s="28"/>
      <c r="B941" s="45"/>
      <c r="C941" s="49"/>
      <c r="D941" s="54"/>
      <c r="E941" s="63"/>
      <c r="F941" s="23"/>
      <c r="G941" s="23"/>
      <c r="H941" s="7"/>
      <c r="I941" s="47"/>
      <c r="J941" s="11"/>
      <c r="L941" s="40"/>
      <c r="M941" s="228"/>
    </row>
    <row r="942" spans="1:14" ht="18.75" customHeight="1" x14ac:dyDescent="0.55000000000000004">
      <c r="A942" s="28"/>
      <c r="B942" s="45"/>
      <c r="C942" s="49"/>
      <c r="D942" s="54"/>
      <c r="E942" s="42"/>
      <c r="F942" s="23"/>
      <c r="G942" s="23"/>
      <c r="H942" s="7"/>
      <c r="I942" s="47"/>
      <c r="J942" s="11"/>
      <c r="L942" s="40"/>
      <c r="M942" s="227"/>
      <c r="N942" s="80"/>
    </row>
    <row r="943" spans="1:14" ht="18.75" customHeight="1" x14ac:dyDescent="0.55000000000000004">
      <c r="A943" s="28"/>
      <c r="B943" s="45"/>
      <c r="C943" s="49"/>
      <c r="D943" s="54"/>
      <c r="E943" s="42"/>
      <c r="F943" s="23"/>
      <c r="G943" s="23"/>
      <c r="H943" s="7"/>
      <c r="I943" s="47"/>
      <c r="J943" s="11"/>
      <c r="L943" s="40"/>
      <c r="M943" s="30"/>
    </row>
    <row r="944" spans="1:14" ht="18.75" customHeight="1" x14ac:dyDescent="0.55000000000000004">
      <c r="A944" s="28"/>
      <c r="B944" s="45"/>
      <c r="C944" s="49"/>
      <c r="D944" s="54"/>
      <c r="E944" s="63"/>
      <c r="F944" s="23"/>
      <c r="G944" s="23"/>
      <c r="H944" s="7"/>
      <c r="I944" s="47"/>
      <c r="J944" s="25"/>
      <c r="K944" s="40"/>
      <c r="L944" s="40"/>
      <c r="M944" s="228"/>
    </row>
    <row r="945" spans="1:14" ht="18.75" customHeight="1" x14ac:dyDescent="0.55000000000000004">
      <c r="A945" s="28"/>
      <c r="B945" s="45"/>
      <c r="C945" s="49"/>
      <c r="D945" s="54"/>
      <c r="E945" s="63"/>
      <c r="F945" s="23"/>
      <c r="G945" s="23"/>
      <c r="H945" s="7"/>
      <c r="I945" s="47"/>
      <c r="J945" s="11"/>
      <c r="L945" s="40"/>
      <c r="M945" s="228"/>
    </row>
    <row r="946" spans="1:14" ht="18.75" customHeight="1" x14ac:dyDescent="0.55000000000000004">
      <c r="A946" s="28"/>
      <c r="B946" s="45"/>
      <c r="C946" s="49"/>
      <c r="D946" s="54"/>
      <c r="E946" s="63"/>
      <c r="F946" s="23"/>
      <c r="G946" s="23"/>
      <c r="H946" s="7"/>
      <c r="I946" s="47"/>
      <c r="J946" s="11"/>
      <c r="L946" s="40"/>
      <c r="M946" s="228"/>
    </row>
    <row r="947" spans="1:14" ht="18.75" customHeight="1" x14ac:dyDescent="0.55000000000000004">
      <c r="A947" s="28"/>
      <c r="B947" s="45"/>
      <c r="C947" s="49"/>
      <c r="D947" s="54"/>
      <c r="E947" s="42"/>
      <c r="F947" s="23"/>
      <c r="G947" s="23"/>
      <c r="H947" s="7"/>
      <c r="I947" s="47"/>
      <c r="J947" s="11"/>
      <c r="L947" s="40"/>
      <c r="M947" s="227"/>
      <c r="N947" s="80"/>
    </row>
    <row r="948" spans="1:14" ht="18.75" customHeight="1" x14ac:dyDescent="0.55000000000000004">
      <c r="A948" s="28"/>
      <c r="B948" s="45"/>
      <c r="C948" s="49"/>
      <c r="D948" s="54"/>
      <c r="E948" s="42"/>
      <c r="F948" s="23"/>
      <c r="G948" s="23"/>
      <c r="H948" s="7"/>
      <c r="I948" s="47"/>
      <c r="J948" s="11"/>
      <c r="L948" s="40"/>
      <c r="M948" s="30"/>
    </row>
    <row r="949" spans="1:14" ht="18.75" customHeight="1" x14ac:dyDescent="0.55000000000000004">
      <c r="A949" s="28"/>
      <c r="B949" s="45"/>
      <c r="C949" s="49"/>
      <c r="D949" s="54"/>
      <c r="E949" s="63"/>
      <c r="F949" s="23"/>
      <c r="G949" s="23"/>
      <c r="H949" s="7"/>
      <c r="I949" s="47"/>
      <c r="J949" s="25"/>
      <c r="K949" s="40"/>
      <c r="L949" s="40"/>
      <c r="M949" s="228"/>
    </row>
    <row r="950" spans="1:14" ht="18.75" customHeight="1" x14ac:dyDescent="0.55000000000000004">
      <c r="A950" s="28"/>
      <c r="B950" s="45"/>
      <c r="C950" s="49"/>
      <c r="D950" s="54"/>
      <c r="E950" s="63"/>
      <c r="F950" s="23"/>
      <c r="G950" s="23"/>
      <c r="H950" s="7"/>
      <c r="I950" s="47"/>
      <c r="J950" s="11"/>
      <c r="L950" s="40"/>
      <c r="M950" s="228"/>
    </row>
    <row r="951" spans="1:14" ht="18.75" customHeight="1" x14ac:dyDescent="0.55000000000000004">
      <c r="A951" s="28"/>
      <c r="B951" s="45"/>
      <c r="C951" s="49"/>
      <c r="D951" s="54"/>
      <c r="E951" s="63"/>
      <c r="F951" s="23"/>
      <c r="G951" s="23"/>
      <c r="H951" s="7"/>
      <c r="I951" s="47"/>
      <c r="J951" s="11"/>
      <c r="L951" s="40"/>
      <c r="M951" s="228"/>
    </row>
    <row r="952" spans="1:14" ht="18.75" customHeight="1" x14ac:dyDescent="0.55000000000000004">
      <c r="A952" s="28"/>
      <c r="B952" s="45"/>
      <c r="C952" s="49"/>
      <c r="D952" s="54"/>
      <c r="E952" s="42"/>
      <c r="F952" s="23"/>
      <c r="G952" s="23"/>
      <c r="H952" s="7"/>
      <c r="I952" s="47"/>
      <c r="J952" s="11"/>
      <c r="L952" s="40"/>
      <c r="M952" s="227"/>
      <c r="N952" s="80"/>
    </row>
    <row r="953" spans="1:14" ht="18.75" customHeight="1" x14ac:dyDescent="0.55000000000000004">
      <c r="A953" s="28"/>
      <c r="B953" s="45"/>
      <c r="C953" s="49"/>
      <c r="D953" s="54"/>
      <c r="E953" s="42"/>
      <c r="F953" s="23"/>
      <c r="G953" s="23"/>
      <c r="H953" s="7"/>
      <c r="I953" s="47"/>
      <c r="J953" s="11"/>
      <c r="L953" s="40"/>
      <c r="M953" s="30"/>
    </row>
    <row r="954" spans="1:14" ht="18.75" customHeight="1" x14ac:dyDescent="0.55000000000000004">
      <c r="A954" s="28"/>
      <c r="B954" s="45"/>
      <c r="C954" s="49"/>
      <c r="D954" s="54"/>
      <c r="E954" s="63"/>
      <c r="F954" s="23"/>
      <c r="G954" s="23"/>
      <c r="H954" s="7"/>
      <c r="I954" s="47"/>
      <c r="J954" s="25"/>
      <c r="K954" s="40"/>
      <c r="L954" s="40"/>
      <c r="M954" s="228"/>
    </row>
    <row r="955" spans="1:14" ht="18.75" customHeight="1" x14ac:dyDescent="0.55000000000000004">
      <c r="A955" s="28"/>
      <c r="B955" s="45"/>
      <c r="C955" s="49"/>
      <c r="D955" s="54"/>
      <c r="E955" s="63"/>
      <c r="F955" s="23"/>
      <c r="G955" s="23"/>
      <c r="H955" s="7"/>
      <c r="I955" s="47"/>
      <c r="J955" s="11"/>
      <c r="L955" s="40"/>
      <c r="M955" s="228"/>
    </row>
    <row r="956" spans="1:14" ht="18.75" customHeight="1" x14ac:dyDescent="0.55000000000000004">
      <c r="A956" s="28"/>
      <c r="B956" s="45"/>
      <c r="C956" s="49"/>
      <c r="D956" s="54"/>
      <c r="E956" s="63"/>
      <c r="F956" s="23"/>
      <c r="G956" s="23"/>
      <c r="H956" s="7"/>
      <c r="I956" s="47"/>
      <c r="J956" s="11"/>
      <c r="L956" s="40"/>
      <c r="M956" s="228"/>
    </row>
    <row r="957" spans="1:14" ht="18.75" customHeight="1" x14ac:dyDescent="0.55000000000000004">
      <c r="A957" s="28"/>
      <c r="B957" s="45"/>
      <c r="C957" s="49"/>
      <c r="D957" s="54"/>
      <c r="E957" s="42"/>
      <c r="F957" s="23"/>
      <c r="G957" s="23"/>
      <c r="H957" s="7"/>
      <c r="I957" s="47"/>
      <c r="J957" s="11"/>
      <c r="L957" s="40"/>
      <c r="M957" s="227"/>
      <c r="N957" s="80"/>
    </row>
    <row r="958" spans="1:14" ht="18.75" customHeight="1" x14ac:dyDescent="0.55000000000000004">
      <c r="A958" s="28"/>
      <c r="B958" s="45"/>
      <c r="C958" s="49"/>
      <c r="D958" s="54"/>
      <c r="E958" s="42"/>
      <c r="F958" s="23"/>
      <c r="G958" s="23"/>
      <c r="H958" s="7"/>
      <c r="I958" s="47"/>
      <c r="J958" s="11"/>
      <c r="L958" s="40"/>
      <c r="M958" s="30"/>
    </row>
    <row r="959" spans="1:14" ht="18.75" customHeight="1" x14ac:dyDescent="0.55000000000000004">
      <c r="A959" s="28"/>
      <c r="B959" s="45"/>
      <c r="C959" s="49"/>
      <c r="D959" s="54"/>
      <c r="E959" s="63"/>
      <c r="F959" s="23"/>
      <c r="G959" s="23"/>
      <c r="H959" s="7"/>
      <c r="I959" s="47"/>
      <c r="J959" s="25"/>
      <c r="K959" s="40"/>
      <c r="L959" s="40"/>
      <c r="M959" s="228"/>
    </row>
    <row r="960" spans="1:14" ht="18.75" customHeight="1" x14ac:dyDescent="0.55000000000000004">
      <c r="A960" s="28"/>
      <c r="B960" s="45"/>
      <c r="C960" s="49"/>
      <c r="D960" s="54"/>
      <c r="E960" s="63"/>
      <c r="F960" s="23"/>
      <c r="G960" s="23"/>
      <c r="H960" s="7"/>
      <c r="I960" s="47"/>
      <c r="J960" s="11"/>
      <c r="L960" s="40"/>
      <c r="M960" s="228"/>
    </row>
    <row r="961" spans="1:14" ht="18.75" customHeight="1" x14ac:dyDescent="0.55000000000000004">
      <c r="A961" s="28"/>
      <c r="B961" s="45"/>
      <c r="C961" s="49"/>
      <c r="D961" s="54"/>
      <c r="E961" s="63"/>
      <c r="F961" s="23"/>
      <c r="G961" s="23"/>
      <c r="H961" s="7"/>
      <c r="I961" s="47"/>
      <c r="J961" s="11"/>
      <c r="L961" s="40"/>
      <c r="M961" s="228"/>
    </row>
    <row r="962" spans="1:14" ht="18.75" customHeight="1" x14ac:dyDescent="0.55000000000000004">
      <c r="A962" s="28"/>
      <c r="B962" s="45"/>
      <c r="C962" s="49"/>
      <c r="D962" s="54"/>
      <c r="E962" s="42"/>
      <c r="F962" s="23"/>
      <c r="G962" s="23"/>
      <c r="H962" s="7"/>
      <c r="I962" s="47"/>
      <c r="J962" s="11"/>
      <c r="L962" s="40"/>
      <c r="M962" s="227"/>
      <c r="N962" s="80"/>
    </row>
    <row r="963" spans="1:14" ht="18.75" customHeight="1" x14ac:dyDescent="0.55000000000000004">
      <c r="A963" s="28"/>
      <c r="B963" s="45"/>
      <c r="C963" s="49"/>
      <c r="D963" s="54"/>
      <c r="E963" s="42"/>
      <c r="F963" s="23"/>
      <c r="G963" s="23"/>
      <c r="H963" s="7"/>
      <c r="I963" s="47"/>
      <c r="J963" s="11"/>
      <c r="L963" s="40"/>
      <c r="M963" s="30"/>
    </row>
    <row r="964" spans="1:14" ht="18.75" customHeight="1" x14ac:dyDescent="0.55000000000000004">
      <c r="A964" s="28"/>
      <c r="B964" s="45"/>
      <c r="C964" s="49"/>
      <c r="D964" s="54"/>
      <c r="E964" s="63"/>
      <c r="F964" s="23"/>
      <c r="G964" s="23"/>
      <c r="H964" s="7"/>
      <c r="I964" s="47"/>
      <c r="J964" s="25"/>
      <c r="K964" s="40"/>
      <c r="L964" s="40"/>
      <c r="M964" s="228"/>
    </row>
    <row r="965" spans="1:14" ht="18.75" customHeight="1" x14ac:dyDescent="0.55000000000000004">
      <c r="A965" s="28"/>
      <c r="B965" s="45"/>
      <c r="C965" s="49"/>
      <c r="D965" s="54"/>
      <c r="E965" s="63"/>
      <c r="F965" s="23"/>
      <c r="G965" s="23"/>
      <c r="H965" s="7"/>
      <c r="I965" s="47"/>
      <c r="J965" s="11"/>
      <c r="L965" s="40"/>
      <c r="M965" s="228"/>
    </row>
    <row r="966" spans="1:14" ht="18.75" customHeight="1" x14ac:dyDescent="0.55000000000000004">
      <c r="A966" s="28"/>
      <c r="B966" s="45"/>
      <c r="C966" s="49"/>
      <c r="D966" s="54"/>
      <c r="E966" s="63"/>
      <c r="F966" s="23"/>
      <c r="G966" s="23"/>
      <c r="H966" s="7"/>
      <c r="I966" s="47"/>
      <c r="J966" s="11"/>
      <c r="L966" s="40"/>
      <c r="M966" s="228"/>
    </row>
    <row r="967" spans="1:14" ht="18.75" customHeight="1" x14ac:dyDescent="0.55000000000000004">
      <c r="A967" s="28"/>
      <c r="B967" s="45"/>
      <c r="C967" s="49"/>
      <c r="D967" s="54"/>
      <c r="E967" s="42"/>
      <c r="F967" s="23"/>
      <c r="G967" s="23"/>
      <c r="H967" s="7"/>
      <c r="I967" s="47"/>
      <c r="J967" s="11"/>
      <c r="L967" s="40"/>
      <c r="M967" s="227"/>
      <c r="N967" s="80"/>
    </row>
    <row r="968" spans="1:14" ht="18.75" customHeight="1" x14ac:dyDescent="0.55000000000000004">
      <c r="A968" s="28"/>
      <c r="B968" s="45"/>
      <c r="C968" s="49"/>
      <c r="D968" s="54"/>
      <c r="E968" s="42"/>
      <c r="F968" s="23"/>
      <c r="G968" s="23"/>
      <c r="H968" s="7"/>
      <c r="I968" s="47"/>
      <c r="J968" s="11"/>
      <c r="L968" s="40"/>
      <c r="M968" s="30"/>
    </row>
    <row r="969" spans="1:14" ht="18.75" customHeight="1" x14ac:dyDescent="0.55000000000000004">
      <c r="A969" s="28"/>
      <c r="B969" s="45"/>
      <c r="C969" s="49"/>
      <c r="D969" s="54"/>
      <c r="E969" s="63"/>
      <c r="F969" s="23"/>
      <c r="G969" s="23"/>
      <c r="H969" s="7"/>
      <c r="I969" s="47"/>
      <c r="J969" s="25"/>
      <c r="K969" s="40"/>
      <c r="L969" s="40"/>
      <c r="M969" s="228"/>
    </row>
    <row r="970" spans="1:14" ht="18.75" customHeight="1" x14ac:dyDescent="0.55000000000000004">
      <c r="A970" s="28"/>
      <c r="B970" s="45"/>
      <c r="C970" s="49"/>
      <c r="D970" s="54"/>
      <c r="E970" s="63"/>
      <c r="F970" s="23"/>
      <c r="G970" s="23"/>
      <c r="H970" s="7"/>
      <c r="I970" s="47"/>
      <c r="J970" s="11"/>
      <c r="L970" s="40"/>
      <c r="M970" s="228"/>
    </row>
    <row r="971" spans="1:14" ht="18.75" customHeight="1" x14ac:dyDescent="0.55000000000000004">
      <c r="A971" s="28"/>
      <c r="B971" s="45"/>
      <c r="C971" s="49"/>
      <c r="D971" s="54"/>
      <c r="E971" s="63"/>
      <c r="F971" s="23"/>
      <c r="G971" s="23"/>
      <c r="H971" s="7"/>
      <c r="I971" s="47"/>
      <c r="J971" s="11"/>
      <c r="L971" s="40"/>
      <c r="M971" s="228"/>
    </row>
    <row r="972" spans="1:14" ht="18.75" customHeight="1" x14ac:dyDescent="0.55000000000000004">
      <c r="A972" s="28"/>
      <c r="B972" s="45"/>
      <c r="C972" s="49"/>
      <c r="D972" s="54"/>
      <c r="E972" s="42"/>
      <c r="F972" s="23"/>
      <c r="G972" s="23"/>
      <c r="H972" s="7"/>
      <c r="I972" s="47"/>
      <c r="J972" s="11"/>
      <c r="L972" s="40"/>
      <c r="M972" s="227"/>
      <c r="N972" s="80"/>
    </row>
    <row r="973" spans="1:14" ht="18.75" customHeight="1" x14ac:dyDescent="0.55000000000000004">
      <c r="A973" s="28"/>
      <c r="B973" s="45"/>
      <c r="C973" s="49"/>
      <c r="D973" s="54"/>
      <c r="E973" s="42"/>
      <c r="F973" s="23"/>
      <c r="G973" s="23"/>
      <c r="H973" s="7"/>
      <c r="I973" s="47"/>
      <c r="J973" s="11"/>
      <c r="L973" s="40"/>
      <c r="M973" s="30"/>
    </row>
    <row r="974" spans="1:14" ht="18.75" customHeight="1" x14ac:dyDescent="0.55000000000000004">
      <c r="A974" s="28"/>
      <c r="B974" s="45"/>
      <c r="C974" s="49"/>
      <c r="D974" s="54"/>
      <c r="E974" s="63"/>
      <c r="F974" s="23"/>
      <c r="G974" s="23"/>
      <c r="H974" s="7"/>
      <c r="I974" s="47"/>
      <c r="J974" s="25"/>
      <c r="K974" s="40"/>
      <c r="L974" s="40"/>
      <c r="M974" s="228"/>
    </row>
    <row r="975" spans="1:14" ht="18.75" customHeight="1" x14ac:dyDescent="0.55000000000000004">
      <c r="A975" s="28"/>
      <c r="B975" s="45"/>
      <c r="C975" s="49"/>
      <c r="D975" s="54"/>
      <c r="E975" s="63"/>
      <c r="F975" s="23"/>
      <c r="G975" s="23"/>
      <c r="H975" s="7"/>
      <c r="I975" s="47"/>
      <c r="J975" s="11"/>
      <c r="L975" s="40"/>
      <c r="M975" s="228"/>
    </row>
    <row r="976" spans="1:14" ht="18.75" customHeight="1" x14ac:dyDescent="0.55000000000000004">
      <c r="A976" s="28"/>
      <c r="B976" s="45"/>
      <c r="C976" s="49"/>
      <c r="D976" s="54"/>
      <c r="E976" s="63"/>
      <c r="F976" s="23"/>
      <c r="G976" s="23"/>
      <c r="H976" s="7"/>
      <c r="I976" s="47"/>
      <c r="J976" s="11"/>
      <c r="L976" s="40"/>
      <c r="M976" s="228"/>
    </row>
    <row r="977" spans="1:14" ht="18.75" customHeight="1" x14ac:dyDescent="0.55000000000000004">
      <c r="A977" s="28"/>
      <c r="B977" s="45"/>
      <c r="C977" s="49"/>
      <c r="D977" s="54"/>
      <c r="E977" s="42"/>
      <c r="F977" s="23"/>
      <c r="G977" s="23"/>
      <c r="H977" s="7"/>
      <c r="I977" s="47"/>
      <c r="J977" s="11"/>
      <c r="L977" s="40"/>
      <c r="M977" s="227"/>
      <c r="N977" s="80"/>
    </row>
    <row r="978" spans="1:14" ht="18.75" customHeight="1" x14ac:dyDescent="0.55000000000000004">
      <c r="A978" s="28"/>
      <c r="B978" s="45"/>
      <c r="C978" s="49"/>
      <c r="D978" s="54"/>
      <c r="E978" s="42"/>
      <c r="F978" s="23"/>
      <c r="G978" s="23"/>
      <c r="H978" s="7"/>
      <c r="I978" s="47"/>
      <c r="J978" s="11"/>
      <c r="L978" s="40"/>
      <c r="M978" s="30"/>
    </row>
    <row r="979" spans="1:14" ht="18.75" customHeight="1" x14ac:dyDescent="0.55000000000000004">
      <c r="A979" s="28"/>
      <c r="B979" s="45"/>
      <c r="C979" s="49"/>
      <c r="D979" s="54"/>
      <c r="E979" s="63"/>
      <c r="F979" s="23"/>
      <c r="G979" s="23"/>
      <c r="H979" s="7"/>
      <c r="I979" s="47"/>
      <c r="J979" s="25"/>
      <c r="K979" s="40"/>
      <c r="L979" s="40"/>
      <c r="M979" s="228"/>
    </row>
    <row r="980" spans="1:14" ht="18.75" customHeight="1" x14ac:dyDescent="0.55000000000000004">
      <c r="A980" s="28"/>
      <c r="B980" s="45"/>
      <c r="C980" s="49"/>
      <c r="D980" s="54"/>
      <c r="E980" s="63"/>
      <c r="F980" s="23"/>
      <c r="G980" s="23"/>
      <c r="H980" s="7"/>
      <c r="I980" s="47"/>
      <c r="J980" s="11"/>
      <c r="L980" s="40"/>
      <c r="M980" s="228"/>
    </row>
    <row r="981" spans="1:14" ht="18.75" customHeight="1" x14ac:dyDescent="0.55000000000000004">
      <c r="A981" s="28"/>
      <c r="B981" s="45"/>
      <c r="C981" s="49"/>
      <c r="D981" s="54"/>
      <c r="E981" s="63"/>
      <c r="F981" s="23"/>
      <c r="G981" s="23"/>
      <c r="H981" s="7"/>
      <c r="I981" s="47"/>
      <c r="J981" s="11"/>
      <c r="L981" s="40"/>
      <c r="M981" s="228"/>
    </row>
    <row r="982" spans="1:14" ht="18.75" customHeight="1" x14ac:dyDescent="0.55000000000000004">
      <c r="A982" s="28"/>
      <c r="B982" s="45"/>
      <c r="C982" s="49"/>
      <c r="D982" s="54"/>
      <c r="E982" s="42"/>
      <c r="F982" s="23"/>
      <c r="G982" s="23"/>
      <c r="H982" s="7"/>
      <c r="I982" s="47"/>
      <c r="J982" s="11"/>
      <c r="L982" s="40"/>
      <c r="M982" s="227"/>
      <c r="N982" s="80"/>
    </row>
    <row r="983" spans="1:14" ht="18.75" customHeight="1" x14ac:dyDescent="0.55000000000000004">
      <c r="A983" s="28"/>
      <c r="B983" s="45"/>
      <c r="C983" s="49"/>
      <c r="D983" s="54"/>
      <c r="E983" s="42"/>
      <c r="F983" s="23"/>
      <c r="G983" s="23"/>
      <c r="H983" s="7"/>
      <c r="I983" s="47"/>
      <c r="J983" s="11"/>
      <c r="L983" s="40"/>
      <c r="M983" s="30"/>
    </row>
    <row r="984" spans="1:14" ht="18.75" customHeight="1" x14ac:dyDescent="0.55000000000000004">
      <c r="A984" s="28"/>
      <c r="B984" s="45"/>
      <c r="C984" s="49"/>
      <c r="D984" s="54"/>
      <c r="E984" s="63"/>
      <c r="F984" s="23"/>
      <c r="G984" s="23"/>
      <c r="H984" s="7"/>
      <c r="I984" s="47"/>
      <c r="J984" s="25"/>
      <c r="K984" s="40"/>
      <c r="L984" s="40"/>
      <c r="M984" s="228"/>
    </row>
    <row r="985" spans="1:14" ht="18.75" customHeight="1" x14ac:dyDescent="0.55000000000000004">
      <c r="A985" s="28"/>
      <c r="B985" s="45"/>
      <c r="C985" s="49"/>
      <c r="D985" s="54"/>
      <c r="E985" s="63"/>
      <c r="F985" s="23"/>
      <c r="G985" s="23"/>
      <c r="H985" s="7"/>
      <c r="I985" s="47"/>
      <c r="J985" s="11"/>
      <c r="L985" s="40"/>
      <c r="M985" s="228"/>
    </row>
    <row r="986" spans="1:14" ht="18.75" customHeight="1" x14ac:dyDescent="0.55000000000000004">
      <c r="A986" s="28"/>
      <c r="B986" s="45"/>
      <c r="C986" s="49"/>
      <c r="D986" s="54"/>
      <c r="E986" s="63"/>
      <c r="F986" s="23"/>
      <c r="G986" s="23"/>
      <c r="H986" s="7"/>
      <c r="I986" s="47"/>
      <c r="J986" s="11"/>
      <c r="L986" s="40"/>
      <c r="M986" s="228"/>
    </row>
    <row r="987" spans="1:14" ht="18.75" customHeight="1" x14ac:dyDescent="0.55000000000000004">
      <c r="A987" s="28"/>
      <c r="B987" s="45"/>
      <c r="C987" s="49"/>
      <c r="D987" s="54"/>
      <c r="E987" s="42"/>
      <c r="F987" s="23"/>
      <c r="G987" s="23"/>
      <c r="H987" s="7"/>
      <c r="I987" s="47"/>
      <c r="J987" s="11"/>
      <c r="L987" s="40"/>
      <c r="M987" s="227"/>
      <c r="N987" s="80"/>
    </row>
    <row r="988" spans="1:14" ht="18.75" customHeight="1" x14ac:dyDescent="0.55000000000000004">
      <c r="A988" s="28"/>
      <c r="B988" s="45"/>
      <c r="C988" s="49"/>
      <c r="D988" s="54"/>
      <c r="E988" s="63"/>
      <c r="F988" s="23"/>
      <c r="G988" s="23"/>
      <c r="H988" s="7"/>
      <c r="I988" s="47"/>
      <c r="J988" s="25"/>
      <c r="K988" s="40"/>
      <c r="L988" s="40"/>
      <c r="M988" s="228"/>
    </row>
    <row r="989" spans="1:14" ht="18.75" customHeight="1" x14ac:dyDescent="0.55000000000000004">
      <c r="A989" s="28"/>
      <c r="B989" s="45"/>
      <c r="C989" s="49"/>
      <c r="D989" s="54"/>
      <c r="E989" s="63"/>
      <c r="F989" s="23"/>
      <c r="G989" s="23"/>
      <c r="H989" s="7"/>
      <c r="I989" s="47"/>
      <c r="J989" s="11"/>
      <c r="L989" s="40"/>
      <c r="M989" s="228"/>
    </row>
    <row r="990" spans="1:14" ht="18.75" customHeight="1" x14ac:dyDescent="0.55000000000000004">
      <c r="A990" s="28"/>
      <c r="B990" s="45"/>
      <c r="C990" s="49"/>
      <c r="D990" s="54"/>
      <c r="E990" s="63"/>
      <c r="F990" s="23"/>
      <c r="G990" s="23"/>
      <c r="H990" s="7"/>
      <c r="I990" s="47"/>
      <c r="J990" s="11"/>
      <c r="L990" s="40"/>
      <c r="M990" s="228"/>
    </row>
    <row r="991" spans="1:14" ht="18.75" customHeight="1" x14ac:dyDescent="0.55000000000000004">
      <c r="A991" s="28"/>
      <c r="B991" s="45"/>
      <c r="C991" s="49"/>
      <c r="D991" s="54"/>
      <c r="E991" s="42"/>
      <c r="F991" s="23"/>
      <c r="G991" s="23"/>
      <c r="H991" s="7"/>
      <c r="I991" s="47"/>
      <c r="J991" s="11"/>
      <c r="L991" s="40"/>
      <c r="M991" s="227"/>
      <c r="N991" s="80"/>
    </row>
    <row r="992" spans="1:14" ht="18.75" customHeight="1" x14ac:dyDescent="0.55000000000000004">
      <c r="A992" s="28"/>
      <c r="B992" s="45"/>
      <c r="C992" s="49"/>
      <c r="D992" s="54"/>
      <c r="E992" s="42"/>
      <c r="F992" s="23"/>
      <c r="G992" s="23"/>
      <c r="H992" s="7"/>
      <c r="I992" s="47"/>
      <c r="J992" s="11"/>
      <c r="L992" s="40"/>
      <c r="M992" s="30"/>
    </row>
    <row r="993" spans="1:14" ht="18.75" customHeight="1" x14ac:dyDescent="0.55000000000000004">
      <c r="A993" s="28"/>
      <c r="B993" s="45"/>
      <c r="C993" s="49"/>
      <c r="D993" s="54"/>
      <c r="E993" s="63"/>
      <c r="F993" s="23"/>
      <c r="G993" s="23"/>
      <c r="H993" s="7"/>
      <c r="I993" s="47"/>
      <c r="J993" s="25"/>
      <c r="K993" s="40"/>
      <c r="L993" s="40"/>
      <c r="M993" s="228"/>
    </row>
    <row r="994" spans="1:14" ht="18.75" customHeight="1" x14ac:dyDescent="0.55000000000000004">
      <c r="A994" s="28"/>
      <c r="B994" s="45"/>
      <c r="C994" s="49"/>
      <c r="D994" s="54"/>
      <c r="E994" s="63"/>
      <c r="F994" s="23"/>
      <c r="G994" s="23"/>
      <c r="H994" s="7"/>
      <c r="I994" s="47"/>
      <c r="J994" s="11"/>
      <c r="L994" s="40"/>
      <c r="M994" s="228"/>
    </row>
    <row r="995" spans="1:14" ht="18.75" customHeight="1" x14ac:dyDescent="0.55000000000000004">
      <c r="A995" s="28"/>
      <c r="B995" s="45"/>
      <c r="C995" s="49"/>
      <c r="D995" s="54"/>
      <c r="E995" s="63"/>
      <c r="F995" s="23"/>
      <c r="G995" s="23"/>
      <c r="H995" s="7"/>
      <c r="I995" s="47"/>
      <c r="J995" s="11"/>
      <c r="L995" s="40"/>
      <c r="M995" s="228"/>
    </row>
    <row r="996" spans="1:14" ht="18.75" customHeight="1" x14ac:dyDescent="0.55000000000000004">
      <c r="A996" s="28"/>
      <c r="B996" s="45"/>
      <c r="C996" s="49"/>
      <c r="D996" s="54"/>
      <c r="E996" s="42"/>
      <c r="F996" s="23"/>
      <c r="G996" s="23"/>
      <c r="H996" s="7"/>
      <c r="I996" s="47"/>
      <c r="J996" s="11"/>
      <c r="L996" s="40"/>
      <c r="M996" s="227"/>
      <c r="N996" s="80"/>
    </row>
    <row r="997" spans="1:14" ht="18.75" customHeight="1" x14ac:dyDescent="0.55000000000000004">
      <c r="A997" s="28"/>
      <c r="B997" s="45"/>
      <c r="C997" s="49"/>
      <c r="D997" s="54"/>
      <c r="E997" s="42"/>
      <c r="F997" s="23"/>
      <c r="G997" s="23"/>
      <c r="H997" s="7"/>
      <c r="I997" s="47"/>
      <c r="J997" s="11"/>
      <c r="L997" s="40"/>
      <c r="M997" s="30"/>
    </row>
    <row r="998" spans="1:14" ht="18.75" customHeight="1" x14ac:dyDescent="0.55000000000000004">
      <c r="A998" s="28"/>
      <c r="B998" s="45"/>
      <c r="C998" s="49"/>
      <c r="D998" s="54"/>
      <c r="E998" s="63"/>
      <c r="F998" s="23"/>
      <c r="G998" s="23"/>
      <c r="H998" s="7"/>
      <c r="I998" s="47"/>
      <c r="J998" s="25"/>
      <c r="K998" s="40"/>
      <c r="L998" s="40"/>
      <c r="M998" s="228"/>
    </row>
    <row r="999" spans="1:14" ht="18.75" customHeight="1" x14ac:dyDescent="0.55000000000000004">
      <c r="A999" s="28"/>
      <c r="B999" s="45"/>
      <c r="C999" s="49"/>
      <c r="D999" s="54"/>
      <c r="E999" s="63"/>
      <c r="F999" s="23"/>
      <c r="G999" s="23"/>
      <c r="H999" s="7"/>
      <c r="I999" s="47"/>
      <c r="J999" s="11"/>
      <c r="L999" s="40"/>
      <c r="M999" s="228"/>
    </row>
    <row r="1000" spans="1:14" ht="18.75" customHeight="1" x14ac:dyDescent="0.55000000000000004">
      <c r="A1000" s="28"/>
      <c r="B1000" s="45"/>
      <c r="C1000" s="49"/>
      <c r="D1000" s="54"/>
      <c r="E1000" s="63"/>
      <c r="F1000" s="23"/>
      <c r="G1000" s="23"/>
      <c r="H1000" s="7"/>
      <c r="I1000" s="47"/>
      <c r="J1000" s="11"/>
      <c r="L1000" s="40"/>
      <c r="M1000" s="228"/>
    </row>
    <row r="1001" spans="1:14" ht="18.75" customHeight="1" x14ac:dyDescent="0.55000000000000004">
      <c r="A1001" s="28"/>
      <c r="B1001" s="45"/>
      <c r="C1001" s="49"/>
      <c r="D1001" s="54"/>
      <c r="E1001" s="42"/>
      <c r="F1001" s="23"/>
      <c r="G1001" s="23"/>
      <c r="H1001" s="7"/>
      <c r="I1001" s="47"/>
      <c r="J1001" s="11"/>
      <c r="L1001" s="40"/>
      <c r="M1001" s="227"/>
      <c r="N1001" s="80"/>
    </row>
    <row r="1002" spans="1:14" ht="18.75" customHeight="1" x14ac:dyDescent="0.55000000000000004">
      <c r="A1002" s="28"/>
      <c r="B1002" s="45"/>
      <c r="C1002" s="49"/>
      <c r="D1002" s="54"/>
      <c r="E1002" s="42"/>
      <c r="F1002" s="23"/>
      <c r="G1002" s="23"/>
      <c r="H1002" s="7"/>
      <c r="I1002" s="47"/>
      <c r="J1002" s="11"/>
      <c r="L1002" s="40"/>
      <c r="M1002" s="30"/>
    </row>
    <row r="1003" spans="1:14" ht="18.75" customHeight="1" x14ac:dyDescent="0.55000000000000004">
      <c r="A1003" s="28"/>
      <c r="B1003" s="45"/>
      <c r="C1003" s="49"/>
      <c r="D1003" s="54"/>
      <c r="E1003" s="63"/>
      <c r="F1003" s="23"/>
      <c r="G1003" s="23"/>
      <c r="H1003" s="7"/>
      <c r="I1003" s="47"/>
      <c r="J1003" s="25"/>
      <c r="K1003" s="40"/>
      <c r="L1003" s="40"/>
      <c r="M1003" s="228"/>
    </row>
    <row r="1004" spans="1:14" ht="18.75" customHeight="1" x14ac:dyDescent="0.55000000000000004">
      <c r="A1004" s="28"/>
      <c r="B1004" s="45"/>
      <c r="C1004" s="49"/>
      <c r="D1004" s="54"/>
      <c r="E1004" s="63"/>
      <c r="F1004" s="23"/>
      <c r="G1004" s="23"/>
      <c r="H1004" s="7"/>
      <c r="I1004" s="47"/>
      <c r="J1004" s="11"/>
      <c r="L1004" s="40"/>
      <c r="M1004" s="228"/>
    </row>
    <row r="1005" spans="1:14" ht="18.75" customHeight="1" x14ac:dyDescent="0.55000000000000004">
      <c r="A1005" s="28"/>
      <c r="B1005" s="45"/>
      <c r="C1005" s="49"/>
      <c r="D1005" s="54"/>
      <c r="E1005" s="63"/>
      <c r="F1005" s="23"/>
      <c r="G1005" s="23"/>
      <c r="H1005" s="7"/>
      <c r="I1005" s="47"/>
      <c r="J1005" s="11"/>
      <c r="L1005" s="40"/>
      <c r="M1005" s="228"/>
    </row>
    <row r="1006" spans="1:14" ht="18.75" customHeight="1" x14ac:dyDescent="0.55000000000000004">
      <c r="A1006" s="28"/>
      <c r="B1006" s="45"/>
      <c r="C1006" s="49"/>
      <c r="D1006" s="54"/>
      <c r="E1006" s="42"/>
      <c r="F1006" s="23"/>
      <c r="G1006" s="23"/>
      <c r="H1006" s="7"/>
      <c r="I1006" s="47"/>
      <c r="J1006" s="11"/>
      <c r="L1006" s="40"/>
      <c r="M1006" s="227"/>
      <c r="N1006" s="80"/>
    </row>
    <row r="1007" spans="1:14" ht="18.75" customHeight="1" x14ac:dyDescent="0.55000000000000004">
      <c r="A1007" s="28"/>
      <c r="B1007" s="45"/>
      <c r="C1007" s="49"/>
      <c r="D1007" s="54"/>
      <c r="E1007" s="42"/>
      <c r="F1007" s="23"/>
      <c r="G1007" s="23"/>
      <c r="H1007" s="7"/>
      <c r="I1007" s="47"/>
      <c r="J1007" s="11"/>
      <c r="L1007" s="40"/>
      <c r="M1007" s="30"/>
    </row>
    <row r="1008" spans="1:14" ht="18.75" customHeight="1" x14ac:dyDescent="0.55000000000000004">
      <c r="A1008" s="28"/>
      <c r="B1008" s="45"/>
      <c r="C1008" s="49"/>
      <c r="D1008" s="54"/>
      <c r="E1008" s="63"/>
      <c r="F1008" s="23"/>
      <c r="G1008" s="23"/>
      <c r="H1008" s="7"/>
      <c r="I1008" s="47"/>
      <c r="J1008" s="25"/>
      <c r="K1008" s="40"/>
      <c r="L1008" s="40"/>
      <c r="M1008" s="228"/>
    </row>
    <row r="1009" spans="1:14" ht="18.75" customHeight="1" x14ac:dyDescent="0.55000000000000004">
      <c r="A1009" s="28"/>
      <c r="B1009" s="45"/>
      <c r="C1009" s="49"/>
      <c r="D1009" s="54"/>
      <c r="E1009" s="63"/>
      <c r="F1009" s="23"/>
      <c r="G1009" s="23"/>
      <c r="H1009" s="7"/>
      <c r="I1009" s="47"/>
      <c r="J1009" s="11"/>
      <c r="L1009" s="40"/>
      <c r="M1009" s="228"/>
    </row>
    <row r="1010" spans="1:14" ht="18.75" customHeight="1" x14ac:dyDescent="0.55000000000000004">
      <c r="A1010" s="28"/>
      <c r="B1010" s="45"/>
      <c r="C1010" s="49"/>
      <c r="D1010" s="54"/>
      <c r="E1010" s="63"/>
      <c r="F1010" s="23"/>
      <c r="G1010" s="23"/>
      <c r="H1010" s="7"/>
      <c r="I1010" s="47"/>
      <c r="J1010" s="11"/>
      <c r="L1010" s="40"/>
      <c r="M1010" s="228"/>
    </row>
    <row r="1011" spans="1:14" ht="18.75" customHeight="1" x14ac:dyDescent="0.55000000000000004">
      <c r="A1011" s="28"/>
      <c r="B1011" s="45"/>
      <c r="C1011" s="49"/>
      <c r="D1011" s="54"/>
      <c r="E1011" s="42"/>
      <c r="F1011" s="23"/>
      <c r="G1011" s="23"/>
      <c r="H1011" s="7"/>
      <c r="I1011" s="47"/>
      <c r="J1011" s="11"/>
      <c r="L1011" s="40"/>
      <c r="M1011" s="227"/>
      <c r="N1011" s="80"/>
    </row>
    <row r="1012" spans="1:14" ht="18.75" customHeight="1" x14ac:dyDescent="0.55000000000000004">
      <c r="A1012" s="28"/>
      <c r="B1012" s="45"/>
      <c r="C1012" s="49"/>
      <c r="D1012" s="54"/>
      <c r="E1012" s="42"/>
      <c r="F1012" s="23"/>
      <c r="G1012" s="23"/>
      <c r="H1012" s="7"/>
      <c r="I1012" s="47"/>
      <c r="J1012" s="11"/>
      <c r="L1012" s="40"/>
      <c r="M1012" s="30"/>
    </row>
    <row r="1013" spans="1:14" ht="18.75" customHeight="1" x14ac:dyDescent="0.55000000000000004">
      <c r="A1013" s="28"/>
      <c r="B1013" s="45"/>
      <c r="C1013" s="49"/>
      <c r="D1013" s="54"/>
      <c r="E1013" s="63"/>
      <c r="F1013" s="23"/>
      <c r="G1013" s="23"/>
      <c r="H1013" s="7"/>
      <c r="I1013" s="47"/>
      <c r="J1013" s="25"/>
      <c r="K1013" s="40"/>
      <c r="L1013" s="40"/>
      <c r="M1013" s="228"/>
    </row>
    <row r="1014" spans="1:14" ht="18.75" customHeight="1" x14ac:dyDescent="0.55000000000000004">
      <c r="A1014" s="28"/>
      <c r="B1014" s="45"/>
      <c r="C1014" s="49"/>
      <c r="D1014" s="54"/>
      <c r="E1014" s="63"/>
      <c r="F1014" s="23"/>
      <c r="G1014" s="23"/>
      <c r="H1014" s="7"/>
      <c r="I1014" s="47"/>
      <c r="J1014" s="11"/>
      <c r="L1014" s="40"/>
      <c r="M1014" s="228"/>
    </row>
    <row r="1015" spans="1:14" ht="18.75" customHeight="1" x14ac:dyDescent="0.55000000000000004">
      <c r="A1015" s="28"/>
      <c r="B1015" s="45"/>
      <c r="C1015" s="49"/>
      <c r="D1015" s="54"/>
      <c r="E1015" s="63"/>
      <c r="F1015" s="23"/>
      <c r="G1015" s="23"/>
      <c r="H1015" s="7"/>
      <c r="I1015" s="47"/>
      <c r="J1015" s="11"/>
      <c r="L1015" s="40"/>
      <c r="M1015" s="228"/>
    </row>
    <row r="1016" spans="1:14" ht="18.75" customHeight="1" x14ac:dyDescent="0.55000000000000004">
      <c r="A1016" s="28"/>
      <c r="B1016" s="45"/>
      <c r="C1016" s="49"/>
      <c r="D1016" s="54"/>
      <c r="E1016" s="42"/>
      <c r="F1016" s="23"/>
      <c r="G1016" s="23"/>
      <c r="H1016" s="7"/>
      <c r="I1016" s="47"/>
      <c r="J1016" s="11"/>
      <c r="L1016" s="40"/>
      <c r="M1016" s="227"/>
      <c r="N1016" s="80"/>
    </row>
    <row r="1017" spans="1:14" ht="18.75" customHeight="1" x14ac:dyDescent="0.55000000000000004">
      <c r="A1017" s="28"/>
      <c r="B1017" s="45"/>
      <c r="C1017" s="49"/>
      <c r="D1017" s="54"/>
      <c r="E1017" s="42"/>
      <c r="F1017" s="23"/>
      <c r="G1017" s="23"/>
      <c r="H1017" s="7"/>
      <c r="I1017" s="47"/>
      <c r="J1017" s="11"/>
      <c r="L1017" s="40"/>
      <c r="M1017" s="30"/>
    </row>
    <row r="1018" spans="1:14" ht="18.75" customHeight="1" x14ac:dyDescent="0.55000000000000004">
      <c r="A1018" s="28"/>
      <c r="B1018" s="45"/>
      <c r="C1018" s="49"/>
      <c r="D1018" s="54"/>
      <c r="E1018" s="63"/>
      <c r="F1018" s="23"/>
      <c r="G1018" s="23"/>
      <c r="H1018" s="7"/>
      <c r="I1018" s="47"/>
      <c r="J1018" s="25"/>
      <c r="K1018" s="40"/>
      <c r="L1018" s="40"/>
      <c r="M1018" s="228"/>
    </row>
    <row r="1019" spans="1:14" ht="18.75" customHeight="1" x14ac:dyDescent="0.55000000000000004">
      <c r="A1019" s="28"/>
      <c r="B1019" s="45"/>
      <c r="C1019" s="49"/>
      <c r="D1019" s="54"/>
      <c r="E1019" s="63"/>
      <c r="F1019" s="23"/>
      <c r="G1019" s="23"/>
      <c r="H1019" s="7"/>
      <c r="I1019" s="47"/>
      <c r="J1019" s="11"/>
      <c r="L1019" s="40"/>
      <c r="M1019" s="228"/>
    </row>
    <row r="1020" spans="1:14" ht="18.75" customHeight="1" x14ac:dyDescent="0.55000000000000004">
      <c r="A1020" s="28"/>
      <c r="B1020" s="45"/>
      <c r="C1020" s="49"/>
      <c r="D1020" s="54"/>
      <c r="E1020" s="63"/>
      <c r="F1020" s="23"/>
      <c r="G1020" s="23"/>
      <c r="H1020" s="7"/>
      <c r="I1020" s="47"/>
      <c r="J1020" s="11"/>
      <c r="L1020" s="40"/>
      <c r="M1020" s="228"/>
    </row>
    <row r="1021" spans="1:14" ht="18.75" customHeight="1" x14ac:dyDescent="0.55000000000000004">
      <c r="A1021" s="28"/>
      <c r="B1021" s="45"/>
      <c r="C1021" s="49"/>
      <c r="D1021" s="54"/>
      <c r="E1021" s="42"/>
      <c r="F1021" s="23"/>
      <c r="G1021" s="23"/>
      <c r="H1021" s="7"/>
      <c r="I1021" s="47"/>
      <c r="J1021" s="11"/>
      <c r="L1021" s="40"/>
      <c r="M1021" s="227"/>
      <c r="N1021" s="80"/>
    </row>
    <row r="1022" spans="1:14" ht="18.75" customHeight="1" x14ac:dyDescent="0.55000000000000004">
      <c r="A1022" s="28"/>
      <c r="B1022" s="45"/>
      <c r="C1022" s="49"/>
      <c r="D1022" s="54"/>
      <c r="E1022" s="42"/>
      <c r="F1022" s="23"/>
      <c r="G1022" s="23"/>
      <c r="H1022" s="7"/>
      <c r="I1022" s="47"/>
      <c r="J1022" s="11"/>
      <c r="L1022" s="40"/>
      <c r="M1022" s="30"/>
    </row>
    <row r="1023" spans="1:14" ht="18.75" customHeight="1" x14ac:dyDescent="0.55000000000000004">
      <c r="A1023" s="28"/>
      <c r="B1023" s="45"/>
      <c r="C1023" s="49"/>
      <c r="D1023" s="54"/>
      <c r="E1023" s="63"/>
      <c r="F1023" s="23"/>
      <c r="G1023" s="23"/>
      <c r="H1023" s="7"/>
      <c r="I1023" s="47"/>
      <c r="J1023" s="25"/>
      <c r="K1023" s="40"/>
      <c r="L1023" s="40"/>
      <c r="M1023" s="228"/>
    </row>
    <row r="1024" spans="1:14" ht="18.75" customHeight="1" x14ac:dyDescent="0.55000000000000004">
      <c r="A1024" s="28"/>
      <c r="B1024" s="45"/>
      <c r="C1024" s="49"/>
      <c r="D1024" s="54"/>
      <c r="E1024" s="63"/>
      <c r="F1024" s="23"/>
      <c r="G1024" s="23"/>
      <c r="H1024" s="7"/>
      <c r="I1024" s="47"/>
      <c r="J1024" s="11"/>
      <c r="L1024" s="40"/>
      <c r="M1024" s="228"/>
    </row>
    <row r="1025" spans="1:14" ht="18.75" customHeight="1" x14ac:dyDescent="0.55000000000000004">
      <c r="A1025" s="28"/>
      <c r="B1025" s="45"/>
      <c r="C1025" s="49"/>
      <c r="D1025" s="54"/>
      <c r="E1025" s="63"/>
      <c r="F1025" s="23"/>
      <c r="G1025" s="23"/>
      <c r="H1025" s="7"/>
      <c r="I1025" s="47"/>
      <c r="J1025" s="11"/>
      <c r="L1025" s="40"/>
      <c r="M1025" s="228"/>
    </row>
    <row r="1026" spans="1:14" ht="18.75" customHeight="1" x14ac:dyDescent="0.55000000000000004">
      <c r="A1026" s="28"/>
      <c r="B1026" s="45"/>
      <c r="C1026" s="49"/>
      <c r="D1026" s="54"/>
      <c r="E1026" s="42"/>
      <c r="F1026" s="23"/>
      <c r="G1026" s="23"/>
      <c r="H1026" s="7"/>
      <c r="I1026" s="47"/>
      <c r="J1026" s="11"/>
      <c r="L1026" s="40"/>
      <c r="M1026" s="227"/>
      <c r="N1026" s="80"/>
    </row>
    <row r="1027" spans="1:14" ht="18.75" customHeight="1" x14ac:dyDescent="0.55000000000000004">
      <c r="A1027" s="28"/>
      <c r="B1027" s="45"/>
      <c r="C1027" s="49"/>
      <c r="D1027" s="54"/>
      <c r="E1027" s="42"/>
      <c r="F1027" s="23"/>
      <c r="G1027" s="23"/>
      <c r="H1027" s="7"/>
      <c r="I1027" s="47"/>
      <c r="J1027" s="11"/>
      <c r="L1027" s="40"/>
      <c r="M1027" s="30"/>
    </row>
    <row r="1028" spans="1:14" ht="18.75" customHeight="1" x14ac:dyDescent="0.55000000000000004">
      <c r="A1028" s="28"/>
      <c r="B1028" s="45"/>
      <c r="C1028" s="49"/>
      <c r="D1028" s="54"/>
      <c r="E1028" s="63"/>
      <c r="F1028" s="23"/>
      <c r="G1028" s="23"/>
      <c r="H1028" s="7"/>
      <c r="I1028" s="47"/>
      <c r="J1028" s="25"/>
      <c r="K1028" s="40"/>
      <c r="L1028" s="40"/>
      <c r="M1028" s="228"/>
    </row>
    <row r="1029" spans="1:14" ht="18.75" customHeight="1" x14ac:dyDescent="0.55000000000000004">
      <c r="A1029" s="28"/>
      <c r="B1029" s="45"/>
      <c r="C1029" s="49"/>
      <c r="D1029" s="54"/>
      <c r="E1029" s="63"/>
      <c r="F1029" s="23"/>
      <c r="G1029" s="23"/>
      <c r="H1029" s="7"/>
      <c r="I1029" s="47"/>
      <c r="J1029" s="11"/>
      <c r="L1029" s="40"/>
      <c r="M1029" s="228"/>
    </row>
    <row r="1030" spans="1:14" ht="18.75" customHeight="1" x14ac:dyDescent="0.55000000000000004">
      <c r="A1030" s="28"/>
      <c r="B1030" s="45"/>
      <c r="C1030" s="49"/>
      <c r="D1030" s="54"/>
      <c r="E1030" s="63"/>
      <c r="F1030" s="23"/>
      <c r="G1030" s="23"/>
      <c r="H1030" s="7"/>
      <c r="I1030" s="47"/>
      <c r="J1030" s="11"/>
      <c r="L1030" s="40"/>
      <c r="M1030" s="228"/>
    </row>
    <row r="1031" spans="1:14" ht="18.75" customHeight="1" x14ac:dyDescent="0.55000000000000004">
      <c r="A1031" s="28"/>
      <c r="B1031" s="45"/>
      <c r="C1031" s="49"/>
      <c r="D1031" s="54"/>
      <c r="E1031" s="42"/>
      <c r="F1031" s="23"/>
      <c r="G1031" s="23"/>
      <c r="H1031" s="7"/>
      <c r="I1031" s="47"/>
      <c r="J1031" s="11"/>
      <c r="L1031" s="40"/>
      <c r="M1031" s="227"/>
      <c r="N1031" s="80"/>
    </row>
    <row r="1032" spans="1:14" ht="18.75" customHeight="1" x14ac:dyDescent="0.55000000000000004">
      <c r="A1032" s="28"/>
      <c r="B1032" s="45"/>
      <c r="C1032" s="49"/>
      <c r="D1032" s="54"/>
      <c r="E1032" s="42"/>
      <c r="F1032" s="23"/>
      <c r="G1032" s="23"/>
      <c r="H1032" s="7"/>
      <c r="I1032" s="47"/>
      <c r="J1032" s="11"/>
      <c r="L1032" s="40"/>
      <c r="M1032" s="30"/>
    </row>
    <row r="1033" spans="1:14" ht="18.75" customHeight="1" x14ac:dyDescent="0.55000000000000004">
      <c r="A1033" s="28"/>
      <c r="B1033" s="45"/>
      <c r="C1033" s="49"/>
      <c r="D1033" s="54"/>
      <c r="E1033" s="63"/>
      <c r="F1033" s="23"/>
      <c r="G1033" s="23"/>
      <c r="H1033" s="7"/>
      <c r="I1033" s="47"/>
      <c r="J1033" s="25"/>
      <c r="K1033" s="40"/>
      <c r="L1033" s="40"/>
      <c r="M1033" s="228"/>
    </row>
    <row r="1034" spans="1:14" ht="18.75" customHeight="1" x14ac:dyDescent="0.55000000000000004">
      <c r="A1034" s="28"/>
      <c r="B1034" s="45"/>
      <c r="C1034" s="49"/>
      <c r="D1034" s="54"/>
      <c r="E1034" s="63"/>
      <c r="F1034" s="23"/>
      <c r="G1034" s="23"/>
      <c r="H1034" s="7"/>
      <c r="I1034" s="47"/>
      <c r="J1034" s="11"/>
      <c r="L1034" s="40"/>
      <c r="M1034" s="228"/>
    </row>
    <row r="1035" spans="1:14" ht="18.75" customHeight="1" x14ac:dyDescent="0.55000000000000004">
      <c r="A1035" s="28"/>
      <c r="B1035" s="45"/>
      <c r="C1035" s="49"/>
      <c r="D1035" s="54"/>
      <c r="E1035" s="63"/>
      <c r="F1035" s="23"/>
      <c r="G1035" s="23"/>
      <c r="H1035" s="7"/>
      <c r="I1035" s="47"/>
      <c r="J1035" s="11"/>
      <c r="L1035" s="40"/>
      <c r="M1035" s="228"/>
    </row>
    <row r="1036" spans="1:14" ht="18.75" customHeight="1" x14ac:dyDescent="0.55000000000000004">
      <c r="A1036" s="28"/>
      <c r="B1036" s="45"/>
      <c r="C1036" s="49"/>
      <c r="D1036" s="54"/>
      <c r="E1036" s="42"/>
      <c r="F1036" s="23"/>
      <c r="G1036" s="23"/>
      <c r="H1036" s="7"/>
      <c r="I1036" s="47"/>
      <c r="J1036" s="11"/>
      <c r="L1036" s="40"/>
      <c r="M1036" s="227"/>
      <c r="N1036" s="80"/>
    </row>
    <row r="1037" spans="1:14" ht="18.75" customHeight="1" x14ac:dyDescent="0.55000000000000004">
      <c r="A1037" s="28"/>
      <c r="B1037" s="45"/>
      <c r="C1037" s="49"/>
      <c r="D1037" s="54"/>
      <c r="E1037" s="42"/>
      <c r="F1037" s="23"/>
      <c r="G1037" s="23"/>
      <c r="H1037" s="7"/>
      <c r="I1037" s="47"/>
      <c r="J1037" s="11"/>
      <c r="L1037" s="40"/>
      <c r="M1037" s="30"/>
    </row>
    <row r="1038" spans="1:14" ht="18.75" customHeight="1" x14ac:dyDescent="0.55000000000000004">
      <c r="A1038" s="28"/>
      <c r="B1038" s="45"/>
      <c r="C1038" s="49"/>
      <c r="D1038" s="54"/>
      <c r="E1038" s="63"/>
      <c r="F1038" s="23"/>
      <c r="G1038" s="23"/>
      <c r="H1038" s="7"/>
      <c r="I1038" s="47"/>
      <c r="J1038" s="25"/>
      <c r="K1038" s="40"/>
      <c r="L1038" s="40"/>
      <c r="M1038" s="228"/>
    </row>
    <row r="1039" spans="1:14" ht="18.75" customHeight="1" x14ac:dyDescent="0.55000000000000004">
      <c r="A1039" s="28"/>
      <c r="B1039" s="45"/>
      <c r="C1039" s="49"/>
      <c r="D1039" s="54"/>
      <c r="E1039" s="63"/>
      <c r="F1039" s="23"/>
      <c r="G1039" s="23"/>
      <c r="H1039" s="7"/>
      <c r="I1039" s="47"/>
      <c r="J1039" s="11"/>
      <c r="L1039" s="40"/>
      <c r="M1039" s="228"/>
    </row>
    <row r="1040" spans="1:14" ht="18.75" customHeight="1" x14ac:dyDescent="0.55000000000000004">
      <c r="A1040" s="28"/>
      <c r="B1040" s="45"/>
      <c r="C1040" s="49"/>
      <c r="D1040" s="54"/>
      <c r="E1040" s="63"/>
      <c r="F1040" s="23"/>
      <c r="G1040" s="23"/>
      <c r="H1040" s="7"/>
      <c r="I1040" s="47"/>
      <c r="J1040" s="11"/>
      <c r="L1040" s="40"/>
      <c r="M1040" s="228"/>
    </row>
    <row r="1041" spans="1:14" ht="18.75" customHeight="1" x14ac:dyDescent="0.55000000000000004">
      <c r="A1041" s="28"/>
      <c r="B1041" s="45"/>
      <c r="C1041" s="49"/>
      <c r="D1041" s="54"/>
      <c r="E1041" s="42"/>
      <c r="F1041" s="23"/>
      <c r="G1041" s="23"/>
      <c r="H1041" s="7"/>
      <c r="I1041" s="47"/>
      <c r="J1041" s="11"/>
      <c r="L1041" s="40"/>
      <c r="M1041" s="227"/>
      <c r="N1041" s="80"/>
    </row>
    <row r="1042" spans="1:14" ht="18.75" customHeight="1" x14ac:dyDescent="0.55000000000000004">
      <c r="A1042" s="28"/>
      <c r="B1042" s="45"/>
      <c r="C1042" s="49"/>
      <c r="D1042" s="54"/>
      <c r="E1042" s="42"/>
      <c r="F1042" s="23"/>
      <c r="G1042" s="23"/>
      <c r="H1042" s="7"/>
      <c r="I1042" s="47"/>
      <c r="J1042" s="11"/>
      <c r="L1042" s="40"/>
      <c r="M1042" s="30"/>
    </row>
    <row r="1043" spans="1:14" ht="18.75" customHeight="1" x14ac:dyDescent="0.55000000000000004">
      <c r="A1043" s="28"/>
      <c r="B1043" s="45"/>
      <c r="C1043" s="49"/>
      <c r="D1043" s="54"/>
      <c r="E1043" s="63"/>
      <c r="F1043" s="23"/>
      <c r="G1043" s="23"/>
      <c r="H1043" s="7"/>
      <c r="I1043" s="47"/>
      <c r="J1043" s="25"/>
      <c r="K1043" s="40"/>
      <c r="L1043" s="40"/>
      <c r="M1043" s="228"/>
    </row>
    <row r="1044" spans="1:14" ht="18.75" customHeight="1" x14ac:dyDescent="0.55000000000000004">
      <c r="A1044" s="28"/>
      <c r="B1044" s="45"/>
      <c r="C1044" s="49"/>
      <c r="D1044" s="54"/>
      <c r="E1044" s="63"/>
      <c r="F1044" s="23"/>
      <c r="G1044" s="23"/>
      <c r="H1044" s="7"/>
      <c r="I1044" s="47"/>
      <c r="J1044" s="11"/>
      <c r="L1044" s="40"/>
      <c r="M1044" s="228"/>
    </row>
    <row r="1045" spans="1:14" ht="18.75" customHeight="1" x14ac:dyDescent="0.55000000000000004">
      <c r="A1045" s="28"/>
      <c r="B1045" s="45"/>
      <c r="C1045" s="49"/>
      <c r="D1045" s="54"/>
      <c r="E1045" s="63"/>
      <c r="F1045" s="23"/>
      <c r="G1045" s="23"/>
      <c r="H1045" s="7"/>
      <c r="I1045" s="47"/>
      <c r="J1045" s="11"/>
      <c r="L1045" s="40"/>
      <c r="M1045" s="228"/>
    </row>
    <row r="1046" spans="1:14" ht="18.75" customHeight="1" x14ac:dyDescent="0.55000000000000004">
      <c r="A1046" s="28"/>
      <c r="B1046" s="45"/>
      <c r="C1046" s="49"/>
      <c r="D1046" s="54"/>
      <c r="E1046" s="42"/>
      <c r="F1046" s="23"/>
      <c r="G1046" s="23"/>
      <c r="H1046" s="7"/>
      <c r="I1046" s="47"/>
      <c r="J1046" s="11"/>
      <c r="L1046" s="40"/>
      <c r="M1046" s="227"/>
      <c r="N1046" s="80"/>
    </row>
    <row r="1047" spans="1:14" ht="18.75" customHeight="1" x14ac:dyDescent="0.55000000000000004">
      <c r="A1047" s="28"/>
      <c r="B1047" s="45"/>
      <c r="C1047" s="49"/>
      <c r="D1047" s="54"/>
      <c r="E1047" s="42"/>
      <c r="F1047" s="23"/>
      <c r="G1047" s="23"/>
      <c r="H1047" s="7"/>
      <c r="I1047" s="47"/>
      <c r="J1047" s="11"/>
      <c r="L1047" s="40"/>
      <c r="M1047" s="30"/>
    </row>
    <row r="1048" spans="1:14" ht="18.75" customHeight="1" x14ac:dyDescent="0.55000000000000004">
      <c r="A1048" s="28"/>
      <c r="B1048" s="45"/>
      <c r="C1048" s="49"/>
      <c r="D1048" s="54"/>
      <c r="E1048" s="63"/>
      <c r="F1048" s="23"/>
      <c r="G1048" s="23"/>
      <c r="H1048" s="7"/>
      <c r="I1048" s="47"/>
      <c r="J1048" s="25"/>
      <c r="K1048" s="40"/>
      <c r="L1048" s="40"/>
      <c r="M1048" s="228"/>
    </row>
    <row r="1049" spans="1:14" ht="18.75" customHeight="1" x14ac:dyDescent="0.55000000000000004">
      <c r="A1049" s="28"/>
      <c r="B1049" s="45"/>
      <c r="C1049" s="49"/>
      <c r="D1049" s="54"/>
      <c r="E1049" s="63"/>
      <c r="F1049" s="23"/>
      <c r="G1049" s="23"/>
      <c r="H1049" s="7"/>
      <c r="I1049" s="47"/>
      <c r="J1049" s="11"/>
      <c r="L1049" s="40"/>
      <c r="M1049" s="228"/>
    </row>
    <row r="1050" spans="1:14" ht="18.75" customHeight="1" x14ac:dyDescent="0.55000000000000004">
      <c r="A1050" s="28"/>
      <c r="B1050" s="45"/>
      <c r="C1050" s="49"/>
      <c r="D1050" s="54"/>
      <c r="E1050" s="63"/>
      <c r="F1050" s="23"/>
      <c r="G1050" s="23"/>
      <c r="H1050" s="7"/>
      <c r="I1050" s="47"/>
      <c r="J1050" s="11"/>
      <c r="L1050" s="40"/>
      <c r="M1050" s="228"/>
    </row>
    <row r="1051" spans="1:14" ht="18.75" customHeight="1" x14ac:dyDescent="0.55000000000000004">
      <c r="A1051" s="28"/>
      <c r="B1051" s="45"/>
      <c r="C1051" s="49"/>
      <c r="D1051" s="54"/>
      <c r="E1051" s="42"/>
      <c r="F1051" s="23"/>
      <c r="G1051" s="23"/>
      <c r="H1051" s="7"/>
      <c r="I1051" s="47"/>
      <c r="J1051" s="11"/>
      <c r="L1051" s="40"/>
      <c r="M1051" s="227"/>
      <c r="N1051" s="80"/>
    </row>
    <row r="1052" spans="1:14" ht="18.75" customHeight="1" x14ac:dyDescent="0.55000000000000004">
      <c r="A1052" s="28"/>
      <c r="B1052" s="45"/>
      <c r="C1052" s="49"/>
      <c r="D1052" s="54"/>
      <c r="E1052" s="42"/>
      <c r="F1052" s="23"/>
      <c r="G1052" s="23"/>
      <c r="H1052" s="7"/>
      <c r="I1052" s="47"/>
      <c r="J1052" s="11"/>
      <c r="L1052" s="40"/>
      <c r="M1052" s="30"/>
    </row>
    <row r="1053" spans="1:14" ht="18.75" customHeight="1" x14ac:dyDescent="0.55000000000000004">
      <c r="A1053" s="28"/>
      <c r="B1053" s="45"/>
      <c r="C1053" s="49"/>
      <c r="D1053" s="54"/>
      <c r="E1053" s="63"/>
      <c r="F1053" s="23"/>
      <c r="G1053" s="23"/>
      <c r="H1053" s="7"/>
      <c r="I1053" s="47"/>
      <c r="J1053" s="25"/>
      <c r="K1053" s="40"/>
      <c r="L1053" s="40"/>
      <c r="M1053" s="228"/>
    </row>
    <row r="1054" spans="1:14" ht="18.75" customHeight="1" x14ac:dyDescent="0.55000000000000004">
      <c r="A1054" s="28"/>
      <c r="B1054" s="45"/>
      <c r="C1054" s="49"/>
      <c r="D1054" s="54"/>
      <c r="E1054" s="63"/>
      <c r="F1054" s="23"/>
      <c r="G1054" s="23"/>
      <c r="H1054" s="7"/>
      <c r="I1054" s="47"/>
      <c r="J1054" s="11"/>
      <c r="L1054" s="40"/>
      <c r="M1054" s="228"/>
    </row>
    <row r="1055" spans="1:14" ht="18.75" customHeight="1" x14ac:dyDescent="0.55000000000000004">
      <c r="A1055" s="28"/>
      <c r="B1055" s="45"/>
      <c r="C1055" s="49"/>
      <c r="D1055" s="54"/>
      <c r="E1055" s="63"/>
      <c r="F1055" s="23"/>
      <c r="G1055" s="23"/>
      <c r="H1055" s="7"/>
      <c r="I1055" s="47"/>
      <c r="J1055" s="11"/>
      <c r="L1055" s="40"/>
      <c r="M1055" s="228"/>
    </row>
    <row r="1056" spans="1:14" ht="18.75" customHeight="1" x14ac:dyDescent="0.55000000000000004">
      <c r="A1056" s="28"/>
      <c r="B1056" s="45"/>
      <c r="C1056" s="49"/>
      <c r="D1056" s="54"/>
      <c r="E1056" s="42"/>
      <c r="F1056" s="23"/>
      <c r="G1056" s="23"/>
      <c r="H1056" s="7"/>
      <c r="I1056" s="47"/>
      <c r="J1056" s="11"/>
      <c r="L1056" s="40"/>
      <c r="M1056" s="227"/>
      <c r="N1056" s="80"/>
    </row>
    <row r="1057" spans="1:14" ht="18.75" customHeight="1" x14ac:dyDescent="0.55000000000000004">
      <c r="A1057" s="28"/>
      <c r="B1057" s="45"/>
      <c r="C1057" s="49"/>
      <c r="D1057" s="54"/>
      <c r="E1057" s="42"/>
      <c r="F1057" s="23"/>
      <c r="G1057" s="23"/>
      <c r="H1057" s="7"/>
      <c r="I1057" s="47"/>
      <c r="J1057" s="11"/>
      <c r="L1057" s="40"/>
      <c r="M1057" s="30"/>
    </row>
    <row r="1058" spans="1:14" ht="18.75" customHeight="1" x14ac:dyDescent="0.55000000000000004">
      <c r="A1058" s="28"/>
      <c r="B1058" s="45"/>
      <c r="C1058" s="49"/>
      <c r="D1058" s="54"/>
      <c r="E1058" s="63"/>
      <c r="F1058" s="23"/>
      <c r="G1058" s="23"/>
      <c r="H1058" s="7"/>
      <c r="I1058" s="47"/>
      <c r="J1058" s="25"/>
      <c r="K1058" s="40"/>
      <c r="L1058" s="40"/>
      <c r="M1058" s="228"/>
    </row>
    <row r="1059" spans="1:14" ht="18.75" customHeight="1" x14ac:dyDescent="0.55000000000000004">
      <c r="A1059" s="28"/>
      <c r="B1059" s="45"/>
      <c r="C1059" s="49"/>
      <c r="D1059" s="54"/>
      <c r="E1059" s="63"/>
      <c r="F1059" s="23"/>
      <c r="G1059" s="23"/>
      <c r="H1059" s="7"/>
      <c r="I1059" s="47"/>
      <c r="J1059" s="11"/>
      <c r="L1059" s="40"/>
      <c r="M1059" s="228"/>
    </row>
    <row r="1060" spans="1:14" ht="18.75" customHeight="1" x14ac:dyDescent="0.55000000000000004">
      <c r="A1060" s="28"/>
      <c r="B1060" s="45"/>
      <c r="C1060" s="49"/>
      <c r="D1060" s="54"/>
      <c r="E1060" s="63"/>
      <c r="F1060" s="23"/>
      <c r="G1060" s="23"/>
      <c r="H1060" s="7"/>
      <c r="I1060" s="47"/>
      <c r="J1060" s="11"/>
      <c r="L1060" s="40"/>
      <c r="M1060" s="228"/>
    </row>
    <row r="1061" spans="1:14" ht="18.75" customHeight="1" x14ac:dyDescent="0.55000000000000004">
      <c r="A1061" s="28"/>
      <c r="B1061" s="45"/>
      <c r="C1061" s="49"/>
      <c r="D1061" s="54"/>
      <c r="E1061" s="42"/>
      <c r="F1061" s="23"/>
      <c r="G1061" s="23"/>
      <c r="H1061" s="7"/>
      <c r="I1061" s="47"/>
      <c r="J1061" s="11"/>
      <c r="L1061" s="40"/>
      <c r="M1061" s="227"/>
      <c r="N1061" s="80"/>
    </row>
    <row r="1062" spans="1:14" ht="18.75" customHeight="1" x14ac:dyDescent="0.55000000000000004">
      <c r="A1062" s="28"/>
      <c r="B1062" s="45"/>
      <c r="C1062" s="49"/>
      <c r="D1062" s="54"/>
      <c r="E1062" s="42"/>
      <c r="F1062" s="23"/>
      <c r="G1062" s="23"/>
      <c r="H1062" s="7"/>
      <c r="I1062" s="47"/>
      <c r="J1062" s="11"/>
      <c r="L1062" s="40"/>
      <c r="M1062" s="30"/>
    </row>
    <row r="1063" spans="1:14" ht="18.75" customHeight="1" x14ac:dyDescent="0.55000000000000004">
      <c r="A1063" s="28"/>
      <c r="B1063" s="45"/>
      <c r="C1063" s="49"/>
      <c r="D1063" s="54"/>
      <c r="E1063" s="63"/>
      <c r="F1063" s="23"/>
      <c r="G1063" s="23"/>
      <c r="H1063" s="7"/>
      <c r="I1063" s="47"/>
      <c r="J1063" s="25"/>
      <c r="K1063" s="40"/>
      <c r="L1063" s="40"/>
      <c r="M1063" s="228"/>
    </row>
    <row r="1064" spans="1:14" ht="18.75" customHeight="1" x14ac:dyDescent="0.55000000000000004">
      <c r="A1064" s="28"/>
      <c r="B1064" s="45"/>
      <c r="C1064" s="49"/>
      <c r="D1064" s="54"/>
      <c r="E1064" s="63"/>
      <c r="F1064" s="23"/>
      <c r="G1064" s="23"/>
      <c r="H1064" s="7"/>
      <c r="I1064" s="47"/>
      <c r="J1064" s="11"/>
      <c r="L1064" s="40"/>
      <c r="M1064" s="228"/>
    </row>
    <row r="1065" spans="1:14" ht="18.75" customHeight="1" x14ac:dyDescent="0.55000000000000004">
      <c r="A1065" s="28"/>
      <c r="B1065" s="45"/>
      <c r="C1065" s="49"/>
      <c r="D1065" s="54"/>
      <c r="E1065" s="63"/>
      <c r="F1065" s="23"/>
      <c r="G1065" s="23"/>
      <c r="H1065" s="7"/>
      <c r="I1065" s="47"/>
      <c r="J1065" s="11"/>
      <c r="L1065" s="40"/>
      <c r="M1065" s="228"/>
    </row>
    <row r="1066" spans="1:14" ht="18.75" customHeight="1" x14ac:dyDescent="0.55000000000000004">
      <c r="A1066" s="28"/>
      <c r="B1066" s="45"/>
      <c r="C1066" s="49"/>
      <c r="D1066" s="54"/>
      <c r="E1066" s="42"/>
      <c r="F1066" s="23"/>
      <c r="G1066" s="23"/>
      <c r="H1066" s="7"/>
      <c r="I1066" s="47"/>
      <c r="J1066" s="11"/>
      <c r="L1066" s="40"/>
      <c r="M1066" s="227"/>
      <c r="N1066" s="80"/>
    </row>
    <row r="1067" spans="1:14" ht="18.75" customHeight="1" x14ac:dyDescent="0.55000000000000004">
      <c r="A1067" s="28"/>
      <c r="B1067" s="45"/>
      <c r="C1067" s="49"/>
      <c r="D1067" s="54"/>
      <c r="E1067" s="42"/>
      <c r="F1067" s="23"/>
      <c r="G1067" s="23"/>
      <c r="H1067" s="7"/>
      <c r="I1067" s="47"/>
      <c r="J1067" s="11"/>
      <c r="L1067" s="40"/>
      <c r="M1067" s="30"/>
    </row>
    <row r="1068" spans="1:14" ht="18.75" customHeight="1" x14ac:dyDescent="0.55000000000000004">
      <c r="A1068" s="28"/>
      <c r="B1068" s="45"/>
      <c r="C1068" s="49"/>
      <c r="D1068" s="54"/>
      <c r="E1068" s="63"/>
      <c r="F1068" s="23"/>
      <c r="G1068" s="23"/>
      <c r="H1068" s="7"/>
      <c r="I1068" s="47"/>
      <c r="J1068" s="25"/>
      <c r="K1068" s="40"/>
      <c r="L1068" s="40"/>
      <c r="M1068" s="228"/>
    </row>
    <row r="1069" spans="1:14" ht="18.75" customHeight="1" x14ac:dyDescent="0.55000000000000004">
      <c r="A1069" s="28"/>
      <c r="B1069" s="45"/>
      <c r="C1069" s="49"/>
      <c r="D1069" s="54"/>
      <c r="E1069" s="63"/>
      <c r="F1069" s="23"/>
      <c r="G1069" s="23"/>
      <c r="H1069" s="7"/>
      <c r="I1069" s="47"/>
      <c r="J1069" s="11"/>
      <c r="L1069" s="40"/>
      <c r="M1069" s="228"/>
    </row>
    <row r="1070" spans="1:14" ht="18.75" customHeight="1" x14ac:dyDescent="0.55000000000000004">
      <c r="A1070" s="28"/>
      <c r="B1070" s="45"/>
      <c r="C1070" s="49"/>
      <c r="D1070" s="54"/>
      <c r="E1070" s="63"/>
      <c r="F1070" s="23"/>
      <c r="G1070" s="23"/>
      <c r="H1070" s="7"/>
      <c r="I1070" s="47"/>
      <c r="J1070" s="11"/>
      <c r="L1070" s="40"/>
      <c r="M1070" s="228"/>
    </row>
    <row r="1071" spans="1:14" ht="18.75" customHeight="1" x14ac:dyDescent="0.55000000000000004">
      <c r="A1071" s="28"/>
      <c r="B1071" s="45"/>
      <c r="C1071" s="49"/>
      <c r="D1071" s="54"/>
      <c r="E1071" s="42"/>
      <c r="F1071" s="23"/>
      <c r="G1071" s="23"/>
      <c r="H1071" s="7"/>
      <c r="I1071" s="47"/>
      <c r="J1071" s="11"/>
      <c r="L1071" s="40"/>
      <c r="M1071" s="227"/>
      <c r="N1071" s="80"/>
    </row>
    <row r="1072" spans="1:14" ht="18.75" customHeight="1" x14ac:dyDescent="0.55000000000000004">
      <c r="A1072" s="28"/>
      <c r="B1072" s="45"/>
      <c r="C1072" s="49"/>
      <c r="D1072" s="54"/>
      <c r="E1072" s="42"/>
      <c r="F1072" s="23"/>
      <c r="G1072" s="23"/>
      <c r="H1072" s="7"/>
      <c r="I1072" s="47"/>
      <c r="J1072" s="11"/>
      <c r="L1072" s="40"/>
      <c r="M1072" s="30"/>
    </row>
    <row r="1073" spans="1:14" ht="18.75" customHeight="1" x14ac:dyDescent="0.55000000000000004">
      <c r="A1073" s="28"/>
      <c r="B1073" s="45"/>
      <c r="C1073" s="49"/>
      <c r="D1073" s="54"/>
      <c r="E1073" s="63"/>
      <c r="F1073" s="23"/>
      <c r="G1073" s="23"/>
      <c r="H1073" s="7"/>
      <c r="I1073" s="47"/>
      <c r="J1073" s="25"/>
      <c r="K1073" s="40"/>
      <c r="L1073" s="40"/>
      <c r="M1073" s="228"/>
    </row>
    <row r="1074" spans="1:14" ht="18.75" customHeight="1" x14ac:dyDescent="0.55000000000000004">
      <c r="A1074" s="28"/>
      <c r="B1074" s="45"/>
      <c r="C1074" s="49"/>
      <c r="D1074" s="54"/>
      <c r="E1074" s="63"/>
      <c r="F1074" s="23"/>
      <c r="G1074" s="23"/>
      <c r="H1074" s="7"/>
      <c r="I1074" s="47"/>
      <c r="J1074" s="11"/>
      <c r="L1074" s="40"/>
      <c r="M1074" s="228"/>
    </row>
    <row r="1075" spans="1:14" ht="18.75" customHeight="1" x14ac:dyDescent="0.55000000000000004">
      <c r="A1075" s="28"/>
      <c r="B1075" s="45"/>
      <c r="C1075" s="49"/>
      <c r="D1075" s="54"/>
      <c r="E1075" s="63"/>
      <c r="F1075" s="23"/>
      <c r="G1075" s="23"/>
      <c r="H1075" s="7"/>
      <c r="I1075" s="47"/>
      <c r="J1075" s="11"/>
      <c r="L1075" s="40"/>
      <c r="M1075" s="228"/>
    </row>
    <row r="1076" spans="1:14" ht="18.75" customHeight="1" x14ac:dyDescent="0.55000000000000004">
      <c r="A1076" s="28"/>
      <c r="B1076" s="45"/>
      <c r="C1076" s="49"/>
      <c r="D1076" s="54"/>
      <c r="E1076" s="42"/>
      <c r="F1076" s="23"/>
      <c r="G1076" s="23"/>
      <c r="H1076" s="7"/>
      <c r="I1076" s="47"/>
      <c r="J1076" s="11"/>
      <c r="L1076" s="40"/>
      <c r="M1076" s="227"/>
      <c r="N1076" s="80"/>
    </row>
    <row r="1077" spans="1:14" ht="18.75" customHeight="1" x14ac:dyDescent="0.55000000000000004">
      <c r="A1077" s="28"/>
      <c r="B1077" s="45"/>
      <c r="C1077" s="49"/>
      <c r="D1077" s="54"/>
      <c r="E1077" s="42"/>
      <c r="F1077" s="23"/>
      <c r="G1077" s="23"/>
      <c r="H1077" s="7"/>
      <c r="I1077" s="47"/>
      <c r="J1077" s="11"/>
      <c r="L1077" s="40"/>
      <c r="M1077" s="30"/>
    </row>
    <row r="1078" spans="1:14" ht="18.75" customHeight="1" x14ac:dyDescent="0.55000000000000004">
      <c r="A1078" s="28"/>
      <c r="B1078" s="45"/>
      <c r="C1078" s="49"/>
      <c r="D1078" s="54"/>
      <c r="E1078" s="63"/>
      <c r="F1078" s="23"/>
      <c r="G1078" s="23"/>
      <c r="H1078" s="7"/>
      <c r="I1078" s="47"/>
      <c r="J1078" s="25"/>
      <c r="K1078" s="40"/>
      <c r="L1078" s="40"/>
      <c r="M1078" s="228"/>
    </row>
    <row r="1079" spans="1:14" ht="18.75" customHeight="1" x14ac:dyDescent="0.55000000000000004">
      <c r="A1079" s="28"/>
      <c r="B1079" s="45"/>
      <c r="C1079" s="49"/>
      <c r="D1079" s="54"/>
      <c r="E1079" s="63"/>
      <c r="F1079" s="23"/>
      <c r="G1079" s="23"/>
      <c r="H1079" s="7"/>
      <c r="I1079" s="47"/>
      <c r="J1079" s="11"/>
      <c r="L1079" s="40"/>
      <c r="M1079" s="228"/>
    </row>
    <row r="1080" spans="1:14" ht="18.75" customHeight="1" x14ac:dyDescent="0.55000000000000004">
      <c r="A1080" s="28"/>
      <c r="B1080" s="45"/>
      <c r="C1080" s="49"/>
      <c r="D1080" s="54"/>
      <c r="E1080" s="63"/>
      <c r="F1080" s="23"/>
      <c r="G1080" s="23"/>
      <c r="H1080" s="7"/>
      <c r="I1080" s="47"/>
      <c r="J1080" s="11"/>
      <c r="L1080" s="40"/>
      <c r="M1080" s="228"/>
    </row>
    <row r="1081" spans="1:14" ht="18.75" customHeight="1" x14ac:dyDescent="0.55000000000000004">
      <c r="A1081" s="28"/>
      <c r="B1081" s="45"/>
      <c r="C1081" s="49"/>
      <c r="D1081" s="54"/>
      <c r="E1081" s="42"/>
      <c r="F1081" s="23"/>
      <c r="G1081" s="23"/>
      <c r="H1081" s="7"/>
      <c r="I1081" s="47"/>
      <c r="J1081" s="11"/>
      <c r="L1081" s="40"/>
      <c r="M1081" s="227"/>
      <c r="N1081" s="80"/>
    </row>
    <row r="1082" spans="1:14" ht="18.75" customHeight="1" x14ac:dyDescent="0.55000000000000004">
      <c r="A1082" s="28"/>
      <c r="B1082" s="45"/>
      <c r="C1082" s="49"/>
      <c r="D1082" s="54"/>
      <c r="E1082" s="42"/>
      <c r="F1082" s="23"/>
      <c r="G1082" s="23"/>
      <c r="H1082" s="7"/>
      <c r="I1082" s="47"/>
      <c r="J1082" s="11"/>
      <c r="L1082" s="40"/>
      <c r="M1082" s="30"/>
    </row>
    <row r="1083" spans="1:14" ht="18.75" customHeight="1" x14ac:dyDescent="0.55000000000000004">
      <c r="A1083" s="28"/>
      <c r="B1083" s="45"/>
      <c r="C1083" s="49"/>
      <c r="D1083" s="54"/>
      <c r="E1083" s="63"/>
      <c r="F1083" s="23"/>
      <c r="G1083" s="23"/>
      <c r="H1083" s="7"/>
      <c r="I1083" s="47"/>
      <c r="J1083" s="25"/>
      <c r="K1083" s="40"/>
      <c r="L1083" s="40"/>
      <c r="M1083" s="228"/>
    </row>
    <row r="1084" spans="1:14" ht="18.75" customHeight="1" x14ac:dyDescent="0.55000000000000004">
      <c r="A1084" s="28"/>
      <c r="B1084" s="45"/>
      <c r="C1084" s="49"/>
      <c r="D1084" s="54"/>
      <c r="E1084" s="63"/>
      <c r="F1084" s="23"/>
      <c r="G1084" s="23"/>
      <c r="H1084" s="7"/>
      <c r="I1084" s="47"/>
      <c r="J1084" s="11"/>
      <c r="L1084" s="40"/>
      <c r="M1084" s="228"/>
    </row>
    <row r="1085" spans="1:14" ht="18.75" customHeight="1" x14ac:dyDescent="0.55000000000000004">
      <c r="A1085" s="28"/>
      <c r="B1085" s="45"/>
      <c r="C1085" s="49"/>
      <c r="D1085" s="54"/>
      <c r="E1085" s="63"/>
      <c r="F1085" s="23"/>
      <c r="G1085" s="23"/>
      <c r="H1085" s="7"/>
      <c r="I1085" s="47"/>
      <c r="J1085" s="11"/>
      <c r="L1085" s="40"/>
      <c r="M1085" s="228"/>
    </row>
    <row r="1086" spans="1:14" ht="18.75" customHeight="1" x14ac:dyDescent="0.55000000000000004">
      <c r="A1086" s="28"/>
      <c r="B1086" s="45"/>
      <c r="C1086" s="49"/>
      <c r="D1086" s="54"/>
      <c r="E1086" s="42"/>
      <c r="F1086" s="23"/>
      <c r="G1086" s="23"/>
      <c r="H1086" s="7"/>
      <c r="I1086" s="47"/>
      <c r="J1086" s="11"/>
      <c r="L1086" s="40"/>
      <c r="M1086" s="227"/>
      <c r="N1086" s="80"/>
    </row>
    <row r="1087" spans="1:14" ht="18.75" customHeight="1" x14ac:dyDescent="0.55000000000000004">
      <c r="A1087" s="28"/>
      <c r="B1087" s="45"/>
      <c r="C1087" s="49"/>
      <c r="D1087" s="54"/>
      <c r="E1087" s="42"/>
      <c r="F1087" s="23"/>
      <c r="G1087" s="23"/>
      <c r="H1087" s="7"/>
      <c r="I1087" s="47"/>
      <c r="J1087" s="11"/>
      <c r="L1087" s="40"/>
      <c r="M1087" s="30"/>
    </row>
    <row r="1088" spans="1:14" ht="18.75" customHeight="1" x14ac:dyDescent="0.55000000000000004">
      <c r="A1088" s="28"/>
      <c r="B1088" s="45"/>
      <c r="C1088" s="49"/>
      <c r="D1088" s="54"/>
      <c r="E1088" s="63"/>
      <c r="F1088" s="23"/>
      <c r="G1088" s="23"/>
      <c r="H1088" s="7"/>
      <c r="I1088" s="47"/>
      <c r="J1088" s="25"/>
      <c r="K1088" s="40"/>
      <c r="L1088" s="40"/>
      <c r="M1088" s="228"/>
    </row>
    <row r="1089" spans="1:14" ht="18.75" customHeight="1" x14ac:dyDescent="0.55000000000000004">
      <c r="A1089" s="28"/>
      <c r="B1089" s="45"/>
      <c r="C1089" s="49"/>
      <c r="D1089" s="54"/>
      <c r="E1089" s="63"/>
      <c r="F1089" s="23"/>
      <c r="G1089" s="23"/>
      <c r="H1089" s="7"/>
      <c r="I1089" s="47"/>
      <c r="J1089" s="11"/>
      <c r="L1089" s="40"/>
      <c r="M1089" s="228"/>
    </row>
    <row r="1090" spans="1:14" ht="18.75" customHeight="1" x14ac:dyDescent="0.55000000000000004">
      <c r="A1090" s="28"/>
      <c r="B1090" s="45"/>
      <c r="C1090" s="49"/>
      <c r="D1090" s="54"/>
      <c r="E1090" s="63"/>
      <c r="F1090" s="23"/>
      <c r="G1090" s="23"/>
      <c r="H1090" s="7"/>
      <c r="I1090" s="47"/>
      <c r="J1090" s="11"/>
      <c r="L1090" s="40"/>
      <c r="M1090" s="228"/>
    </row>
    <row r="1091" spans="1:14" ht="18.75" customHeight="1" x14ac:dyDescent="0.55000000000000004">
      <c r="A1091" s="28"/>
      <c r="B1091" s="45"/>
      <c r="C1091" s="49"/>
      <c r="D1091" s="54"/>
      <c r="E1091" s="42"/>
      <c r="F1091" s="23"/>
      <c r="G1091" s="23"/>
      <c r="H1091" s="7"/>
      <c r="I1091" s="47"/>
      <c r="J1091" s="11"/>
      <c r="L1091" s="40"/>
      <c r="M1091" s="227"/>
      <c r="N1091" s="80"/>
    </row>
    <row r="1092" spans="1:14" ht="18.75" customHeight="1" x14ac:dyDescent="0.55000000000000004">
      <c r="A1092" s="28"/>
      <c r="B1092" s="45"/>
      <c r="C1092" s="49"/>
      <c r="D1092" s="54"/>
      <c r="E1092" s="42"/>
      <c r="F1092" s="23"/>
      <c r="G1092" s="23"/>
      <c r="H1092" s="7"/>
      <c r="I1092" s="47"/>
      <c r="J1092" s="11"/>
      <c r="L1092" s="40"/>
      <c r="M1092" s="30"/>
    </row>
    <row r="1093" spans="1:14" ht="18.75" customHeight="1" x14ac:dyDescent="0.55000000000000004">
      <c r="A1093" s="28"/>
      <c r="B1093" s="45"/>
      <c r="C1093" s="49"/>
      <c r="D1093" s="54"/>
      <c r="E1093" s="63"/>
      <c r="F1093" s="23"/>
      <c r="G1093" s="23"/>
      <c r="H1093" s="7"/>
      <c r="I1093" s="47"/>
      <c r="J1093" s="25"/>
      <c r="K1093" s="40"/>
      <c r="L1093" s="40"/>
      <c r="M1093" s="228"/>
    </row>
    <row r="1094" spans="1:14" ht="18.75" customHeight="1" x14ac:dyDescent="0.55000000000000004">
      <c r="A1094" s="28"/>
      <c r="B1094" s="45"/>
      <c r="C1094" s="49"/>
      <c r="D1094" s="54"/>
      <c r="E1094" s="63"/>
      <c r="F1094" s="23"/>
      <c r="G1094" s="23"/>
      <c r="H1094" s="7"/>
      <c r="I1094" s="47"/>
      <c r="J1094" s="11"/>
      <c r="L1094" s="40"/>
      <c r="M1094" s="228"/>
    </row>
    <row r="1095" spans="1:14" ht="18.75" customHeight="1" x14ac:dyDescent="0.55000000000000004">
      <c r="A1095" s="28"/>
      <c r="B1095" s="45"/>
      <c r="C1095" s="49"/>
      <c r="D1095" s="54"/>
      <c r="E1095" s="63"/>
      <c r="F1095" s="23"/>
      <c r="G1095" s="23"/>
      <c r="H1095" s="7"/>
      <c r="I1095" s="47"/>
      <c r="J1095" s="11"/>
      <c r="L1095" s="40"/>
      <c r="M1095" s="228"/>
    </row>
    <row r="1096" spans="1:14" ht="18.75" customHeight="1" x14ac:dyDescent="0.55000000000000004">
      <c r="A1096" s="28"/>
      <c r="B1096" s="45"/>
      <c r="C1096" s="49"/>
      <c r="D1096" s="54"/>
      <c r="E1096" s="42"/>
      <c r="F1096" s="23"/>
      <c r="G1096" s="23"/>
      <c r="H1096" s="7"/>
      <c r="I1096" s="47"/>
      <c r="J1096" s="11"/>
      <c r="L1096" s="40"/>
      <c r="M1096" s="227"/>
      <c r="N1096" s="80"/>
    </row>
    <row r="1097" spans="1:14" ht="18.75" customHeight="1" x14ac:dyDescent="0.55000000000000004">
      <c r="A1097" s="28"/>
      <c r="B1097" s="45"/>
      <c r="C1097" s="49"/>
      <c r="D1097" s="54"/>
      <c r="E1097" s="42"/>
      <c r="F1097" s="23"/>
      <c r="G1097" s="23"/>
      <c r="H1097" s="7"/>
      <c r="I1097" s="47"/>
      <c r="J1097" s="11"/>
      <c r="L1097" s="40"/>
      <c r="M1097" s="30"/>
    </row>
    <row r="1098" spans="1:14" ht="18.75" customHeight="1" x14ac:dyDescent="0.55000000000000004">
      <c r="A1098" s="28"/>
      <c r="B1098" s="45"/>
      <c r="C1098" s="49"/>
      <c r="D1098" s="54"/>
      <c r="E1098" s="63"/>
      <c r="F1098" s="23"/>
      <c r="G1098" s="23"/>
      <c r="H1098" s="7"/>
      <c r="I1098" s="47"/>
      <c r="J1098" s="25"/>
      <c r="K1098" s="40"/>
      <c r="L1098" s="40"/>
      <c r="M1098" s="228"/>
    </row>
    <row r="1099" spans="1:14" ht="18.75" customHeight="1" x14ac:dyDescent="0.55000000000000004">
      <c r="A1099" s="28"/>
      <c r="B1099" s="45"/>
      <c r="C1099" s="49"/>
      <c r="D1099" s="54"/>
      <c r="E1099" s="63"/>
      <c r="F1099" s="23"/>
      <c r="G1099" s="23"/>
      <c r="H1099" s="7"/>
      <c r="I1099" s="47"/>
      <c r="J1099" s="11"/>
      <c r="L1099" s="40"/>
      <c r="M1099" s="228"/>
    </row>
    <row r="1100" spans="1:14" ht="18.75" customHeight="1" x14ac:dyDescent="0.55000000000000004">
      <c r="A1100" s="28"/>
      <c r="B1100" s="45"/>
      <c r="C1100" s="49"/>
      <c r="D1100" s="54"/>
      <c r="E1100" s="63"/>
      <c r="F1100" s="23"/>
      <c r="G1100" s="23"/>
      <c r="H1100" s="7"/>
      <c r="I1100" s="47"/>
      <c r="J1100" s="11"/>
      <c r="L1100" s="40"/>
      <c r="M1100" s="228"/>
    </row>
    <row r="1101" spans="1:14" ht="18.75" customHeight="1" x14ac:dyDescent="0.55000000000000004">
      <c r="A1101" s="28"/>
      <c r="B1101" s="45"/>
      <c r="C1101" s="49"/>
      <c r="D1101" s="54"/>
      <c r="E1101" s="42"/>
      <c r="F1101" s="23"/>
      <c r="G1101" s="23"/>
      <c r="H1101" s="7"/>
      <c r="I1101" s="47"/>
      <c r="J1101" s="11"/>
      <c r="L1101" s="40"/>
      <c r="M1101" s="227"/>
      <c r="N1101" s="80"/>
    </row>
    <row r="1102" spans="1:14" ht="18.75" customHeight="1" x14ac:dyDescent="0.55000000000000004">
      <c r="A1102" s="28"/>
      <c r="B1102" s="45"/>
      <c r="C1102" s="49"/>
      <c r="D1102" s="54"/>
      <c r="E1102" s="42"/>
      <c r="F1102" s="23"/>
      <c r="G1102" s="23"/>
      <c r="H1102" s="7"/>
      <c r="I1102" s="47"/>
      <c r="J1102" s="11"/>
      <c r="L1102" s="40"/>
      <c r="M1102" s="30"/>
    </row>
    <row r="1103" spans="1:14" ht="18.75" customHeight="1" x14ac:dyDescent="0.55000000000000004">
      <c r="A1103" s="28"/>
      <c r="B1103" s="45"/>
      <c r="C1103" s="49"/>
      <c r="D1103" s="54"/>
      <c r="E1103" s="63"/>
      <c r="F1103" s="23"/>
      <c r="G1103" s="23"/>
      <c r="H1103" s="7"/>
      <c r="I1103" s="47"/>
      <c r="J1103" s="25"/>
      <c r="K1103" s="40"/>
      <c r="L1103" s="40"/>
      <c r="M1103" s="228"/>
    </row>
    <row r="1104" spans="1:14" ht="18.75" customHeight="1" x14ac:dyDescent="0.55000000000000004">
      <c r="A1104" s="28"/>
      <c r="B1104" s="45"/>
      <c r="C1104" s="49"/>
      <c r="D1104" s="54"/>
      <c r="E1104" s="63"/>
      <c r="F1104" s="23"/>
      <c r="G1104" s="23"/>
      <c r="H1104" s="7"/>
      <c r="I1104" s="47"/>
      <c r="J1104" s="11"/>
      <c r="L1104" s="40"/>
      <c r="M1104" s="228"/>
    </row>
    <row r="1105" spans="1:14" ht="18.75" customHeight="1" x14ac:dyDescent="0.55000000000000004">
      <c r="A1105" s="28"/>
      <c r="B1105" s="45"/>
      <c r="C1105" s="49"/>
      <c r="D1105" s="54"/>
      <c r="E1105" s="63"/>
      <c r="F1105" s="23"/>
      <c r="G1105" s="23"/>
      <c r="H1105" s="7"/>
      <c r="I1105" s="47"/>
      <c r="J1105" s="11"/>
      <c r="L1105" s="40"/>
      <c r="M1105" s="228"/>
    </row>
    <row r="1106" spans="1:14" ht="18.75" customHeight="1" x14ac:dyDescent="0.55000000000000004">
      <c r="A1106" s="28"/>
      <c r="B1106" s="45"/>
      <c r="C1106" s="49"/>
      <c r="D1106" s="54"/>
      <c r="E1106" s="42"/>
      <c r="F1106" s="23"/>
      <c r="G1106" s="23"/>
      <c r="H1106" s="7"/>
      <c r="I1106" s="47"/>
      <c r="J1106" s="11"/>
      <c r="L1106" s="40"/>
      <c r="M1106" s="227"/>
      <c r="N1106" s="80"/>
    </row>
    <row r="1107" spans="1:14" ht="18.75" customHeight="1" x14ac:dyDescent="0.55000000000000004">
      <c r="A1107" s="28"/>
      <c r="B1107" s="45"/>
      <c r="C1107" s="49"/>
      <c r="D1107" s="54"/>
      <c r="E1107" s="42"/>
      <c r="F1107" s="23"/>
      <c r="G1107" s="23"/>
      <c r="H1107" s="7"/>
      <c r="I1107" s="47"/>
      <c r="J1107" s="11"/>
      <c r="L1107" s="40"/>
      <c r="M1107" s="30"/>
    </row>
    <row r="1108" spans="1:14" ht="18.75" customHeight="1" x14ac:dyDescent="0.55000000000000004">
      <c r="A1108" s="28"/>
      <c r="B1108" s="45"/>
      <c r="C1108" s="49"/>
      <c r="D1108" s="54"/>
      <c r="E1108" s="63"/>
      <c r="F1108" s="23"/>
      <c r="G1108" s="23"/>
      <c r="H1108" s="7"/>
      <c r="I1108" s="47"/>
      <c r="J1108" s="25"/>
      <c r="K1108" s="40"/>
      <c r="L1108" s="40"/>
      <c r="M1108" s="228"/>
    </row>
    <row r="1109" spans="1:14" ht="18.75" customHeight="1" x14ac:dyDescent="0.55000000000000004">
      <c r="A1109" s="28"/>
      <c r="B1109" s="45"/>
      <c r="C1109" s="49"/>
      <c r="D1109" s="54"/>
      <c r="E1109" s="63"/>
      <c r="F1109" s="23"/>
      <c r="G1109" s="23"/>
      <c r="H1109" s="7"/>
      <c r="I1109" s="47"/>
      <c r="J1109" s="11"/>
      <c r="L1109" s="40"/>
      <c r="M1109" s="228"/>
    </row>
    <row r="1110" spans="1:14" ht="18.75" customHeight="1" x14ac:dyDescent="0.55000000000000004">
      <c r="A1110" s="28"/>
      <c r="B1110" s="45"/>
      <c r="C1110" s="49"/>
      <c r="D1110" s="54"/>
      <c r="E1110" s="63"/>
      <c r="F1110" s="23"/>
      <c r="G1110" s="23"/>
      <c r="H1110" s="7"/>
      <c r="I1110" s="47"/>
      <c r="J1110" s="11"/>
      <c r="L1110" s="40"/>
      <c r="M1110" s="228"/>
    </row>
    <row r="1111" spans="1:14" ht="18.75" customHeight="1" x14ac:dyDescent="0.55000000000000004">
      <c r="A1111" s="28"/>
      <c r="B1111" s="45"/>
      <c r="C1111" s="49"/>
      <c r="D1111" s="54"/>
      <c r="E1111" s="42"/>
      <c r="F1111" s="23"/>
      <c r="G1111" s="23"/>
      <c r="H1111" s="7"/>
      <c r="I1111" s="47"/>
      <c r="J1111" s="11"/>
      <c r="L1111" s="40"/>
      <c r="M1111" s="227"/>
      <c r="N1111" s="80"/>
    </row>
    <row r="1112" spans="1:14" ht="18.75" customHeight="1" x14ac:dyDescent="0.55000000000000004">
      <c r="A1112" s="28"/>
      <c r="B1112" s="45"/>
      <c r="C1112" s="49"/>
      <c r="D1112" s="54"/>
      <c r="E1112" s="42"/>
      <c r="F1112" s="23"/>
      <c r="G1112" s="23"/>
      <c r="H1112" s="7"/>
      <c r="I1112" s="47"/>
      <c r="J1112" s="11"/>
      <c r="L1112" s="40"/>
      <c r="M1112" s="30"/>
    </row>
    <row r="1113" spans="1:14" ht="18.75" customHeight="1" x14ac:dyDescent="0.55000000000000004">
      <c r="A1113" s="28"/>
      <c r="B1113" s="45"/>
      <c r="C1113" s="49"/>
      <c r="D1113" s="54"/>
      <c r="E1113" s="63"/>
      <c r="F1113" s="23"/>
      <c r="G1113" s="23"/>
      <c r="H1113" s="7"/>
      <c r="I1113" s="47"/>
      <c r="J1113" s="25"/>
      <c r="K1113" s="40"/>
      <c r="L1113" s="40"/>
      <c r="M1113" s="228"/>
    </row>
    <row r="1114" spans="1:14" ht="18.75" customHeight="1" x14ac:dyDescent="0.55000000000000004">
      <c r="A1114" s="28"/>
      <c r="B1114" s="45"/>
      <c r="C1114" s="49"/>
      <c r="D1114" s="54"/>
      <c r="E1114" s="63"/>
      <c r="F1114" s="23"/>
      <c r="G1114" s="23"/>
      <c r="H1114" s="7"/>
      <c r="I1114" s="47"/>
      <c r="J1114" s="11"/>
      <c r="L1114" s="40"/>
      <c r="M1114" s="228"/>
    </row>
    <row r="1115" spans="1:14" ht="18.75" customHeight="1" x14ac:dyDescent="0.55000000000000004">
      <c r="A1115" s="28"/>
      <c r="B1115" s="45"/>
      <c r="C1115" s="49"/>
      <c r="D1115" s="54"/>
      <c r="E1115" s="63"/>
      <c r="F1115" s="23"/>
      <c r="G1115" s="23"/>
      <c r="H1115" s="7"/>
      <c r="I1115" s="47"/>
      <c r="J1115" s="11"/>
      <c r="L1115" s="40"/>
      <c r="M1115" s="228"/>
    </row>
    <row r="1116" spans="1:14" ht="18.75" customHeight="1" x14ac:dyDescent="0.55000000000000004">
      <c r="A1116" s="28"/>
      <c r="B1116" s="45"/>
      <c r="C1116" s="49"/>
      <c r="D1116" s="54"/>
      <c r="E1116" s="42"/>
      <c r="F1116" s="23"/>
      <c r="G1116" s="23"/>
      <c r="H1116" s="7"/>
      <c r="I1116" s="47"/>
      <c r="J1116" s="11"/>
      <c r="L1116" s="40"/>
      <c r="M1116" s="227"/>
      <c r="N1116" s="80"/>
    </row>
    <row r="1117" spans="1:14" ht="18.75" customHeight="1" x14ac:dyDescent="0.55000000000000004">
      <c r="A1117" s="28"/>
      <c r="B1117" s="45"/>
      <c r="C1117" s="49"/>
      <c r="D1117" s="54"/>
      <c r="E1117" s="42"/>
      <c r="F1117" s="23"/>
      <c r="G1117" s="23"/>
      <c r="H1117" s="7"/>
      <c r="I1117" s="47"/>
      <c r="J1117" s="11"/>
      <c r="L1117" s="40"/>
      <c r="M1117" s="30"/>
    </row>
    <row r="1118" spans="1:14" ht="18.75" customHeight="1" x14ac:dyDescent="0.55000000000000004">
      <c r="A1118" s="28"/>
      <c r="B1118" s="45"/>
      <c r="C1118" s="49"/>
      <c r="D1118" s="54"/>
      <c r="E1118" s="63"/>
      <c r="F1118" s="23"/>
      <c r="G1118" s="23"/>
      <c r="H1118" s="7"/>
      <c r="I1118" s="47"/>
      <c r="J1118" s="25"/>
      <c r="K1118" s="40"/>
      <c r="L1118" s="40"/>
      <c r="M1118" s="228"/>
    </row>
    <row r="1119" spans="1:14" ht="18.75" customHeight="1" x14ac:dyDescent="0.55000000000000004">
      <c r="A1119" s="28"/>
      <c r="B1119" s="45"/>
      <c r="C1119" s="49"/>
      <c r="D1119" s="54"/>
      <c r="E1119" s="63"/>
      <c r="F1119" s="23"/>
      <c r="G1119" s="23"/>
      <c r="H1119" s="7"/>
      <c r="I1119" s="47"/>
      <c r="J1119" s="11"/>
      <c r="L1119" s="40"/>
      <c r="M1119" s="228"/>
    </row>
    <row r="1120" spans="1:14" ht="18.75" customHeight="1" x14ac:dyDescent="0.55000000000000004">
      <c r="A1120" s="28"/>
      <c r="B1120" s="45"/>
      <c r="C1120" s="49"/>
      <c r="D1120" s="54"/>
      <c r="E1120" s="63"/>
      <c r="F1120" s="23"/>
      <c r="G1120" s="23"/>
      <c r="H1120" s="7"/>
      <c r="I1120" s="47"/>
      <c r="J1120" s="11"/>
      <c r="L1120" s="40"/>
      <c r="M1120" s="228"/>
    </row>
    <row r="1121" spans="1:14" ht="18.75" customHeight="1" x14ac:dyDescent="0.55000000000000004">
      <c r="A1121" s="28"/>
      <c r="B1121" s="45"/>
      <c r="C1121" s="49"/>
      <c r="D1121" s="54"/>
      <c r="E1121" s="42"/>
      <c r="F1121" s="23"/>
      <c r="G1121" s="23"/>
      <c r="H1121" s="7"/>
      <c r="I1121" s="47"/>
      <c r="J1121" s="11"/>
      <c r="L1121" s="40"/>
      <c r="M1121" s="227"/>
      <c r="N1121" s="80"/>
    </row>
    <row r="1122" spans="1:14" ht="18.75" customHeight="1" x14ac:dyDescent="0.55000000000000004">
      <c r="A1122" s="28"/>
      <c r="B1122" s="45"/>
      <c r="C1122" s="49"/>
      <c r="D1122" s="54"/>
      <c r="E1122" s="42"/>
      <c r="F1122" s="23"/>
      <c r="G1122" s="23"/>
      <c r="H1122" s="7"/>
      <c r="I1122" s="47"/>
      <c r="J1122" s="11"/>
      <c r="L1122" s="40"/>
      <c r="M1122" s="30"/>
    </row>
    <row r="1123" spans="1:14" ht="18.75" customHeight="1" x14ac:dyDescent="0.55000000000000004">
      <c r="A1123" s="28"/>
      <c r="B1123" s="45"/>
      <c r="C1123" s="49"/>
      <c r="D1123" s="54"/>
      <c r="E1123" s="63"/>
      <c r="F1123" s="23"/>
      <c r="G1123" s="23"/>
      <c r="H1123" s="7"/>
      <c r="I1123" s="47"/>
      <c r="J1123" s="25"/>
      <c r="K1123" s="40"/>
      <c r="L1123" s="40"/>
      <c r="M1123" s="228"/>
    </row>
    <row r="1124" spans="1:14" ht="18.75" customHeight="1" x14ac:dyDescent="0.55000000000000004">
      <c r="A1124" s="28"/>
      <c r="B1124" s="45"/>
      <c r="C1124" s="49"/>
      <c r="D1124" s="54"/>
      <c r="E1124" s="63"/>
      <c r="F1124" s="23"/>
      <c r="G1124" s="23"/>
      <c r="H1124" s="7"/>
      <c r="I1124" s="47"/>
      <c r="J1124" s="11"/>
      <c r="L1124" s="40"/>
      <c r="M1124" s="228"/>
    </row>
    <row r="1125" spans="1:14" ht="18.75" customHeight="1" x14ac:dyDescent="0.55000000000000004">
      <c r="A1125" s="28"/>
      <c r="B1125" s="45"/>
      <c r="C1125" s="49"/>
      <c r="D1125" s="54"/>
      <c r="E1125" s="63"/>
      <c r="F1125" s="23"/>
      <c r="G1125" s="23"/>
      <c r="H1125" s="7"/>
      <c r="I1125" s="47"/>
      <c r="J1125" s="11"/>
      <c r="L1125" s="40"/>
      <c r="M1125" s="228"/>
    </row>
    <row r="1126" spans="1:14" ht="18.75" customHeight="1" x14ac:dyDescent="0.55000000000000004">
      <c r="A1126" s="28"/>
      <c r="B1126" s="45"/>
      <c r="C1126" s="49"/>
      <c r="D1126" s="54"/>
      <c r="E1126" s="42"/>
      <c r="F1126" s="23"/>
      <c r="G1126" s="23"/>
      <c r="H1126" s="7"/>
      <c r="I1126" s="47"/>
      <c r="J1126" s="11"/>
      <c r="L1126" s="40"/>
      <c r="M1126" s="227"/>
      <c r="N1126" s="80"/>
    </row>
    <row r="1127" spans="1:14" ht="18.75" customHeight="1" x14ac:dyDescent="0.55000000000000004">
      <c r="A1127" s="28"/>
      <c r="B1127" s="45"/>
      <c r="C1127" s="49"/>
      <c r="D1127" s="54"/>
      <c r="E1127" s="42"/>
      <c r="F1127" s="23"/>
      <c r="G1127" s="23"/>
      <c r="H1127" s="7"/>
      <c r="I1127" s="47"/>
      <c r="J1127" s="11"/>
      <c r="L1127" s="40"/>
      <c r="M1127" s="30"/>
    </row>
    <row r="1128" spans="1:14" ht="18.75" customHeight="1" x14ac:dyDescent="0.55000000000000004">
      <c r="A1128" s="28"/>
      <c r="B1128" s="45"/>
      <c r="C1128" s="49"/>
      <c r="D1128" s="54"/>
      <c r="E1128" s="63"/>
      <c r="F1128" s="23"/>
      <c r="G1128" s="23"/>
      <c r="H1128" s="7"/>
      <c r="I1128" s="47"/>
      <c r="J1128" s="25"/>
      <c r="K1128" s="40"/>
      <c r="L1128" s="40"/>
      <c r="M1128" s="228"/>
    </row>
    <row r="1129" spans="1:14" ht="18.75" customHeight="1" x14ac:dyDescent="0.55000000000000004">
      <c r="A1129" s="28"/>
      <c r="B1129" s="45"/>
      <c r="C1129" s="49"/>
      <c r="D1129" s="54"/>
      <c r="E1129" s="63"/>
      <c r="F1129" s="23"/>
      <c r="G1129" s="23"/>
      <c r="H1129" s="7"/>
      <c r="I1129" s="47"/>
      <c r="J1129" s="11"/>
      <c r="L1129" s="40"/>
      <c r="M1129" s="228"/>
    </row>
    <row r="1130" spans="1:14" ht="18.75" customHeight="1" x14ac:dyDescent="0.55000000000000004">
      <c r="A1130" s="28"/>
      <c r="B1130" s="45"/>
      <c r="C1130" s="49"/>
      <c r="D1130" s="54"/>
      <c r="E1130" s="63"/>
      <c r="F1130" s="23"/>
      <c r="G1130" s="23"/>
      <c r="H1130" s="7"/>
      <c r="I1130" s="47"/>
      <c r="J1130" s="11"/>
      <c r="L1130" s="40"/>
      <c r="M1130" s="228"/>
    </row>
    <row r="1131" spans="1:14" ht="18.75" customHeight="1" x14ac:dyDescent="0.55000000000000004">
      <c r="A1131" s="28"/>
      <c r="B1131" s="45"/>
      <c r="C1131" s="49"/>
      <c r="D1131" s="54"/>
      <c r="E1131" s="42"/>
      <c r="F1131" s="23"/>
      <c r="G1131" s="23"/>
      <c r="H1131" s="7"/>
      <c r="I1131" s="47"/>
      <c r="J1131" s="11"/>
      <c r="L1131" s="40"/>
      <c r="M1131" s="227"/>
      <c r="N1131" s="80"/>
    </row>
    <row r="1132" spans="1:14" ht="18.75" customHeight="1" x14ac:dyDescent="0.55000000000000004">
      <c r="A1132" s="28"/>
      <c r="B1132" s="45"/>
      <c r="C1132" s="49"/>
      <c r="D1132" s="54"/>
      <c r="E1132" s="42"/>
      <c r="F1132" s="23"/>
      <c r="G1132" s="23"/>
      <c r="H1132" s="7"/>
      <c r="I1132" s="47"/>
      <c r="J1132" s="11"/>
      <c r="L1132" s="40"/>
      <c r="M1132" s="30"/>
    </row>
    <row r="1133" spans="1:14" ht="18.75" customHeight="1" x14ac:dyDescent="0.55000000000000004">
      <c r="A1133" s="28"/>
      <c r="B1133" s="45"/>
      <c r="C1133" s="49"/>
      <c r="D1133" s="54"/>
      <c r="E1133" s="63"/>
      <c r="F1133" s="23"/>
      <c r="G1133" s="23"/>
      <c r="H1133" s="7"/>
      <c r="I1133" s="47"/>
      <c r="J1133" s="25"/>
      <c r="K1133" s="40"/>
      <c r="L1133" s="40"/>
      <c r="M1133" s="228"/>
    </row>
    <row r="1134" spans="1:14" ht="18.75" customHeight="1" x14ac:dyDescent="0.55000000000000004">
      <c r="A1134" s="28"/>
      <c r="B1134" s="45"/>
      <c r="C1134" s="49"/>
      <c r="D1134" s="54"/>
      <c r="E1134" s="63"/>
      <c r="F1134" s="23"/>
      <c r="G1134" s="23"/>
      <c r="H1134" s="7"/>
      <c r="I1134" s="47"/>
      <c r="J1134" s="11"/>
      <c r="L1134" s="40"/>
      <c r="M1134" s="228"/>
    </row>
    <row r="1135" spans="1:14" ht="18.75" customHeight="1" x14ac:dyDescent="0.55000000000000004">
      <c r="A1135" s="28"/>
      <c r="B1135" s="45"/>
      <c r="C1135" s="49"/>
      <c r="D1135" s="54"/>
      <c r="E1135" s="63"/>
      <c r="F1135" s="23"/>
      <c r="G1135" s="23"/>
      <c r="H1135" s="7"/>
      <c r="I1135" s="47"/>
      <c r="J1135" s="11"/>
      <c r="L1135" s="40"/>
      <c r="M1135" s="228"/>
    </row>
    <row r="1136" spans="1:14" ht="18.75" customHeight="1" x14ac:dyDescent="0.55000000000000004">
      <c r="A1136" s="28"/>
      <c r="B1136" s="45"/>
      <c r="C1136" s="49"/>
      <c r="D1136" s="54"/>
      <c r="E1136" s="42"/>
      <c r="F1136" s="23"/>
      <c r="G1136" s="23"/>
      <c r="H1136" s="7"/>
      <c r="I1136" s="47"/>
      <c r="J1136" s="11"/>
      <c r="L1136" s="40"/>
      <c r="M1136" s="227"/>
      <c r="N1136" s="80"/>
    </row>
    <row r="1137" spans="1:14" ht="18.75" customHeight="1" x14ac:dyDescent="0.55000000000000004">
      <c r="A1137" s="28"/>
      <c r="B1137" s="45"/>
      <c r="C1137" s="49"/>
      <c r="D1137" s="54"/>
      <c r="E1137" s="42"/>
      <c r="F1137" s="23"/>
      <c r="G1137" s="23"/>
      <c r="H1137" s="7"/>
      <c r="I1137" s="47"/>
      <c r="J1137" s="11"/>
      <c r="L1137" s="40"/>
      <c r="M1137" s="30"/>
    </row>
    <row r="1138" spans="1:14" ht="18.75" customHeight="1" x14ac:dyDescent="0.55000000000000004">
      <c r="A1138" s="28"/>
      <c r="B1138" s="45"/>
      <c r="C1138" s="49"/>
      <c r="D1138" s="54"/>
      <c r="E1138" s="63"/>
      <c r="F1138" s="23"/>
      <c r="G1138" s="23"/>
      <c r="H1138" s="7"/>
      <c r="I1138" s="47"/>
      <c r="J1138" s="25"/>
      <c r="K1138" s="40"/>
      <c r="L1138" s="40"/>
      <c r="M1138" s="228"/>
    </row>
    <row r="1139" spans="1:14" ht="18.75" customHeight="1" x14ac:dyDescent="0.55000000000000004">
      <c r="A1139" s="28"/>
      <c r="B1139" s="45"/>
      <c r="C1139" s="49"/>
      <c r="D1139" s="54"/>
      <c r="E1139" s="63"/>
      <c r="F1139" s="23"/>
      <c r="G1139" s="23"/>
      <c r="H1139" s="7"/>
      <c r="I1139" s="47"/>
      <c r="J1139" s="11"/>
      <c r="L1139" s="40"/>
      <c r="M1139" s="228"/>
    </row>
    <row r="1140" spans="1:14" ht="18.75" customHeight="1" x14ac:dyDescent="0.55000000000000004">
      <c r="A1140" s="28"/>
      <c r="B1140" s="45"/>
      <c r="C1140" s="49"/>
      <c r="D1140" s="54"/>
      <c r="E1140" s="63"/>
      <c r="F1140" s="23"/>
      <c r="G1140" s="23"/>
      <c r="H1140" s="7"/>
      <c r="I1140" s="47"/>
      <c r="J1140" s="11"/>
      <c r="L1140" s="40"/>
      <c r="M1140" s="228"/>
    </row>
    <row r="1141" spans="1:14" ht="18.75" customHeight="1" x14ac:dyDescent="0.55000000000000004">
      <c r="A1141" s="28"/>
      <c r="B1141" s="45"/>
      <c r="C1141" s="49"/>
      <c r="D1141" s="54"/>
      <c r="E1141" s="42"/>
      <c r="F1141" s="23"/>
      <c r="G1141" s="23"/>
      <c r="H1141" s="7"/>
      <c r="I1141" s="47"/>
      <c r="J1141" s="11"/>
      <c r="L1141" s="40"/>
      <c r="M1141" s="227"/>
      <c r="N1141" s="80"/>
    </row>
    <row r="1142" spans="1:14" ht="18.75" customHeight="1" x14ac:dyDescent="0.55000000000000004">
      <c r="A1142" s="28"/>
      <c r="B1142" s="45"/>
      <c r="C1142" s="49"/>
      <c r="D1142" s="54"/>
      <c r="E1142" s="42"/>
      <c r="F1142" s="23"/>
      <c r="G1142" s="23"/>
      <c r="H1142" s="7"/>
      <c r="I1142" s="47"/>
      <c r="J1142" s="11"/>
      <c r="L1142" s="40"/>
      <c r="M1142" s="30"/>
    </row>
    <row r="1143" spans="1:14" ht="18.75" customHeight="1" x14ac:dyDescent="0.55000000000000004">
      <c r="A1143" s="28"/>
      <c r="B1143" s="45"/>
      <c r="C1143" s="49"/>
      <c r="D1143" s="54"/>
      <c r="E1143" s="63"/>
      <c r="F1143" s="23"/>
      <c r="G1143" s="23"/>
      <c r="H1143" s="7"/>
      <c r="I1143" s="47"/>
      <c r="J1143" s="25"/>
      <c r="K1143" s="40"/>
      <c r="L1143" s="40"/>
      <c r="M1143" s="228"/>
    </row>
    <row r="1144" spans="1:14" ht="18.75" customHeight="1" x14ac:dyDescent="0.55000000000000004">
      <c r="A1144" s="28"/>
      <c r="B1144" s="45"/>
      <c r="C1144" s="49"/>
      <c r="D1144" s="54"/>
      <c r="E1144" s="63"/>
      <c r="F1144" s="23"/>
      <c r="G1144" s="23"/>
      <c r="H1144" s="7"/>
      <c r="I1144" s="47"/>
      <c r="J1144" s="11"/>
      <c r="L1144" s="40"/>
      <c r="M1144" s="228"/>
    </row>
    <row r="1145" spans="1:14" ht="18.75" customHeight="1" x14ac:dyDescent="0.55000000000000004">
      <c r="A1145" s="28"/>
      <c r="B1145" s="45"/>
      <c r="C1145" s="49"/>
      <c r="D1145" s="54"/>
      <c r="E1145" s="63"/>
      <c r="F1145" s="23"/>
      <c r="G1145" s="23"/>
      <c r="H1145" s="7"/>
      <c r="I1145" s="47"/>
      <c r="J1145" s="11"/>
      <c r="L1145" s="40"/>
      <c r="M1145" s="228"/>
    </row>
    <row r="1146" spans="1:14" ht="18.75" customHeight="1" x14ac:dyDescent="0.55000000000000004">
      <c r="A1146" s="28"/>
      <c r="B1146" s="45"/>
      <c r="C1146" s="49"/>
      <c r="D1146" s="54"/>
      <c r="E1146" s="42"/>
      <c r="F1146" s="23"/>
      <c r="G1146" s="23"/>
      <c r="H1146" s="7"/>
      <c r="I1146" s="47"/>
      <c r="J1146" s="11"/>
      <c r="L1146" s="40"/>
      <c r="M1146" s="227"/>
      <c r="N1146" s="80"/>
    </row>
    <row r="1147" spans="1:14" ht="18.75" customHeight="1" x14ac:dyDescent="0.55000000000000004">
      <c r="A1147" s="28"/>
      <c r="B1147" s="45"/>
      <c r="C1147" s="49"/>
      <c r="D1147" s="54"/>
      <c r="E1147" s="63"/>
      <c r="F1147" s="23"/>
      <c r="G1147" s="23"/>
      <c r="H1147" s="7"/>
      <c r="I1147" s="47"/>
      <c r="J1147" s="25"/>
      <c r="K1147" s="40"/>
      <c r="L1147" s="40"/>
      <c r="M1147" s="228"/>
    </row>
    <row r="1148" spans="1:14" ht="18.75" customHeight="1" x14ac:dyDescent="0.55000000000000004">
      <c r="A1148" s="28"/>
      <c r="B1148" s="45"/>
      <c r="C1148" s="49"/>
      <c r="D1148" s="54"/>
      <c r="E1148" s="63"/>
      <c r="F1148" s="23"/>
      <c r="G1148" s="23"/>
      <c r="H1148" s="7"/>
      <c r="I1148" s="47"/>
      <c r="J1148" s="11"/>
      <c r="L1148" s="40"/>
      <c r="M1148" s="228"/>
    </row>
    <row r="1149" spans="1:14" ht="18.75" customHeight="1" x14ac:dyDescent="0.55000000000000004">
      <c r="A1149" s="28"/>
      <c r="B1149" s="45"/>
      <c r="C1149" s="49"/>
      <c r="D1149" s="54"/>
      <c r="E1149" s="63"/>
      <c r="F1149" s="23"/>
      <c r="G1149" s="23"/>
      <c r="H1149" s="7"/>
      <c r="I1149" s="47"/>
      <c r="J1149" s="11"/>
      <c r="L1149" s="40"/>
      <c r="M1149" s="228"/>
    </row>
    <row r="1150" spans="1:14" ht="18.75" customHeight="1" x14ac:dyDescent="0.55000000000000004">
      <c r="A1150" s="28"/>
      <c r="B1150" s="45"/>
      <c r="C1150" s="49"/>
      <c r="D1150" s="54"/>
      <c r="E1150" s="42"/>
      <c r="F1150" s="23"/>
      <c r="G1150" s="23"/>
      <c r="H1150" s="7"/>
      <c r="I1150" s="47"/>
      <c r="J1150" s="11"/>
      <c r="L1150" s="40"/>
      <c r="M1150" s="227"/>
      <c r="N1150" s="80"/>
    </row>
    <row r="1151" spans="1:14" ht="18.75" customHeight="1" x14ac:dyDescent="0.55000000000000004">
      <c r="A1151" s="28"/>
      <c r="B1151" s="45"/>
      <c r="C1151" s="49"/>
      <c r="D1151" s="54"/>
      <c r="E1151" s="42"/>
      <c r="F1151" s="23"/>
      <c r="G1151" s="23"/>
      <c r="H1151" s="7"/>
      <c r="I1151" s="47"/>
      <c r="J1151" s="11"/>
      <c r="L1151" s="40"/>
      <c r="M1151" s="30"/>
    </row>
    <row r="1152" spans="1:14" ht="18.75" customHeight="1" x14ac:dyDescent="0.55000000000000004">
      <c r="A1152" s="28"/>
      <c r="B1152" s="45"/>
      <c r="C1152" s="49"/>
      <c r="D1152" s="54"/>
      <c r="E1152" s="63"/>
      <c r="F1152" s="23"/>
      <c r="G1152" s="23"/>
      <c r="H1152" s="7"/>
      <c r="I1152" s="47"/>
      <c r="J1152" s="25"/>
      <c r="K1152" s="40"/>
      <c r="L1152" s="40"/>
      <c r="M1152" s="228"/>
    </row>
    <row r="1153" spans="1:14" ht="18.75" customHeight="1" x14ac:dyDescent="0.55000000000000004">
      <c r="A1153" s="28"/>
      <c r="B1153" s="45"/>
      <c r="C1153" s="49"/>
      <c r="D1153" s="54"/>
      <c r="E1153" s="63"/>
      <c r="F1153" s="23"/>
      <c r="G1153" s="23"/>
      <c r="H1153" s="7"/>
      <c r="I1153" s="47"/>
      <c r="J1153" s="11"/>
      <c r="L1153" s="40"/>
      <c r="M1153" s="228"/>
    </row>
    <row r="1154" spans="1:14" ht="18.75" customHeight="1" x14ac:dyDescent="0.55000000000000004">
      <c r="A1154" s="28"/>
      <c r="B1154" s="45"/>
      <c r="C1154" s="49"/>
      <c r="D1154" s="54"/>
      <c r="E1154" s="63"/>
      <c r="F1154" s="23"/>
      <c r="G1154" s="23"/>
      <c r="H1154" s="7"/>
      <c r="I1154" s="47"/>
      <c r="J1154" s="11"/>
      <c r="L1154" s="40"/>
      <c r="M1154" s="228"/>
    </row>
    <row r="1155" spans="1:14" ht="18.75" customHeight="1" x14ac:dyDescent="0.55000000000000004">
      <c r="A1155" s="28"/>
      <c r="B1155" s="45"/>
      <c r="C1155" s="49"/>
      <c r="D1155" s="54"/>
      <c r="E1155" s="42"/>
      <c r="F1155" s="23"/>
      <c r="G1155" s="23"/>
      <c r="H1155" s="7"/>
      <c r="I1155" s="47"/>
      <c r="J1155" s="11"/>
      <c r="L1155" s="40"/>
      <c r="M1155" s="227"/>
      <c r="N1155" s="80"/>
    </row>
    <row r="1156" spans="1:14" ht="18.75" customHeight="1" x14ac:dyDescent="0.55000000000000004">
      <c r="A1156" s="28"/>
      <c r="B1156" s="45"/>
      <c r="C1156" s="49"/>
      <c r="D1156" s="54"/>
      <c r="E1156" s="42"/>
      <c r="F1156" s="23"/>
      <c r="G1156" s="23"/>
      <c r="H1156" s="7"/>
      <c r="I1156" s="47"/>
      <c r="J1156" s="11"/>
      <c r="L1156" s="40"/>
      <c r="M1156" s="30"/>
    </row>
    <row r="1157" spans="1:14" ht="18.75" customHeight="1" x14ac:dyDescent="0.55000000000000004">
      <c r="A1157" s="28"/>
      <c r="B1157" s="45"/>
      <c r="C1157" s="49"/>
      <c r="D1157" s="54"/>
      <c r="E1157" s="63"/>
      <c r="F1157" s="23"/>
      <c r="G1157" s="23"/>
      <c r="H1157" s="7"/>
      <c r="I1157" s="47"/>
      <c r="J1157" s="25"/>
      <c r="K1157" s="40"/>
      <c r="L1157" s="40"/>
      <c r="M1157" s="228"/>
    </row>
    <row r="1158" spans="1:14" ht="18.75" customHeight="1" x14ac:dyDescent="0.55000000000000004">
      <c r="A1158" s="28"/>
      <c r="B1158" s="45"/>
      <c r="C1158" s="49"/>
      <c r="D1158" s="54"/>
      <c r="E1158" s="63"/>
      <c r="F1158" s="23"/>
      <c r="G1158" s="23"/>
      <c r="H1158" s="7"/>
      <c r="I1158" s="47"/>
      <c r="J1158" s="11"/>
      <c r="L1158" s="40"/>
      <c r="M1158" s="228"/>
    </row>
    <row r="1159" spans="1:14" ht="18.75" customHeight="1" x14ac:dyDescent="0.55000000000000004">
      <c r="A1159" s="28"/>
      <c r="B1159" s="45"/>
      <c r="C1159" s="49"/>
      <c r="D1159" s="54"/>
      <c r="E1159" s="63"/>
      <c r="F1159" s="23"/>
      <c r="G1159" s="23"/>
      <c r="H1159" s="7"/>
      <c r="I1159" s="47"/>
      <c r="J1159" s="11"/>
      <c r="L1159" s="40"/>
      <c r="M1159" s="228"/>
    </row>
    <row r="1160" spans="1:14" ht="18.75" customHeight="1" x14ac:dyDescent="0.55000000000000004">
      <c r="A1160" s="28"/>
      <c r="B1160" s="45"/>
      <c r="C1160" s="49"/>
      <c r="D1160" s="54"/>
      <c r="E1160" s="42"/>
      <c r="F1160" s="23"/>
      <c r="G1160" s="23"/>
      <c r="H1160" s="7"/>
      <c r="I1160" s="47"/>
      <c r="J1160" s="11"/>
      <c r="L1160" s="40"/>
      <c r="M1160" s="227"/>
      <c r="N1160" s="80"/>
    </row>
    <row r="1161" spans="1:14" ht="18.75" customHeight="1" x14ac:dyDescent="0.55000000000000004">
      <c r="A1161" s="28"/>
      <c r="B1161" s="45"/>
      <c r="C1161" s="49"/>
      <c r="D1161" s="54"/>
      <c r="E1161" s="42"/>
      <c r="F1161" s="23"/>
      <c r="G1161" s="23"/>
      <c r="H1161" s="7"/>
      <c r="I1161" s="47"/>
      <c r="J1161" s="11"/>
      <c r="L1161" s="40"/>
      <c r="M1161" s="30"/>
    </row>
    <row r="1162" spans="1:14" ht="18.75" customHeight="1" x14ac:dyDescent="0.55000000000000004">
      <c r="A1162" s="28"/>
      <c r="B1162" s="45"/>
      <c r="C1162" s="49"/>
      <c r="D1162" s="54"/>
      <c r="E1162" s="63"/>
      <c r="F1162" s="23"/>
      <c r="G1162" s="23"/>
      <c r="H1162" s="7"/>
      <c r="I1162" s="47"/>
      <c r="J1162" s="25"/>
      <c r="K1162" s="40"/>
      <c r="L1162" s="40"/>
      <c r="M1162" s="228"/>
    </row>
    <row r="1163" spans="1:14" ht="18.75" customHeight="1" x14ac:dyDescent="0.55000000000000004">
      <c r="A1163" s="28"/>
      <c r="B1163" s="45"/>
      <c r="C1163" s="49"/>
      <c r="D1163" s="54"/>
      <c r="E1163" s="63"/>
      <c r="F1163" s="23"/>
      <c r="G1163" s="23"/>
      <c r="H1163" s="7"/>
      <c r="I1163" s="47"/>
      <c r="J1163" s="11"/>
      <c r="L1163" s="40"/>
      <c r="M1163" s="228"/>
    </row>
    <row r="1164" spans="1:14" ht="18.75" customHeight="1" x14ac:dyDescent="0.55000000000000004">
      <c r="A1164" s="28"/>
      <c r="B1164" s="45"/>
      <c r="C1164" s="49"/>
      <c r="D1164" s="54"/>
      <c r="E1164" s="63"/>
      <c r="F1164" s="23"/>
      <c r="G1164" s="23"/>
      <c r="H1164" s="7"/>
      <c r="I1164" s="47"/>
      <c r="J1164" s="11"/>
      <c r="L1164" s="40"/>
      <c r="M1164" s="228"/>
    </row>
    <row r="1165" spans="1:14" ht="18.75" customHeight="1" x14ac:dyDescent="0.55000000000000004">
      <c r="A1165" s="28"/>
      <c r="B1165" s="45"/>
      <c r="C1165" s="49"/>
      <c r="D1165" s="54"/>
      <c r="E1165" s="42"/>
      <c r="F1165" s="23"/>
      <c r="G1165" s="23"/>
      <c r="H1165" s="7"/>
      <c r="I1165" s="47"/>
      <c r="J1165" s="11"/>
      <c r="L1165" s="40"/>
      <c r="M1165" s="227"/>
      <c r="N1165" s="80"/>
    </row>
    <row r="1166" spans="1:14" ht="18.75" customHeight="1" x14ac:dyDescent="0.55000000000000004">
      <c r="A1166" s="28"/>
      <c r="B1166" s="45"/>
      <c r="C1166" s="49"/>
      <c r="D1166" s="54"/>
      <c r="E1166" s="42"/>
      <c r="F1166" s="23"/>
      <c r="G1166" s="23"/>
      <c r="H1166" s="7"/>
      <c r="I1166" s="47"/>
      <c r="J1166" s="11"/>
      <c r="L1166" s="40"/>
      <c r="M1166" s="30"/>
    </row>
    <row r="1167" spans="1:14" ht="18.75" customHeight="1" x14ac:dyDescent="0.55000000000000004">
      <c r="A1167" s="28"/>
      <c r="B1167" s="45"/>
      <c r="C1167" s="49"/>
      <c r="D1167" s="54"/>
      <c r="E1167" s="63"/>
      <c r="F1167" s="23"/>
      <c r="G1167" s="23"/>
      <c r="H1167" s="7"/>
      <c r="I1167" s="47"/>
      <c r="J1167" s="25"/>
      <c r="K1167" s="40"/>
      <c r="L1167" s="40"/>
      <c r="M1167" s="228"/>
    </row>
    <row r="1168" spans="1:14" ht="18.75" customHeight="1" x14ac:dyDescent="0.55000000000000004">
      <c r="A1168" s="28"/>
      <c r="B1168" s="45"/>
      <c r="C1168" s="49"/>
      <c r="D1168" s="54"/>
      <c r="E1168" s="63"/>
      <c r="F1168" s="23"/>
      <c r="G1168" s="23"/>
      <c r="H1168" s="7"/>
      <c r="I1168" s="47"/>
      <c r="J1168" s="11"/>
      <c r="L1168" s="40"/>
      <c r="M1168" s="228"/>
    </row>
    <row r="1169" spans="1:14" ht="18.75" customHeight="1" x14ac:dyDescent="0.55000000000000004">
      <c r="A1169" s="28"/>
      <c r="B1169" s="45"/>
      <c r="C1169" s="49"/>
      <c r="D1169" s="54"/>
      <c r="E1169" s="63"/>
      <c r="F1169" s="23"/>
      <c r="G1169" s="23"/>
      <c r="H1169" s="7"/>
      <c r="I1169" s="47"/>
      <c r="J1169" s="11"/>
      <c r="L1169" s="40"/>
      <c r="M1169" s="228"/>
    </row>
    <row r="1170" spans="1:14" ht="18.75" customHeight="1" x14ac:dyDescent="0.55000000000000004">
      <c r="A1170" s="28"/>
      <c r="B1170" s="45"/>
      <c r="C1170" s="49"/>
      <c r="D1170" s="54"/>
      <c r="E1170" s="42"/>
      <c r="F1170" s="23"/>
      <c r="G1170" s="23"/>
      <c r="H1170" s="7"/>
      <c r="I1170" s="47"/>
      <c r="J1170" s="11"/>
      <c r="L1170" s="40"/>
      <c r="M1170" s="227"/>
      <c r="N1170" s="80"/>
    </row>
    <row r="1171" spans="1:14" ht="18.75" customHeight="1" x14ac:dyDescent="0.55000000000000004">
      <c r="A1171" s="28"/>
      <c r="B1171" s="45"/>
      <c r="C1171" s="49"/>
      <c r="D1171" s="54"/>
      <c r="E1171" s="42"/>
      <c r="F1171" s="23"/>
      <c r="G1171" s="23"/>
      <c r="H1171" s="7"/>
      <c r="I1171" s="47"/>
      <c r="J1171" s="11"/>
      <c r="L1171" s="40"/>
      <c r="M1171" s="30"/>
    </row>
    <row r="1172" spans="1:14" ht="18.75" customHeight="1" x14ac:dyDescent="0.55000000000000004">
      <c r="A1172" s="28"/>
      <c r="B1172" s="45"/>
      <c r="C1172" s="49"/>
      <c r="D1172" s="54"/>
      <c r="E1172" s="63"/>
      <c r="F1172" s="23"/>
      <c r="G1172" s="23"/>
      <c r="H1172" s="7"/>
      <c r="I1172" s="47"/>
      <c r="J1172" s="25"/>
      <c r="K1172" s="40"/>
      <c r="L1172" s="40"/>
      <c r="M1172" s="228"/>
    </row>
    <row r="1173" spans="1:14" ht="18.75" customHeight="1" x14ac:dyDescent="0.55000000000000004">
      <c r="A1173" s="28"/>
      <c r="B1173" s="45"/>
      <c r="C1173" s="49"/>
      <c r="D1173" s="54"/>
      <c r="E1173" s="63"/>
      <c r="F1173" s="23"/>
      <c r="G1173" s="23"/>
      <c r="H1173" s="7"/>
      <c r="I1173" s="47"/>
      <c r="J1173" s="11"/>
      <c r="L1173" s="40"/>
      <c r="M1173" s="228"/>
    </row>
    <row r="1174" spans="1:14" ht="18.75" customHeight="1" x14ac:dyDescent="0.55000000000000004">
      <c r="A1174" s="28"/>
      <c r="B1174" s="45"/>
      <c r="C1174" s="49"/>
      <c r="D1174" s="54"/>
      <c r="E1174" s="63"/>
      <c r="F1174" s="23"/>
      <c r="G1174" s="23"/>
      <c r="H1174" s="7"/>
      <c r="I1174" s="47"/>
      <c r="J1174" s="11"/>
      <c r="L1174" s="40"/>
      <c r="M1174" s="228"/>
    </row>
    <row r="1175" spans="1:14" ht="18.75" customHeight="1" x14ac:dyDescent="0.55000000000000004">
      <c r="A1175" s="28"/>
      <c r="B1175" s="45"/>
      <c r="C1175" s="49"/>
      <c r="D1175" s="54"/>
      <c r="E1175" s="42"/>
      <c r="F1175" s="23"/>
      <c r="G1175" s="23"/>
      <c r="H1175" s="7"/>
      <c r="I1175" s="47"/>
      <c r="J1175" s="11"/>
      <c r="L1175" s="40"/>
      <c r="M1175" s="227"/>
      <c r="N1175" s="80"/>
    </row>
    <row r="1176" spans="1:14" ht="18.75" customHeight="1" x14ac:dyDescent="0.55000000000000004">
      <c r="A1176" s="28"/>
      <c r="B1176" s="45"/>
      <c r="C1176" s="49"/>
      <c r="D1176" s="54"/>
      <c r="E1176" s="42"/>
      <c r="F1176" s="23"/>
      <c r="G1176" s="23"/>
      <c r="H1176" s="7"/>
      <c r="I1176" s="47"/>
      <c r="J1176" s="11"/>
      <c r="L1176" s="40"/>
      <c r="M1176" s="30"/>
    </row>
    <row r="1177" spans="1:14" ht="18.75" customHeight="1" x14ac:dyDescent="0.55000000000000004">
      <c r="A1177" s="28"/>
      <c r="B1177" s="45"/>
      <c r="C1177" s="49"/>
      <c r="D1177" s="54"/>
      <c r="E1177" s="63"/>
      <c r="F1177" s="23"/>
      <c r="G1177" s="23"/>
      <c r="H1177" s="7"/>
      <c r="I1177" s="47"/>
      <c r="J1177" s="25"/>
      <c r="K1177" s="40"/>
      <c r="L1177" s="40"/>
      <c r="M1177" s="228"/>
    </row>
    <row r="1178" spans="1:14" ht="18.75" customHeight="1" x14ac:dyDescent="0.55000000000000004">
      <c r="A1178" s="28"/>
      <c r="B1178" s="45"/>
      <c r="C1178" s="49"/>
      <c r="D1178" s="54"/>
      <c r="E1178" s="63"/>
      <c r="F1178" s="23"/>
      <c r="G1178" s="23"/>
      <c r="H1178" s="7"/>
      <c r="I1178" s="47"/>
      <c r="J1178" s="11"/>
      <c r="L1178" s="40"/>
      <c r="M1178" s="228"/>
    </row>
    <row r="1179" spans="1:14" ht="18.75" customHeight="1" x14ac:dyDescent="0.55000000000000004">
      <c r="A1179" s="28"/>
      <c r="B1179" s="45"/>
      <c r="C1179" s="49"/>
      <c r="D1179" s="54"/>
      <c r="E1179" s="63"/>
      <c r="F1179" s="23"/>
      <c r="G1179" s="23"/>
      <c r="H1179" s="7"/>
      <c r="I1179" s="47"/>
      <c r="J1179" s="11"/>
      <c r="L1179" s="40"/>
      <c r="M1179" s="228"/>
    </row>
    <row r="1180" spans="1:14" ht="18.75" customHeight="1" x14ac:dyDescent="0.55000000000000004">
      <c r="A1180" s="28"/>
      <c r="B1180" s="45"/>
      <c r="C1180" s="49"/>
      <c r="D1180" s="54"/>
      <c r="E1180" s="42"/>
      <c r="F1180" s="23"/>
      <c r="G1180" s="23"/>
      <c r="H1180" s="7"/>
      <c r="I1180" s="47"/>
      <c r="J1180" s="11"/>
      <c r="L1180" s="40"/>
      <c r="M1180" s="227"/>
      <c r="N1180" s="80"/>
    </row>
    <row r="1181" spans="1:14" ht="18.75" customHeight="1" x14ac:dyDescent="0.55000000000000004">
      <c r="A1181" s="28"/>
      <c r="B1181" s="45"/>
      <c r="C1181" s="49"/>
      <c r="D1181" s="54"/>
      <c r="E1181" s="42"/>
      <c r="F1181" s="23"/>
      <c r="G1181" s="23"/>
      <c r="H1181" s="7"/>
      <c r="I1181" s="47"/>
      <c r="J1181" s="11"/>
      <c r="L1181" s="40"/>
      <c r="M1181" s="30"/>
    </row>
    <row r="1182" spans="1:14" ht="18.75" customHeight="1" x14ac:dyDescent="0.55000000000000004">
      <c r="A1182" s="28"/>
      <c r="B1182" s="45"/>
      <c r="C1182" s="49"/>
      <c r="D1182" s="54"/>
      <c r="E1182" s="63"/>
      <c r="F1182" s="23"/>
      <c r="G1182" s="23"/>
      <c r="H1182" s="7"/>
      <c r="I1182" s="47"/>
      <c r="J1182" s="25"/>
      <c r="K1182" s="40"/>
      <c r="L1182" s="40"/>
      <c r="M1182" s="228"/>
    </row>
    <row r="1183" spans="1:14" ht="18.75" customHeight="1" x14ac:dyDescent="0.55000000000000004">
      <c r="A1183" s="28"/>
      <c r="B1183" s="45"/>
      <c r="C1183" s="49"/>
      <c r="D1183" s="54"/>
      <c r="E1183" s="63"/>
      <c r="F1183" s="23"/>
      <c r="G1183" s="23"/>
      <c r="H1183" s="7"/>
      <c r="I1183" s="47"/>
      <c r="J1183" s="11"/>
      <c r="L1183" s="40"/>
      <c r="M1183" s="228"/>
    </row>
    <row r="1184" spans="1:14" ht="18.75" customHeight="1" x14ac:dyDescent="0.55000000000000004">
      <c r="A1184" s="28"/>
      <c r="B1184" s="45"/>
      <c r="C1184" s="49"/>
      <c r="D1184" s="54"/>
      <c r="E1184" s="63"/>
      <c r="F1184" s="23"/>
      <c r="G1184" s="23"/>
      <c r="H1184" s="7"/>
      <c r="I1184" s="47"/>
      <c r="J1184" s="11"/>
      <c r="L1184" s="40"/>
      <c r="M1184" s="228"/>
    </row>
    <row r="1185" spans="1:14" ht="18.75" customHeight="1" x14ac:dyDescent="0.55000000000000004">
      <c r="A1185" s="28"/>
      <c r="B1185" s="45"/>
      <c r="C1185" s="49"/>
      <c r="D1185" s="54"/>
      <c r="E1185" s="42"/>
      <c r="F1185" s="23"/>
      <c r="G1185" s="23"/>
      <c r="H1185" s="7"/>
      <c r="I1185" s="47"/>
      <c r="J1185" s="11"/>
      <c r="L1185" s="40"/>
      <c r="M1185" s="227"/>
      <c r="N1185" s="80"/>
    </row>
    <row r="1186" spans="1:14" ht="18.75" customHeight="1" x14ac:dyDescent="0.55000000000000004">
      <c r="A1186" s="28"/>
      <c r="B1186" s="45"/>
      <c r="C1186" s="49"/>
      <c r="D1186" s="54"/>
      <c r="E1186" s="42"/>
      <c r="F1186" s="23"/>
      <c r="G1186" s="23"/>
      <c r="H1186" s="7"/>
      <c r="I1186" s="47"/>
      <c r="J1186" s="11"/>
      <c r="L1186" s="40"/>
      <c r="M1186" s="30"/>
    </row>
    <row r="1187" spans="1:14" ht="18.75" customHeight="1" x14ac:dyDescent="0.55000000000000004">
      <c r="A1187" s="28"/>
      <c r="B1187" s="45"/>
      <c r="C1187" s="49"/>
      <c r="D1187" s="54"/>
      <c r="E1187" s="63"/>
      <c r="F1187" s="23"/>
      <c r="G1187" s="23"/>
      <c r="H1187" s="7"/>
      <c r="I1187" s="47"/>
      <c r="J1187" s="25"/>
      <c r="K1187" s="40"/>
      <c r="L1187" s="40"/>
      <c r="M1187" s="228"/>
    </row>
    <row r="1188" spans="1:14" ht="18.75" customHeight="1" x14ac:dyDescent="0.55000000000000004">
      <c r="A1188" s="28"/>
      <c r="B1188" s="45"/>
      <c r="C1188" s="49"/>
      <c r="D1188" s="54"/>
      <c r="E1188" s="63"/>
      <c r="F1188" s="23"/>
      <c r="G1188" s="23"/>
      <c r="H1188" s="7"/>
      <c r="I1188" s="47"/>
      <c r="J1188" s="11"/>
      <c r="L1188" s="40"/>
      <c r="M1188" s="228"/>
    </row>
    <row r="1189" spans="1:14" ht="18.75" customHeight="1" x14ac:dyDescent="0.55000000000000004">
      <c r="A1189" s="28"/>
      <c r="B1189" s="45"/>
      <c r="C1189" s="49"/>
      <c r="D1189" s="54"/>
      <c r="E1189" s="63"/>
      <c r="F1189" s="23"/>
      <c r="G1189" s="23"/>
      <c r="H1189" s="7"/>
      <c r="I1189" s="47"/>
      <c r="J1189" s="11"/>
      <c r="L1189" s="40"/>
      <c r="M1189" s="228"/>
    </row>
    <row r="1190" spans="1:14" ht="18.75" customHeight="1" x14ac:dyDescent="0.55000000000000004">
      <c r="A1190" s="28"/>
      <c r="B1190" s="45"/>
      <c r="C1190" s="49"/>
      <c r="D1190" s="54"/>
      <c r="E1190" s="42"/>
      <c r="F1190" s="23"/>
      <c r="G1190" s="23"/>
      <c r="H1190" s="7"/>
      <c r="I1190" s="47"/>
      <c r="J1190" s="11"/>
      <c r="L1190" s="40"/>
      <c r="M1190" s="227"/>
      <c r="N1190" s="80"/>
    </row>
    <row r="1191" spans="1:14" ht="18.75" customHeight="1" x14ac:dyDescent="0.55000000000000004">
      <c r="A1191" s="28"/>
      <c r="B1191" s="45"/>
      <c r="C1191" s="49"/>
      <c r="D1191" s="54"/>
      <c r="E1191" s="42"/>
      <c r="F1191" s="23"/>
      <c r="G1191" s="23"/>
      <c r="H1191" s="7"/>
      <c r="I1191" s="47"/>
      <c r="J1191" s="11"/>
      <c r="L1191" s="40"/>
      <c r="M1191" s="30"/>
    </row>
    <row r="1192" spans="1:14" ht="18.75" customHeight="1" x14ac:dyDescent="0.55000000000000004">
      <c r="A1192" s="28"/>
      <c r="B1192" s="45"/>
      <c r="C1192" s="49"/>
      <c r="D1192" s="54"/>
      <c r="E1192" s="63"/>
      <c r="F1192" s="23"/>
      <c r="G1192" s="23"/>
      <c r="H1192" s="7"/>
      <c r="I1192" s="47"/>
      <c r="J1192" s="25"/>
      <c r="K1192" s="40"/>
      <c r="L1192" s="40"/>
      <c r="M1192" s="228"/>
    </row>
    <row r="1193" spans="1:14" ht="18.75" customHeight="1" x14ac:dyDescent="0.55000000000000004">
      <c r="A1193" s="28"/>
      <c r="B1193" s="45"/>
      <c r="C1193" s="49"/>
      <c r="D1193" s="54"/>
      <c r="E1193" s="63"/>
      <c r="F1193" s="23"/>
      <c r="G1193" s="23"/>
      <c r="H1193" s="7"/>
      <c r="I1193" s="47"/>
      <c r="J1193" s="11"/>
      <c r="L1193" s="40"/>
      <c r="M1193" s="228"/>
    </row>
    <row r="1194" spans="1:14" ht="18.75" customHeight="1" x14ac:dyDescent="0.55000000000000004">
      <c r="A1194" s="28"/>
      <c r="B1194" s="45"/>
      <c r="C1194" s="49"/>
      <c r="D1194" s="54"/>
      <c r="E1194" s="63"/>
      <c r="F1194" s="23"/>
      <c r="G1194" s="23"/>
      <c r="H1194" s="7"/>
      <c r="I1194" s="47"/>
      <c r="J1194" s="11"/>
      <c r="L1194" s="40"/>
      <c r="M1194" s="228"/>
    </row>
    <row r="1195" spans="1:14" ht="18.75" customHeight="1" x14ac:dyDescent="0.55000000000000004">
      <c r="A1195" s="28"/>
      <c r="B1195" s="45"/>
      <c r="C1195" s="49"/>
      <c r="D1195" s="54"/>
      <c r="E1195" s="42"/>
      <c r="F1195" s="23"/>
      <c r="G1195" s="23"/>
      <c r="H1195" s="7"/>
      <c r="I1195" s="47"/>
      <c r="J1195" s="11"/>
      <c r="L1195" s="40"/>
      <c r="M1195" s="227"/>
      <c r="N1195" s="80"/>
    </row>
    <row r="1196" spans="1:14" ht="18.75" customHeight="1" x14ac:dyDescent="0.55000000000000004">
      <c r="A1196" s="28"/>
      <c r="B1196" s="45"/>
      <c r="C1196" s="49"/>
      <c r="D1196" s="54"/>
      <c r="E1196" s="42"/>
      <c r="F1196" s="23"/>
      <c r="G1196" s="23"/>
      <c r="H1196" s="7"/>
      <c r="I1196" s="47"/>
      <c r="J1196" s="11"/>
      <c r="L1196" s="40"/>
      <c r="M1196" s="30"/>
    </row>
    <row r="1197" spans="1:14" ht="18.75" customHeight="1" x14ac:dyDescent="0.55000000000000004">
      <c r="A1197" s="28"/>
      <c r="B1197" s="45"/>
      <c r="C1197" s="49"/>
      <c r="D1197" s="54"/>
      <c r="E1197" s="63"/>
      <c r="F1197" s="23"/>
      <c r="G1197" s="23"/>
      <c r="H1197" s="7"/>
      <c r="I1197" s="47"/>
      <c r="J1197" s="25"/>
      <c r="K1197" s="40"/>
      <c r="L1197" s="40"/>
      <c r="M1197" s="228"/>
    </row>
    <row r="1198" spans="1:14" ht="18.75" customHeight="1" x14ac:dyDescent="0.55000000000000004">
      <c r="A1198" s="28"/>
      <c r="B1198" s="45"/>
      <c r="C1198" s="49"/>
      <c r="D1198" s="54"/>
      <c r="E1198" s="63"/>
      <c r="F1198" s="23"/>
      <c r="G1198" s="23"/>
      <c r="H1198" s="7"/>
      <c r="I1198" s="47"/>
      <c r="J1198" s="11"/>
      <c r="L1198" s="40"/>
      <c r="M1198" s="228"/>
    </row>
    <row r="1199" spans="1:14" ht="18.75" customHeight="1" x14ac:dyDescent="0.55000000000000004">
      <c r="A1199" s="28"/>
      <c r="B1199" s="45"/>
      <c r="C1199" s="49"/>
      <c r="D1199" s="54"/>
      <c r="E1199" s="63"/>
      <c r="F1199" s="23"/>
      <c r="G1199" s="23"/>
      <c r="H1199" s="7"/>
      <c r="I1199" s="47"/>
      <c r="J1199" s="11"/>
      <c r="L1199" s="40"/>
      <c r="M1199" s="228"/>
    </row>
    <row r="1200" spans="1:14" ht="18.75" customHeight="1" x14ac:dyDescent="0.55000000000000004">
      <c r="A1200" s="28"/>
      <c r="B1200" s="45"/>
      <c r="C1200" s="49"/>
      <c r="D1200" s="54"/>
      <c r="E1200" s="42"/>
      <c r="F1200" s="23"/>
      <c r="G1200" s="23"/>
      <c r="H1200" s="7"/>
      <c r="I1200" s="47"/>
      <c r="J1200" s="11"/>
      <c r="L1200" s="40"/>
      <c r="M1200" s="227"/>
      <c r="N1200" s="80"/>
    </row>
    <row r="1201" spans="1:14" ht="18.75" customHeight="1" x14ac:dyDescent="0.55000000000000004">
      <c r="A1201" s="28"/>
      <c r="B1201" s="45"/>
      <c r="C1201" s="49"/>
      <c r="D1201" s="54"/>
      <c r="E1201" s="42"/>
      <c r="F1201" s="23"/>
      <c r="G1201" s="23"/>
      <c r="H1201" s="7"/>
      <c r="I1201" s="47"/>
      <c r="J1201" s="11"/>
      <c r="L1201" s="40"/>
      <c r="M1201" s="30"/>
    </row>
    <row r="1202" spans="1:14" ht="18.75" customHeight="1" x14ac:dyDescent="0.55000000000000004">
      <c r="A1202" s="28"/>
      <c r="B1202" s="45"/>
      <c r="C1202" s="49"/>
      <c r="D1202" s="54"/>
      <c r="E1202" s="63"/>
      <c r="F1202" s="23"/>
      <c r="G1202" s="23"/>
      <c r="H1202" s="7"/>
      <c r="I1202" s="47"/>
      <c r="J1202" s="25"/>
      <c r="K1202" s="40"/>
      <c r="L1202" s="40"/>
      <c r="M1202" s="228"/>
    </row>
    <row r="1203" spans="1:14" ht="18.75" customHeight="1" x14ac:dyDescent="0.55000000000000004">
      <c r="A1203" s="28"/>
      <c r="B1203" s="45"/>
      <c r="C1203" s="49"/>
      <c r="D1203" s="54"/>
      <c r="E1203" s="63"/>
      <c r="F1203" s="23"/>
      <c r="G1203" s="23"/>
      <c r="H1203" s="7"/>
      <c r="I1203" s="47"/>
      <c r="J1203" s="11"/>
      <c r="L1203" s="40"/>
      <c r="M1203" s="228"/>
    </row>
    <row r="1204" spans="1:14" ht="18.75" customHeight="1" x14ac:dyDescent="0.55000000000000004">
      <c r="A1204" s="28"/>
      <c r="B1204" s="45"/>
      <c r="C1204" s="49"/>
      <c r="D1204" s="54"/>
      <c r="E1204" s="63"/>
      <c r="F1204" s="23"/>
      <c r="G1204" s="23"/>
      <c r="H1204" s="7"/>
      <c r="I1204" s="47"/>
      <c r="J1204" s="11"/>
      <c r="L1204" s="40"/>
      <c r="M1204" s="228"/>
    </row>
    <row r="1205" spans="1:14" ht="18.75" customHeight="1" x14ac:dyDescent="0.55000000000000004">
      <c r="A1205" s="28"/>
      <c r="B1205" s="45"/>
      <c r="C1205" s="49"/>
      <c r="D1205" s="54"/>
      <c r="E1205" s="42"/>
      <c r="F1205" s="23"/>
      <c r="G1205" s="23"/>
      <c r="H1205" s="7"/>
      <c r="I1205" s="47"/>
      <c r="J1205" s="11"/>
      <c r="L1205" s="40"/>
      <c r="M1205" s="227"/>
      <c r="N1205" s="80"/>
    </row>
    <row r="1206" spans="1:14" ht="18.75" customHeight="1" x14ac:dyDescent="0.55000000000000004">
      <c r="A1206" s="28"/>
      <c r="B1206" s="45"/>
      <c r="C1206" s="49"/>
      <c r="D1206" s="54"/>
      <c r="E1206" s="42"/>
      <c r="F1206" s="23"/>
      <c r="G1206" s="23"/>
      <c r="H1206" s="7"/>
      <c r="I1206" s="47"/>
      <c r="J1206" s="11"/>
      <c r="L1206" s="40"/>
      <c r="M1206" s="30"/>
    </row>
    <row r="1207" spans="1:14" ht="18.75" customHeight="1" x14ac:dyDescent="0.55000000000000004">
      <c r="A1207" s="28"/>
      <c r="B1207" s="45"/>
      <c r="C1207" s="49"/>
      <c r="D1207" s="54"/>
      <c r="E1207" s="63"/>
      <c r="F1207" s="23"/>
      <c r="G1207" s="23"/>
      <c r="H1207" s="7"/>
      <c r="I1207" s="47"/>
      <c r="J1207" s="25"/>
      <c r="K1207" s="40"/>
      <c r="L1207" s="40"/>
      <c r="M1207" s="228"/>
    </row>
    <row r="1208" spans="1:14" ht="18.75" customHeight="1" x14ac:dyDescent="0.55000000000000004">
      <c r="A1208" s="28"/>
      <c r="B1208" s="45"/>
      <c r="C1208" s="49"/>
      <c r="D1208" s="54"/>
      <c r="E1208" s="63"/>
      <c r="F1208" s="23"/>
      <c r="G1208" s="23"/>
      <c r="H1208" s="7"/>
      <c r="I1208" s="47"/>
      <c r="J1208" s="11"/>
      <c r="L1208" s="40"/>
      <c r="M1208" s="228"/>
    </row>
    <row r="1209" spans="1:14" ht="18.75" customHeight="1" x14ac:dyDescent="0.55000000000000004">
      <c r="A1209" s="28"/>
      <c r="B1209" s="45"/>
      <c r="C1209" s="49"/>
      <c r="D1209" s="54"/>
      <c r="E1209" s="63"/>
      <c r="F1209" s="23"/>
      <c r="G1209" s="23"/>
      <c r="H1209" s="7"/>
      <c r="I1209" s="47"/>
      <c r="J1209" s="11"/>
      <c r="L1209" s="40"/>
      <c r="M1209" s="228"/>
    </row>
    <row r="1210" spans="1:14" ht="18.75" customHeight="1" x14ac:dyDescent="0.55000000000000004">
      <c r="A1210" s="28"/>
      <c r="B1210" s="45"/>
      <c r="C1210" s="49"/>
      <c r="D1210" s="54"/>
      <c r="E1210" s="42"/>
      <c r="F1210" s="23"/>
      <c r="G1210" s="23"/>
      <c r="H1210" s="7"/>
      <c r="I1210" s="47"/>
      <c r="J1210" s="11"/>
      <c r="L1210" s="40"/>
      <c r="M1210" s="227"/>
      <c r="N1210" s="80"/>
    </row>
    <row r="1211" spans="1:14" ht="18.75" customHeight="1" x14ac:dyDescent="0.55000000000000004">
      <c r="A1211" s="28"/>
      <c r="B1211" s="45"/>
      <c r="C1211" s="49"/>
      <c r="D1211" s="54"/>
      <c r="E1211" s="42"/>
      <c r="F1211" s="23"/>
      <c r="G1211" s="23"/>
      <c r="H1211" s="7"/>
      <c r="I1211" s="47"/>
      <c r="J1211" s="11"/>
      <c r="L1211" s="40"/>
      <c r="M1211" s="30"/>
    </row>
    <row r="1212" spans="1:14" ht="18.75" customHeight="1" x14ac:dyDescent="0.55000000000000004">
      <c r="A1212" s="28"/>
      <c r="B1212" s="45"/>
      <c r="C1212" s="49"/>
      <c r="D1212" s="54"/>
      <c r="E1212" s="63"/>
      <c r="F1212" s="23"/>
      <c r="G1212" s="23"/>
      <c r="H1212" s="7"/>
      <c r="I1212" s="47"/>
      <c r="J1212" s="25"/>
      <c r="K1212" s="40"/>
      <c r="L1212" s="40"/>
      <c r="M1212" s="228"/>
    </row>
    <row r="1213" spans="1:14" ht="18.75" customHeight="1" x14ac:dyDescent="0.55000000000000004">
      <c r="A1213" s="28"/>
      <c r="B1213" s="45"/>
      <c r="C1213" s="49"/>
      <c r="D1213" s="54"/>
      <c r="E1213" s="63"/>
      <c r="F1213" s="23"/>
      <c r="G1213" s="23"/>
      <c r="H1213" s="7"/>
      <c r="I1213" s="47"/>
      <c r="J1213" s="11"/>
      <c r="L1213" s="40"/>
      <c r="M1213" s="228"/>
    </row>
    <row r="1214" spans="1:14" ht="18.75" customHeight="1" x14ac:dyDescent="0.55000000000000004">
      <c r="A1214" s="28"/>
      <c r="B1214" s="45"/>
      <c r="C1214" s="49"/>
      <c r="D1214" s="54"/>
      <c r="E1214" s="63"/>
      <c r="F1214" s="23"/>
      <c r="G1214" s="23"/>
      <c r="H1214" s="7"/>
      <c r="I1214" s="47"/>
      <c r="J1214" s="11"/>
      <c r="L1214" s="40"/>
      <c r="M1214" s="228"/>
    </row>
    <row r="1215" spans="1:14" ht="18.75" customHeight="1" x14ac:dyDescent="0.55000000000000004">
      <c r="A1215" s="28"/>
      <c r="B1215" s="45"/>
      <c r="C1215" s="49"/>
      <c r="D1215" s="54"/>
      <c r="E1215" s="42"/>
      <c r="F1215" s="23"/>
      <c r="G1215" s="23"/>
      <c r="H1215" s="7"/>
      <c r="I1215" s="47"/>
      <c r="J1215" s="11"/>
      <c r="L1215" s="40"/>
      <c r="M1215" s="227"/>
      <c r="N1215" s="80"/>
    </row>
    <row r="1216" spans="1:14" ht="18.75" customHeight="1" x14ac:dyDescent="0.55000000000000004">
      <c r="A1216" s="28"/>
      <c r="B1216" s="45"/>
      <c r="C1216" s="49"/>
      <c r="D1216" s="54"/>
      <c r="E1216" s="42"/>
      <c r="F1216" s="23"/>
      <c r="G1216" s="23"/>
      <c r="H1216" s="7"/>
      <c r="I1216" s="47"/>
      <c r="J1216" s="11"/>
      <c r="L1216" s="40"/>
      <c r="M1216" s="30"/>
    </row>
    <row r="1217" spans="1:14" ht="18.75" customHeight="1" x14ac:dyDescent="0.55000000000000004">
      <c r="A1217" s="28"/>
      <c r="B1217" s="45"/>
      <c r="C1217" s="49"/>
      <c r="D1217" s="54"/>
      <c r="E1217" s="63"/>
      <c r="F1217" s="23"/>
      <c r="G1217" s="23"/>
      <c r="H1217" s="7"/>
      <c r="I1217" s="47"/>
      <c r="J1217" s="25"/>
      <c r="K1217" s="40"/>
      <c r="L1217" s="40"/>
      <c r="M1217" s="228"/>
    </row>
    <row r="1218" spans="1:14" ht="18.75" customHeight="1" x14ac:dyDescent="0.55000000000000004">
      <c r="A1218" s="28"/>
      <c r="B1218" s="45"/>
      <c r="C1218" s="49"/>
      <c r="D1218" s="54"/>
      <c r="E1218" s="63"/>
      <c r="F1218" s="23"/>
      <c r="G1218" s="23"/>
      <c r="H1218" s="7"/>
      <c r="I1218" s="47"/>
      <c r="J1218" s="11"/>
      <c r="L1218" s="40"/>
      <c r="M1218" s="228"/>
    </row>
    <row r="1219" spans="1:14" ht="18.75" customHeight="1" x14ac:dyDescent="0.55000000000000004">
      <c r="A1219" s="28"/>
      <c r="B1219" s="45"/>
      <c r="C1219" s="49"/>
      <c r="D1219" s="54"/>
      <c r="E1219" s="63"/>
      <c r="F1219" s="23"/>
      <c r="G1219" s="23"/>
      <c r="H1219" s="7"/>
      <c r="I1219" s="47"/>
      <c r="J1219" s="11"/>
      <c r="L1219" s="40"/>
      <c r="M1219" s="228"/>
    </row>
    <row r="1220" spans="1:14" ht="18.75" customHeight="1" x14ac:dyDescent="0.55000000000000004">
      <c r="A1220" s="28"/>
      <c r="B1220" s="45"/>
      <c r="C1220" s="49"/>
      <c r="D1220" s="54"/>
      <c r="E1220" s="42"/>
      <c r="F1220" s="23"/>
      <c r="G1220" s="23"/>
      <c r="H1220" s="7"/>
      <c r="I1220" s="47"/>
      <c r="J1220" s="11"/>
      <c r="L1220" s="40"/>
      <c r="M1220" s="227"/>
      <c r="N1220" s="80"/>
    </row>
    <row r="1221" spans="1:14" ht="18.75" customHeight="1" x14ac:dyDescent="0.55000000000000004">
      <c r="A1221" s="28"/>
      <c r="B1221" s="45"/>
      <c r="C1221" s="49"/>
      <c r="D1221" s="54"/>
      <c r="E1221" s="42"/>
      <c r="F1221" s="23"/>
      <c r="G1221" s="23"/>
      <c r="H1221" s="7"/>
      <c r="I1221" s="47"/>
      <c r="J1221" s="11"/>
      <c r="L1221" s="40"/>
      <c r="M1221" s="30"/>
    </row>
    <row r="1222" spans="1:14" ht="18.75" customHeight="1" x14ac:dyDescent="0.55000000000000004">
      <c r="A1222" s="28"/>
      <c r="B1222" s="45"/>
      <c r="C1222" s="49"/>
      <c r="D1222" s="54"/>
      <c r="E1222" s="63"/>
      <c r="F1222" s="23"/>
      <c r="G1222" s="23"/>
      <c r="H1222" s="7"/>
      <c r="I1222" s="47"/>
      <c r="J1222" s="25"/>
      <c r="K1222" s="40"/>
      <c r="L1222" s="40"/>
      <c r="M1222" s="228"/>
    </row>
    <row r="1223" spans="1:14" ht="18.75" customHeight="1" x14ac:dyDescent="0.55000000000000004">
      <c r="A1223" s="28"/>
      <c r="B1223" s="45"/>
      <c r="C1223" s="49"/>
      <c r="D1223" s="54"/>
      <c r="E1223" s="63"/>
      <c r="F1223" s="23"/>
      <c r="G1223" s="23"/>
      <c r="H1223" s="7"/>
      <c r="I1223" s="47"/>
      <c r="J1223" s="11"/>
      <c r="L1223" s="40"/>
      <c r="M1223" s="228"/>
    </row>
    <row r="1224" spans="1:14" ht="18.75" customHeight="1" x14ac:dyDescent="0.55000000000000004">
      <c r="A1224" s="28"/>
      <c r="B1224" s="45"/>
      <c r="C1224" s="49"/>
      <c r="D1224" s="54"/>
      <c r="E1224" s="63"/>
      <c r="F1224" s="23"/>
      <c r="G1224" s="23"/>
      <c r="H1224" s="7"/>
      <c r="I1224" s="47"/>
      <c r="J1224" s="11"/>
      <c r="L1224" s="40"/>
      <c r="M1224" s="228"/>
    </row>
    <row r="1225" spans="1:14" ht="18.75" customHeight="1" x14ac:dyDescent="0.55000000000000004">
      <c r="A1225" s="28"/>
      <c r="B1225" s="45"/>
      <c r="C1225" s="49"/>
      <c r="D1225" s="54"/>
      <c r="E1225" s="42"/>
      <c r="F1225" s="23"/>
      <c r="G1225" s="23"/>
      <c r="H1225" s="7"/>
      <c r="I1225" s="47"/>
      <c r="J1225" s="11"/>
      <c r="L1225" s="40"/>
      <c r="M1225" s="227"/>
      <c r="N1225" s="80"/>
    </row>
    <row r="1226" spans="1:14" ht="18.75" customHeight="1" x14ac:dyDescent="0.55000000000000004">
      <c r="A1226" s="28"/>
      <c r="B1226" s="45"/>
      <c r="C1226" s="49"/>
      <c r="D1226" s="54"/>
      <c r="E1226" s="42"/>
      <c r="F1226" s="23"/>
      <c r="G1226" s="23"/>
      <c r="H1226" s="7"/>
      <c r="I1226" s="47"/>
      <c r="J1226" s="11"/>
      <c r="L1226" s="40"/>
      <c r="M1226" s="30"/>
    </row>
    <row r="1227" spans="1:14" ht="18.75" customHeight="1" x14ac:dyDescent="0.55000000000000004">
      <c r="A1227" s="28"/>
      <c r="B1227" s="45"/>
      <c r="C1227" s="49"/>
      <c r="D1227" s="54"/>
      <c r="E1227" s="63"/>
      <c r="F1227" s="23"/>
      <c r="G1227" s="23"/>
      <c r="H1227" s="7"/>
      <c r="I1227" s="47"/>
      <c r="J1227" s="25"/>
      <c r="K1227" s="40"/>
      <c r="L1227" s="40"/>
      <c r="M1227" s="228"/>
    </row>
    <row r="1228" spans="1:14" ht="18.75" customHeight="1" x14ac:dyDescent="0.55000000000000004">
      <c r="A1228" s="28"/>
      <c r="B1228" s="45"/>
      <c r="C1228" s="49"/>
      <c r="D1228" s="54"/>
      <c r="E1228" s="63"/>
      <c r="F1228" s="23"/>
      <c r="G1228" s="23"/>
      <c r="H1228" s="7"/>
      <c r="I1228" s="47"/>
      <c r="J1228" s="11"/>
      <c r="L1228" s="40"/>
      <c r="M1228" s="228"/>
    </row>
    <row r="1229" spans="1:14" ht="18.75" customHeight="1" x14ac:dyDescent="0.55000000000000004">
      <c r="A1229" s="28"/>
      <c r="B1229" s="45"/>
      <c r="C1229" s="49"/>
      <c r="D1229" s="54"/>
      <c r="E1229" s="63"/>
      <c r="F1229" s="23"/>
      <c r="G1229" s="23"/>
      <c r="H1229" s="7"/>
      <c r="I1229" s="47"/>
      <c r="J1229" s="11"/>
      <c r="L1229" s="40"/>
      <c r="M1229" s="228"/>
    </row>
    <row r="1230" spans="1:14" ht="18.75" customHeight="1" x14ac:dyDescent="0.55000000000000004">
      <c r="A1230" s="28"/>
      <c r="B1230" s="45"/>
      <c r="C1230" s="49"/>
      <c r="D1230" s="54"/>
      <c r="E1230" s="42"/>
      <c r="F1230" s="23"/>
      <c r="G1230" s="23"/>
      <c r="H1230" s="7"/>
      <c r="I1230" s="47"/>
      <c r="J1230" s="11"/>
      <c r="L1230" s="40"/>
      <c r="M1230" s="227"/>
      <c r="N1230" s="80"/>
    </row>
    <row r="1231" spans="1:14" ht="18.75" customHeight="1" x14ac:dyDescent="0.55000000000000004">
      <c r="A1231" s="28"/>
      <c r="B1231" s="45"/>
      <c r="C1231" s="49"/>
      <c r="D1231" s="54"/>
      <c r="E1231" s="42"/>
      <c r="F1231" s="23"/>
      <c r="G1231" s="23"/>
      <c r="H1231" s="7"/>
      <c r="I1231" s="47"/>
      <c r="J1231" s="11"/>
      <c r="L1231" s="40"/>
      <c r="M1231" s="30"/>
    </row>
    <row r="1232" spans="1:14" ht="18.75" customHeight="1" x14ac:dyDescent="0.55000000000000004">
      <c r="A1232" s="28"/>
      <c r="B1232" s="45"/>
      <c r="C1232" s="49"/>
      <c r="D1232" s="54"/>
      <c r="E1232" s="63"/>
      <c r="F1232" s="23"/>
      <c r="G1232" s="23"/>
      <c r="H1232" s="7"/>
      <c r="I1232" s="47"/>
      <c r="J1232" s="25"/>
      <c r="K1232" s="40"/>
      <c r="L1232" s="40"/>
      <c r="M1232" s="228"/>
    </row>
    <row r="1233" spans="1:14" ht="18.75" customHeight="1" x14ac:dyDescent="0.55000000000000004">
      <c r="A1233" s="28"/>
      <c r="B1233" s="45"/>
      <c r="C1233" s="49"/>
      <c r="D1233" s="54"/>
      <c r="E1233" s="63"/>
      <c r="F1233" s="23"/>
      <c r="G1233" s="23"/>
      <c r="H1233" s="7"/>
      <c r="I1233" s="47"/>
      <c r="J1233" s="11"/>
      <c r="L1233" s="40"/>
      <c r="M1233" s="228"/>
    </row>
    <row r="1234" spans="1:14" ht="18.75" customHeight="1" x14ac:dyDescent="0.55000000000000004">
      <c r="A1234" s="28"/>
      <c r="B1234" s="45"/>
      <c r="C1234" s="49"/>
      <c r="D1234" s="54"/>
      <c r="E1234" s="63"/>
      <c r="F1234" s="23"/>
      <c r="G1234" s="23"/>
      <c r="H1234" s="7"/>
      <c r="I1234" s="47"/>
      <c r="J1234" s="11"/>
      <c r="L1234" s="40"/>
      <c r="M1234" s="228"/>
    </row>
    <row r="1235" spans="1:14" ht="18.75" customHeight="1" x14ac:dyDescent="0.55000000000000004">
      <c r="A1235" s="28"/>
      <c r="B1235" s="45"/>
      <c r="C1235" s="49"/>
      <c r="D1235" s="54"/>
      <c r="E1235" s="42"/>
      <c r="F1235" s="23"/>
      <c r="G1235" s="23"/>
      <c r="H1235" s="7"/>
      <c r="I1235" s="47"/>
      <c r="J1235" s="11"/>
      <c r="L1235" s="40"/>
      <c r="M1235" s="227"/>
      <c r="N1235" s="80"/>
    </row>
    <row r="1236" spans="1:14" ht="18.75" customHeight="1" x14ac:dyDescent="0.55000000000000004">
      <c r="A1236" s="28"/>
      <c r="B1236" s="45"/>
      <c r="C1236" s="49"/>
      <c r="D1236" s="54"/>
      <c r="E1236" s="42"/>
      <c r="F1236" s="23"/>
      <c r="G1236" s="23"/>
      <c r="H1236" s="7"/>
      <c r="I1236" s="47"/>
      <c r="J1236" s="11"/>
      <c r="L1236" s="40"/>
      <c r="M1236" s="30"/>
    </row>
    <row r="1237" spans="1:14" ht="18.75" customHeight="1" x14ac:dyDescent="0.55000000000000004">
      <c r="A1237" s="28"/>
      <c r="B1237" s="45"/>
      <c r="C1237" s="49"/>
      <c r="D1237" s="54"/>
      <c r="E1237" s="63"/>
      <c r="F1237" s="23"/>
      <c r="G1237" s="23"/>
      <c r="H1237" s="7"/>
      <c r="I1237" s="47"/>
      <c r="J1237" s="25"/>
      <c r="K1237" s="40"/>
      <c r="L1237" s="40"/>
      <c r="M1237" s="228"/>
    </row>
    <row r="1238" spans="1:14" ht="18.75" customHeight="1" x14ac:dyDescent="0.55000000000000004">
      <c r="A1238" s="28"/>
      <c r="B1238" s="45"/>
      <c r="C1238" s="49"/>
      <c r="D1238" s="54"/>
      <c r="E1238" s="63"/>
      <c r="F1238" s="23"/>
      <c r="G1238" s="23"/>
      <c r="H1238" s="7"/>
      <c r="I1238" s="47"/>
      <c r="J1238" s="11"/>
      <c r="L1238" s="40"/>
      <c r="M1238" s="228"/>
    </row>
    <row r="1239" spans="1:14" ht="18.75" customHeight="1" x14ac:dyDescent="0.55000000000000004">
      <c r="A1239" s="28"/>
      <c r="B1239" s="45"/>
      <c r="C1239" s="49"/>
      <c r="D1239" s="54"/>
      <c r="E1239" s="63"/>
      <c r="F1239" s="23"/>
      <c r="G1239" s="23"/>
      <c r="H1239" s="7"/>
      <c r="I1239" s="47"/>
      <c r="J1239" s="11"/>
      <c r="L1239" s="40"/>
      <c r="M1239" s="228"/>
    </row>
    <row r="1240" spans="1:14" ht="18.75" customHeight="1" x14ac:dyDescent="0.55000000000000004">
      <c r="A1240" s="28"/>
      <c r="B1240" s="45"/>
      <c r="C1240" s="49"/>
      <c r="D1240" s="54"/>
      <c r="E1240" s="42"/>
      <c r="F1240" s="23"/>
      <c r="G1240" s="23"/>
      <c r="H1240" s="7"/>
      <c r="I1240" s="47"/>
      <c r="J1240" s="11"/>
      <c r="L1240" s="40"/>
      <c r="M1240" s="227"/>
      <c r="N1240" s="80"/>
    </row>
    <row r="1241" spans="1:14" ht="18.75" customHeight="1" x14ac:dyDescent="0.55000000000000004">
      <c r="A1241" s="28"/>
      <c r="B1241" s="45"/>
      <c r="C1241" s="49"/>
      <c r="D1241" s="54"/>
      <c r="E1241" s="42"/>
      <c r="F1241" s="23"/>
      <c r="G1241" s="23"/>
      <c r="H1241" s="7"/>
      <c r="I1241" s="47"/>
      <c r="J1241" s="11"/>
      <c r="L1241" s="40"/>
      <c r="M1241" s="30"/>
    </row>
    <row r="1242" spans="1:14" ht="18.75" customHeight="1" x14ac:dyDescent="0.55000000000000004">
      <c r="A1242" s="28"/>
      <c r="B1242" s="45"/>
      <c r="C1242" s="49"/>
      <c r="D1242" s="54"/>
      <c r="E1242" s="63"/>
      <c r="F1242" s="23"/>
      <c r="G1242" s="23"/>
      <c r="H1242" s="7"/>
      <c r="I1242" s="47"/>
      <c r="J1242" s="25"/>
      <c r="K1242" s="40"/>
      <c r="L1242" s="40"/>
      <c r="M1242" s="228"/>
    </row>
    <row r="1243" spans="1:14" ht="18.75" customHeight="1" x14ac:dyDescent="0.55000000000000004">
      <c r="A1243" s="28"/>
      <c r="B1243" s="45"/>
      <c r="C1243" s="49"/>
      <c r="D1243" s="54"/>
      <c r="E1243" s="63"/>
      <c r="F1243" s="23"/>
      <c r="G1243" s="23"/>
      <c r="H1243" s="7"/>
      <c r="I1243" s="47"/>
      <c r="J1243" s="11"/>
      <c r="L1243" s="40"/>
      <c r="M1243" s="228"/>
    </row>
    <row r="1244" spans="1:14" ht="18.75" customHeight="1" x14ac:dyDescent="0.55000000000000004">
      <c r="A1244" s="28"/>
      <c r="B1244" s="45"/>
      <c r="C1244" s="49"/>
      <c r="D1244" s="54"/>
      <c r="E1244" s="63"/>
      <c r="F1244" s="23"/>
      <c r="G1244" s="23"/>
      <c r="H1244" s="7"/>
      <c r="I1244" s="47"/>
      <c r="J1244" s="11"/>
      <c r="L1244" s="40"/>
      <c r="M1244" s="228"/>
    </row>
    <row r="1245" spans="1:14" ht="18.75" customHeight="1" x14ac:dyDescent="0.55000000000000004">
      <c r="A1245" s="28"/>
      <c r="B1245" s="45"/>
      <c r="C1245" s="49"/>
      <c r="D1245" s="54"/>
      <c r="E1245" s="42"/>
      <c r="F1245" s="23"/>
      <c r="G1245" s="23"/>
      <c r="H1245" s="7"/>
      <c r="I1245" s="47"/>
      <c r="J1245" s="11"/>
      <c r="L1245" s="40"/>
      <c r="M1245" s="227"/>
      <c r="N1245" s="80"/>
    </row>
    <row r="1246" spans="1:14" ht="18.75" customHeight="1" x14ac:dyDescent="0.55000000000000004">
      <c r="A1246" s="28"/>
      <c r="B1246" s="45"/>
      <c r="C1246" s="49"/>
      <c r="D1246" s="54"/>
      <c r="E1246" s="42"/>
      <c r="F1246" s="23"/>
      <c r="G1246" s="23"/>
      <c r="H1246" s="7"/>
      <c r="I1246" s="47"/>
      <c r="J1246" s="11"/>
      <c r="L1246" s="40"/>
      <c r="M1246" s="30"/>
    </row>
    <row r="1247" spans="1:14" ht="18.75" customHeight="1" x14ac:dyDescent="0.55000000000000004">
      <c r="A1247" s="28"/>
      <c r="B1247" s="45"/>
      <c r="C1247" s="49"/>
      <c r="D1247" s="54"/>
      <c r="E1247" s="63"/>
      <c r="F1247" s="23"/>
      <c r="G1247" s="23"/>
      <c r="H1247" s="7"/>
      <c r="I1247" s="47"/>
      <c r="J1247" s="25"/>
      <c r="K1247" s="40"/>
      <c r="L1247" s="40"/>
      <c r="M1247" s="228"/>
    </row>
    <row r="1248" spans="1:14" ht="18.75" customHeight="1" x14ac:dyDescent="0.55000000000000004">
      <c r="A1248" s="28"/>
      <c r="B1248" s="45"/>
      <c r="C1248" s="49"/>
      <c r="D1248" s="54"/>
      <c r="E1248" s="63"/>
      <c r="F1248" s="23"/>
      <c r="G1248" s="23"/>
      <c r="H1248" s="7"/>
      <c r="I1248" s="47"/>
      <c r="J1248" s="11"/>
      <c r="L1248" s="40"/>
      <c r="M1248" s="228"/>
    </row>
    <row r="1249" spans="1:14" ht="18.75" customHeight="1" x14ac:dyDescent="0.55000000000000004">
      <c r="A1249" s="28"/>
      <c r="B1249" s="45"/>
      <c r="C1249" s="49"/>
      <c r="D1249" s="54"/>
      <c r="E1249" s="63"/>
      <c r="F1249" s="23"/>
      <c r="G1249" s="23"/>
      <c r="H1249" s="7"/>
      <c r="I1249" s="47"/>
      <c r="J1249" s="11"/>
      <c r="L1249" s="40"/>
      <c r="M1249" s="228"/>
    </row>
    <row r="1250" spans="1:14" ht="18.75" customHeight="1" x14ac:dyDescent="0.55000000000000004">
      <c r="A1250" s="28"/>
      <c r="B1250" s="45"/>
      <c r="C1250" s="49"/>
      <c r="D1250" s="54"/>
      <c r="E1250" s="42"/>
      <c r="F1250" s="23"/>
      <c r="G1250" s="23"/>
      <c r="H1250" s="7"/>
      <c r="I1250" s="47"/>
      <c r="J1250" s="11"/>
      <c r="L1250" s="40"/>
      <c r="M1250" s="227"/>
      <c r="N1250" s="80"/>
    </row>
    <row r="1251" spans="1:14" ht="18.75" customHeight="1" x14ac:dyDescent="0.55000000000000004">
      <c r="A1251" s="28"/>
      <c r="B1251" s="45"/>
      <c r="C1251" s="49"/>
      <c r="D1251" s="54"/>
      <c r="E1251" s="42"/>
      <c r="F1251" s="23"/>
      <c r="G1251" s="23"/>
      <c r="H1251" s="7"/>
      <c r="I1251" s="47"/>
      <c r="J1251" s="11"/>
      <c r="L1251" s="40"/>
      <c r="M1251" s="30"/>
    </row>
    <row r="1252" spans="1:14" ht="18.75" customHeight="1" x14ac:dyDescent="0.55000000000000004">
      <c r="A1252" s="28"/>
      <c r="B1252" s="45"/>
      <c r="C1252" s="49"/>
      <c r="D1252" s="54"/>
      <c r="E1252" s="63"/>
      <c r="F1252" s="23"/>
      <c r="G1252" s="23"/>
      <c r="H1252" s="7"/>
      <c r="I1252" s="47"/>
      <c r="J1252" s="25"/>
      <c r="K1252" s="40"/>
      <c r="L1252" s="40"/>
      <c r="M1252" s="228"/>
    </row>
    <row r="1253" spans="1:14" ht="18.75" customHeight="1" x14ac:dyDescent="0.55000000000000004">
      <c r="A1253" s="28"/>
      <c r="B1253" s="45"/>
      <c r="C1253" s="49"/>
      <c r="D1253" s="54"/>
      <c r="E1253" s="63"/>
      <c r="F1253" s="23"/>
      <c r="G1253" s="23"/>
      <c r="H1253" s="7"/>
      <c r="I1253" s="47"/>
      <c r="J1253" s="11"/>
      <c r="L1253" s="40"/>
      <c r="M1253" s="228"/>
    </row>
    <row r="1254" spans="1:14" ht="18.75" customHeight="1" x14ac:dyDescent="0.55000000000000004">
      <c r="A1254" s="28"/>
      <c r="B1254" s="45"/>
      <c r="C1254" s="49"/>
      <c r="D1254" s="54"/>
      <c r="E1254" s="63"/>
      <c r="F1254" s="23"/>
      <c r="G1254" s="23"/>
      <c r="H1254" s="7"/>
      <c r="I1254" s="47"/>
      <c r="J1254" s="11"/>
      <c r="L1254" s="40"/>
      <c r="M1254" s="228"/>
    </row>
    <row r="1255" spans="1:14" ht="18.75" customHeight="1" x14ac:dyDescent="0.55000000000000004">
      <c r="A1255" s="28"/>
      <c r="B1255" s="45"/>
      <c r="C1255" s="49"/>
      <c r="D1255" s="54"/>
      <c r="E1255" s="42"/>
      <c r="F1255" s="23"/>
      <c r="G1255" s="23"/>
      <c r="H1255" s="7"/>
      <c r="I1255" s="47"/>
      <c r="J1255" s="11"/>
      <c r="L1255" s="40"/>
      <c r="M1255" s="227"/>
      <c r="N1255" s="80"/>
    </row>
    <row r="1256" spans="1:14" ht="18.75" customHeight="1" x14ac:dyDescent="0.55000000000000004">
      <c r="A1256" s="28"/>
      <c r="B1256" s="45"/>
      <c r="C1256" s="49"/>
      <c r="D1256" s="54"/>
      <c r="E1256" s="42"/>
      <c r="F1256" s="23"/>
      <c r="G1256" s="23"/>
      <c r="H1256" s="7"/>
      <c r="I1256" s="47"/>
      <c r="J1256" s="11"/>
      <c r="L1256" s="40"/>
      <c r="M1256" s="30"/>
    </row>
    <row r="1257" spans="1:14" ht="18.75" customHeight="1" x14ac:dyDescent="0.55000000000000004">
      <c r="A1257" s="28"/>
      <c r="B1257" s="45"/>
      <c r="C1257" s="49"/>
      <c r="D1257" s="54"/>
      <c r="E1257" s="63"/>
      <c r="F1257" s="23"/>
      <c r="G1257" s="23"/>
      <c r="H1257" s="7"/>
      <c r="I1257" s="47"/>
      <c r="J1257" s="25"/>
      <c r="K1257" s="40"/>
      <c r="L1257" s="40"/>
      <c r="M1257" s="228"/>
    </row>
    <row r="1258" spans="1:14" ht="18.75" customHeight="1" x14ac:dyDescent="0.55000000000000004">
      <c r="A1258" s="28"/>
      <c r="B1258" s="45"/>
      <c r="C1258" s="49"/>
      <c r="D1258" s="54"/>
      <c r="E1258" s="63"/>
      <c r="F1258" s="23"/>
      <c r="G1258" s="23"/>
      <c r="H1258" s="7"/>
      <c r="I1258" s="47"/>
      <c r="J1258" s="11"/>
      <c r="L1258" s="40"/>
      <c r="M1258" s="228"/>
    </row>
    <row r="1259" spans="1:14" ht="18.75" customHeight="1" x14ac:dyDescent="0.55000000000000004">
      <c r="A1259" s="28"/>
      <c r="B1259" s="45"/>
      <c r="C1259" s="49"/>
      <c r="D1259" s="54"/>
      <c r="E1259" s="63"/>
      <c r="F1259" s="23"/>
      <c r="G1259" s="23"/>
      <c r="H1259" s="7"/>
      <c r="I1259" s="47"/>
      <c r="J1259" s="11"/>
      <c r="L1259" s="40"/>
      <c r="M1259" s="228"/>
    </row>
    <row r="1260" spans="1:14" ht="18.75" customHeight="1" x14ac:dyDescent="0.55000000000000004">
      <c r="A1260" s="28"/>
      <c r="B1260" s="45"/>
      <c r="C1260" s="49"/>
      <c r="D1260" s="54"/>
      <c r="E1260" s="42"/>
      <c r="F1260" s="23"/>
      <c r="G1260" s="23"/>
      <c r="H1260" s="7"/>
      <c r="I1260" s="47"/>
      <c r="J1260" s="11"/>
      <c r="L1260" s="40"/>
      <c r="M1260" s="227"/>
      <c r="N1260" s="80"/>
    </row>
    <row r="1261" spans="1:14" ht="18.75" customHeight="1" x14ac:dyDescent="0.55000000000000004">
      <c r="A1261" s="28"/>
      <c r="B1261" s="45"/>
      <c r="C1261" s="49"/>
      <c r="D1261" s="54"/>
      <c r="E1261" s="42"/>
      <c r="F1261" s="23"/>
      <c r="G1261" s="23"/>
      <c r="H1261" s="7"/>
      <c r="I1261" s="47"/>
      <c r="J1261" s="11"/>
      <c r="L1261" s="40"/>
      <c r="M1261" s="30"/>
    </row>
    <row r="1262" spans="1:14" ht="18.75" customHeight="1" x14ac:dyDescent="0.55000000000000004">
      <c r="A1262" s="28"/>
      <c r="B1262" s="45"/>
      <c r="C1262" s="49"/>
      <c r="D1262" s="54"/>
      <c r="E1262" s="63"/>
      <c r="F1262" s="23"/>
      <c r="G1262" s="23"/>
      <c r="H1262" s="7"/>
      <c r="I1262" s="47"/>
      <c r="J1262" s="25"/>
      <c r="K1262" s="40"/>
      <c r="L1262" s="40"/>
      <c r="M1262" s="228"/>
    </row>
    <row r="1263" spans="1:14" ht="18.75" customHeight="1" x14ac:dyDescent="0.55000000000000004">
      <c r="A1263" s="28"/>
      <c r="B1263" s="45"/>
      <c r="C1263" s="49"/>
      <c r="D1263" s="54"/>
      <c r="E1263" s="63"/>
      <c r="F1263" s="23"/>
      <c r="G1263" s="23"/>
      <c r="H1263" s="7"/>
      <c r="I1263" s="47"/>
      <c r="J1263" s="11"/>
      <c r="L1263" s="40"/>
      <c r="M1263" s="228"/>
    </row>
    <row r="1264" spans="1:14" ht="18.75" customHeight="1" x14ac:dyDescent="0.55000000000000004">
      <c r="A1264" s="28"/>
      <c r="B1264" s="45"/>
      <c r="C1264" s="49"/>
      <c r="D1264" s="54"/>
      <c r="E1264" s="63"/>
      <c r="F1264" s="23"/>
      <c r="G1264" s="23"/>
      <c r="H1264" s="7"/>
      <c r="I1264" s="47"/>
      <c r="J1264" s="11"/>
      <c r="L1264" s="40"/>
      <c r="M1264" s="228"/>
    </row>
    <row r="1265" spans="1:14" ht="18.75" customHeight="1" x14ac:dyDescent="0.55000000000000004">
      <c r="A1265" s="28"/>
      <c r="B1265" s="45"/>
      <c r="C1265" s="49"/>
      <c r="D1265" s="54"/>
      <c r="E1265" s="42"/>
      <c r="F1265" s="23"/>
      <c r="G1265" s="23"/>
      <c r="H1265" s="7"/>
      <c r="I1265" s="47"/>
      <c r="J1265" s="11"/>
      <c r="L1265" s="40"/>
      <c r="M1265" s="227"/>
      <c r="N1265" s="80"/>
    </row>
    <row r="1266" spans="1:14" ht="18.75" customHeight="1" x14ac:dyDescent="0.55000000000000004">
      <c r="A1266" s="28"/>
      <c r="B1266" s="45"/>
      <c r="C1266" s="49"/>
      <c r="D1266" s="54"/>
      <c r="E1266" s="42"/>
      <c r="F1266" s="23"/>
      <c r="G1266" s="23"/>
      <c r="H1266" s="7"/>
      <c r="I1266" s="47"/>
      <c r="J1266" s="11"/>
      <c r="L1266" s="40"/>
      <c r="M1266" s="30"/>
    </row>
    <row r="1267" spans="1:14" ht="18.75" customHeight="1" x14ac:dyDescent="0.55000000000000004">
      <c r="A1267" s="28"/>
      <c r="B1267" s="45"/>
      <c r="C1267" s="49"/>
      <c r="D1267" s="54"/>
      <c r="E1267" s="63"/>
      <c r="F1267" s="23"/>
      <c r="G1267" s="23"/>
      <c r="H1267" s="7"/>
      <c r="I1267" s="47"/>
      <c r="J1267" s="25"/>
      <c r="K1267" s="40"/>
      <c r="L1267" s="40"/>
      <c r="M1267" s="228"/>
    </row>
    <row r="1268" spans="1:14" ht="18.75" customHeight="1" x14ac:dyDescent="0.55000000000000004">
      <c r="A1268" s="28"/>
      <c r="B1268" s="45"/>
      <c r="C1268" s="49"/>
      <c r="D1268" s="54"/>
      <c r="E1268" s="63"/>
      <c r="F1268" s="23"/>
      <c r="G1268" s="23"/>
      <c r="H1268" s="7"/>
      <c r="I1268" s="47"/>
      <c r="J1268" s="11"/>
      <c r="L1268" s="40"/>
      <c r="M1268" s="228"/>
    </row>
    <row r="1269" spans="1:14" ht="18.75" customHeight="1" x14ac:dyDescent="0.55000000000000004">
      <c r="A1269" s="28"/>
      <c r="B1269" s="45"/>
      <c r="C1269" s="49"/>
      <c r="D1269" s="54"/>
      <c r="E1269" s="63"/>
      <c r="F1269" s="23"/>
      <c r="G1269" s="23"/>
      <c r="H1269" s="7"/>
      <c r="I1269" s="47"/>
      <c r="J1269" s="11"/>
      <c r="L1269" s="40"/>
      <c r="M1269" s="228"/>
    </row>
    <row r="1270" spans="1:14" ht="18.75" customHeight="1" x14ac:dyDescent="0.55000000000000004">
      <c r="A1270" s="28"/>
      <c r="B1270" s="45"/>
      <c r="C1270" s="49"/>
      <c r="D1270" s="54"/>
      <c r="E1270" s="42"/>
      <c r="F1270" s="23"/>
      <c r="G1270" s="23"/>
      <c r="H1270" s="7"/>
      <c r="I1270" s="47"/>
      <c r="J1270" s="11"/>
      <c r="L1270" s="40"/>
      <c r="M1270" s="227"/>
      <c r="N1270" s="80"/>
    </row>
    <row r="1271" spans="1:14" ht="18.75" customHeight="1" x14ac:dyDescent="0.55000000000000004">
      <c r="A1271" s="28"/>
      <c r="B1271" s="45"/>
      <c r="C1271" s="49"/>
      <c r="D1271" s="54"/>
      <c r="E1271" s="42"/>
      <c r="F1271" s="23"/>
      <c r="G1271" s="23"/>
      <c r="H1271" s="7"/>
      <c r="I1271" s="47"/>
      <c r="J1271" s="11"/>
      <c r="L1271" s="40"/>
      <c r="M1271" s="30"/>
    </row>
    <row r="1272" spans="1:14" ht="18.75" customHeight="1" x14ac:dyDescent="0.55000000000000004">
      <c r="A1272" s="28"/>
      <c r="B1272" s="45"/>
      <c r="C1272" s="49"/>
      <c r="D1272" s="54"/>
      <c r="E1272" s="63"/>
      <c r="F1272" s="23"/>
      <c r="G1272" s="23"/>
      <c r="H1272" s="7"/>
      <c r="I1272" s="47"/>
      <c r="J1272" s="25"/>
      <c r="K1272" s="40"/>
      <c r="L1272" s="40"/>
      <c r="M1272" s="228"/>
    </row>
    <row r="1273" spans="1:14" ht="18.75" customHeight="1" x14ac:dyDescent="0.55000000000000004">
      <c r="A1273" s="28"/>
      <c r="B1273" s="45"/>
      <c r="C1273" s="49"/>
      <c r="D1273" s="54"/>
      <c r="E1273" s="63"/>
      <c r="F1273" s="23"/>
      <c r="G1273" s="23"/>
      <c r="H1273" s="7"/>
      <c r="I1273" s="47"/>
      <c r="J1273" s="11"/>
      <c r="L1273" s="40"/>
      <c r="M1273" s="228"/>
    </row>
    <row r="1274" spans="1:14" ht="18.75" customHeight="1" x14ac:dyDescent="0.55000000000000004">
      <c r="A1274" s="28"/>
      <c r="B1274" s="45"/>
      <c r="C1274" s="49"/>
      <c r="D1274" s="54"/>
      <c r="E1274" s="63"/>
      <c r="F1274" s="23"/>
      <c r="G1274" s="23"/>
      <c r="H1274" s="7"/>
      <c r="I1274" s="47"/>
      <c r="J1274" s="11"/>
      <c r="L1274" s="40"/>
      <c r="M1274" s="228"/>
    </row>
    <row r="1275" spans="1:14" ht="18.75" customHeight="1" x14ac:dyDescent="0.55000000000000004">
      <c r="A1275" s="28"/>
      <c r="B1275" s="45"/>
      <c r="C1275" s="49"/>
      <c r="D1275" s="54"/>
      <c r="E1275" s="42"/>
      <c r="F1275" s="23"/>
      <c r="G1275" s="23"/>
      <c r="H1275" s="7"/>
      <c r="I1275" s="47"/>
      <c r="J1275" s="11"/>
      <c r="L1275" s="40"/>
      <c r="M1275" s="227"/>
      <c r="N1275" s="80"/>
    </row>
    <row r="1276" spans="1:14" ht="18.75" customHeight="1" x14ac:dyDescent="0.55000000000000004">
      <c r="A1276" s="28"/>
      <c r="B1276" s="45"/>
      <c r="C1276" s="49"/>
      <c r="D1276" s="54"/>
      <c r="E1276" s="42"/>
      <c r="F1276" s="23"/>
      <c r="G1276" s="23"/>
      <c r="H1276" s="7"/>
      <c r="I1276" s="47"/>
      <c r="J1276" s="11"/>
      <c r="L1276" s="40"/>
      <c r="M1276" s="30"/>
    </row>
    <row r="1277" spans="1:14" ht="18.75" customHeight="1" x14ac:dyDescent="0.55000000000000004">
      <c r="A1277" s="28"/>
      <c r="B1277" s="45"/>
      <c r="C1277" s="49"/>
      <c r="D1277" s="54"/>
      <c r="E1277" s="63"/>
      <c r="F1277" s="23"/>
      <c r="G1277" s="23"/>
      <c r="H1277" s="7"/>
      <c r="I1277" s="47"/>
      <c r="J1277" s="25"/>
      <c r="K1277" s="40"/>
      <c r="L1277" s="40"/>
      <c r="M1277" s="228"/>
    </row>
    <row r="1278" spans="1:14" ht="18.75" customHeight="1" x14ac:dyDescent="0.55000000000000004">
      <c r="A1278" s="28"/>
      <c r="B1278" s="45"/>
      <c r="C1278" s="49"/>
      <c r="D1278" s="54"/>
      <c r="E1278" s="63"/>
      <c r="F1278" s="23"/>
      <c r="G1278" s="23"/>
      <c r="H1278" s="7"/>
      <c r="I1278" s="47"/>
      <c r="J1278" s="11"/>
      <c r="L1278" s="40"/>
      <c r="M1278" s="228"/>
    </row>
    <row r="1279" spans="1:14" ht="18.75" customHeight="1" x14ac:dyDescent="0.55000000000000004">
      <c r="A1279" s="28"/>
      <c r="B1279" s="45"/>
      <c r="C1279" s="49"/>
      <c r="D1279" s="54"/>
      <c r="E1279" s="63"/>
      <c r="F1279" s="23"/>
      <c r="G1279" s="23"/>
      <c r="H1279" s="7"/>
      <c r="I1279" s="47"/>
      <c r="J1279" s="11"/>
      <c r="L1279" s="40"/>
      <c r="M1279" s="228"/>
    </row>
    <row r="1280" spans="1:14" ht="18.75" customHeight="1" x14ac:dyDescent="0.55000000000000004">
      <c r="A1280" s="28"/>
      <c r="B1280" s="45"/>
      <c r="C1280" s="49"/>
      <c r="D1280" s="54"/>
      <c r="E1280" s="42"/>
      <c r="F1280" s="23"/>
      <c r="G1280" s="23"/>
      <c r="H1280" s="7"/>
      <c r="I1280" s="47"/>
      <c r="J1280" s="11"/>
      <c r="L1280" s="40"/>
      <c r="M1280" s="227"/>
      <c r="N1280" s="80"/>
    </row>
    <row r="1281" spans="1:14" ht="18.75" customHeight="1" x14ac:dyDescent="0.55000000000000004">
      <c r="A1281" s="28"/>
      <c r="B1281" s="45"/>
      <c r="C1281" s="49"/>
      <c r="D1281" s="54"/>
      <c r="E1281" s="42"/>
      <c r="F1281" s="23"/>
      <c r="G1281" s="23"/>
      <c r="H1281" s="7"/>
      <c r="I1281" s="47"/>
      <c r="J1281" s="11"/>
      <c r="L1281" s="40"/>
      <c r="M1281" s="30"/>
    </row>
    <row r="1282" spans="1:14" ht="18.75" customHeight="1" x14ac:dyDescent="0.55000000000000004">
      <c r="A1282" s="28"/>
      <c r="B1282" s="45"/>
      <c r="C1282" s="49"/>
      <c r="D1282" s="54"/>
      <c r="E1282" s="63"/>
      <c r="F1282" s="23"/>
      <c r="G1282" s="23"/>
      <c r="H1282" s="7"/>
      <c r="I1282" s="47"/>
      <c r="J1282" s="25"/>
      <c r="K1282" s="40"/>
      <c r="L1282" s="40"/>
      <c r="M1282" s="228"/>
    </row>
    <row r="1283" spans="1:14" ht="18.75" customHeight="1" x14ac:dyDescent="0.55000000000000004">
      <c r="A1283" s="28"/>
      <c r="B1283" s="45"/>
      <c r="C1283" s="49"/>
      <c r="D1283" s="54"/>
      <c r="E1283" s="63"/>
      <c r="F1283" s="23"/>
      <c r="G1283" s="23"/>
      <c r="H1283" s="7"/>
      <c r="I1283" s="47"/>
      <c r="J1283" s="11"/>
      <c r="L1283" s="40"/>
      <c r="M1283" s="228"/>
    </row>
    <row r="1284" spans="1:14" ht="18.75" customHeight="1" x14ac:dyDescent="0.55000000000000004">
      <c r="A1284" s="28"/>
      <c r="B1284" s="45"/>
      <c r="C1284" s="49"/>
      <c r="D1284" s="54"/>
      <c r="E1284" s="63"/>
      <c r="F1284" s="23"/>
      <c r="G1284" s="23"/>
      <c r="H1284" s="7"/>
      <c r="I1284" s="47"/>
      <c r="J1284" s="11"/>
      <c r="L1284" s="40"/>
      <c r="M1284" s="228"/>
    </row>
    <row r="1285" spans="1:14" ht="18.75" customHeight="1" x14ac:dyDescent="0.55000000000000004">
      <c r="A1285" s="28"/>
      <c r="B1285" s="45"/>
      <c r="C1285" s="49"/>
      <c r="D1285" s="54"/>
      <c r="E1285" s="42"/>
      <c r="F1285" s="23"/>
      <c r="G1285" s="23"/>
      <c r="H1285" s="7"/>
      <c r="I1285" s="47"/>
      <c r="J1285" s="11"/>
      <c r="L1285" s="40"/>
      <c r="M1285" s="227"/>
      <c r="N1285" s="80"/>
    </row>
    <row r="1286" spans="1:14" ht="18.75" customHeight="1" x14ac:dyDescent="0.55000000000000004">
      <c r="A1286" s="28"/>
      <c r="B1286" s="45"/>
      <c r="C1286" s="49"/>
      <c r="D1286" s="54"/>
      <c r="E1286" s="42"/>
      <c r="F1286" s="23"/>
      <c r="G1286" s="23"/>
      <c r="H1286" s="7"/>
      <c r="I1286" s="47"/>
      <c r="J1286" s="11"/>
      <c r="L1286" s="40"/>
      <c r="M1286" s="30"/>
    </row>
    <row r="1287" spans="1:14" ht="18.75" customHeight="1" x14ac:dyDescent="0.55000000000000004">
      <c r="A1287" s="28"/>
      <c r="B1287" s="45"/>
      <c r="C1287" s="49"/>
      <c r="D1287" s="54"/>
      <c r="E1287" s="63"/>
      <c r="F1287" s="23"/>
      <c r="G1287" s="23"/>
      <c r="H1287" s="7"/>
      <c r="I1287" s="47"/>
      <c r="J1287" s="25"/>
      <c r="K1287" s="40"/>
      <c r="L1287" s="40"/>
      <c r="M1287" s="228"/>
    </row>
    <row r="1288" spans="1:14" ht="18.75" customHeight="1" x14ac:dyDescent="0.55000000000000004">
      <c r="A1288" s="28"/>
      <c r="B1288" s="45"/>
      <c r="C1288" s="49"/>
      <c r="D1288" s="54"/>
      <c r="E1288" s="63"/>
      <c r="F1288" s="23"/>
      <c r="G1288" s="23"/>
      <c r="H1288" s="7"/>
      <c r="I1288" s="47"/>
      <c r="J1288" s="11"/>
      <c r="L1288" s="40"/>
      <c r="M1288" s="228"/>
    </row>
    <row r="1289" spans="1:14" ht="18.75" customHeight="1" x14ac:dyDescent="0.55000000000000004">
      <c r="A1289" s="28"/>
      <c r="B1289" s="45"/>
      <c r="C1289" s="49"/>
      <c r="D1289" s="54"/>
      <c r="E1289" s="63"/>
      <c r="F1289" s="23"/>
      <c r="G1289" s="23"/>
      <c r="H1289" s="7"/>
      <c r="I1289" s="47"/>
      <c r="J1289" s="11"/>
      <c r="L1289" s="40"/>
      <c r="M1289" s="228"/>
    </row>
    <row r="1290" spans="1:14" ht="18.75" customHeight="1" x14ac:dyDescent="0.55000000000000004">
      <c r="A1290" s="28"/>
      <c r="B1290" s="45"/>
      <c r="C1290" s="49"/>
      <c r="D1290" s="54"/>
      <c r="E1290" s="42"/>
      <c r="F1290" s="23"/>
      <c r="G1290" s="23"/>
      <c r="H1290" s="7"/>
      <c r="I1290" s="47"/>
      <c r="J1290" s="11"/>
      <c r="L1290" s="40"/>
      <c r="M1290" s="227"/>
      <c r="N1290" s="80"/>
    </row>
    <row r="1291" spans="1:14" ht="18.75" customHeight="1" x14ac:dyDescent="0.55000000000000004">
      <c r="A1291" s="28"/>
      <c r="B1291" s="45"/>
      <c r="C1291" s="49"/>
      <c r="D1291" s="54"/>
      <c r="E1291" s="42"/>
      <c r="F1291" s="23"/>
      <c r="G1291" s="23"/>
      <c r="H1291" s="7"/>
      <c r="I1291" s="47"/>
      <c r="J1291" s="11"/>
      <c r="L1291" s="40"/>
      <c r="M1291" s="30"/>
    </row>
    <row r="1292" spans="1:14" ht="18.75" customHeight="1" x14ac:dyDescent="0.55000000000000004">
      <c r="A1292" s="28"/>
      <c r="B1292" s="45"/>
      <c r="C1292" s="49"/>
      <c r="D1292" s="54"/>
      <c r="E1292" s="63"/>
      <c r="F1292" s="23"/>
      <c r="G1292" s="23"/>
      <c r="H1292" s="7"/>
      <c r="I1292" s="47"/>
      <c r="J1292" s="25"/>
      <c r="K1292" s="40"/>
      <c r="L1292" s="40"/>
      <c r="M1292" s="228"/>
    </row>
    <row r="1293" spans="1:14" ht="18.75" customHeight="1" x14ac:dyDescent="0.55000000000000004">
      <c r="A1293" s="28"/>
      <c r="B1293" s="45"/>
      <c r="C1293" s="49"/>
      <c r="D1293" s="54"/>
      <c r="E1293" s="63"/>
      <c r="F1293" s="23"/>
      <c r="G1293" s="23"/>
      <c r="H1293" s="7"/>
      <c r="I1293" s="47"/>
      <c r="J1293" s="11"/>
      <c r="L1293" s="40"/>
      <c r="M1293" s="228"/>
    </row>
    <row r="1294" spans="1:14" ht="18.75" customHeight="1" x14ac:dyDescent="0.55000000000000004">
      <c r="A1294" s="28"/>
      <c r="B1294" s="45"/>
      <c r="C1294" s="49"/>
      <c r="D1294" s="54"/>
      <c r="E1294" s="63"/>
      <c r="F1294" s="23"/>
      <c r="G1294" s="23"/>
      <c r="H1294" s="7"/>
      <c r="I1294" s="47"/>
      <c r="J1294" s="11"/>
      <c r="L1294" s="40"/>
      <c r="M1294" s="228"/>
    </row>
    <row r="1295" spans="1:14" ht="18.75" customHeight="1" x14ac:dyDescent="0.55000000000000004">
      <c r="A1295" s="28"/>
      <c r="B1295" s="45"/>
      <c r="C1295" s="49"/>
      <c r="D1295" s="54"/>
      <c r="E1295" s="42"/>
      <c r="F1295" s="23"/>
      <c r="G1295" s="23"/>
      <c r="H1295" s="7"/>
      <c r="I1295" s="47"/>
      <c r="J1295" s="11"/>
      <c r="L1295" s="40"/>
      <c r="M1295" s="227"/>
      <c r="N1295" s="80"/>
    </row>
    <row r="1296" spans="1:14" ht="18.75" customHeight="1" x14ac:dyDescent="0.55000000000000004">
      <c r="A1296" s="28"/>
      <c r="B1296" s="45"/>
      <c r="C1296" s="49"/>
      <c r="D1296" s="54"/>
      <c r="E1296" s="42"/>
      <c r="F1296" s="23"/>
      <c r="G1296" s="23"/>
      <c r="H1296" s="7"/>
      <c r="I1296" s="47"/>
      <c r="J1296" s="11"/>
      <c r="L1296" s="40"/>
      <c r="M1296" s="30"/>
    </row>
    <row r="1297" spans="1:16" ht="18.75" customHeight="1" x14ac:dyDescent="0.55000000000000004">
      <c r="A1297" s="28"/>
      <c r="B1297" s="45"/>
      <c r="C1297" s="49"/>
      <c r="D1297" s="54"/>
      <c r="E1297" s="63"/>
      <c r="F1297" s="23"/>
      <c r="G1297" s="23"/>
      <c r="H1297" s="7"/>
      <c r="I1297" s="47"/>
      <c r="J1297" s="25"/>
      <c r="K1297" s="40"/>
      <c r="L1297" s="40"/>
      <c r="M1297" s="228"/>
    </row>
    <row r="1298" spans="1:16" ht="18.75" customHeight="1" x14ac:dyDescent="0.55000000000000004">
      <c r="A1298" s="28"/>
      <c r="B1298" s="45"/>
      <c r="C1298" s="49"/>
      <c r="D1298" s="54"/>
      <c r="E1298" s="63"/>
      <c r="F1298" s="23"/>
      <c r="G1298" s="23"/>
      <c r="H1298" s="7"/>
      <c r="I1298" s="47"/>
      <c r="J1298" s="11"/>
      <c r="L1298" s="40"/>
      <c r="M1298" s="228"/>
    </row>
    <row r="1299" spans="1:16" ht="18.75" customHeight="1" x14ac:dyDescent="0.55000000000000004">
      <c r="A1299" s="28"/>
      <c r="B1299" s="45"/>
      <c r="C1299" s="49"/>
      <c r="D1299" s="54"/>
      <c r="E1299" s="63"/>
      <c r="F1299" s="23"/>
      <c r="G1299" s="23"/>
      <c r="H1299" s="7"/>
      <c r="I1299" s="47"/>
      <c r="J1299" s="11"/>
      <c r="L1299" s="40"/>
      <c r="M1299" s="228"/>
    </row>
    <row r="1300" spans="1:16" ht="18.75" customHeight="1" x14ac:dyDescent="0.55000000000000004">
      <c r="A1300" s="28"/>
      <c r="B1300" s="45"/>
      <c r="C1300" s="49"/>
      <c r="D1300" s="54"/>
      <c r="E1300" s="42"/>
      <c r="F1300" s="23"/>
      <c r="G1300" s="23"/>
      <c r="H1300" s="7"/>
      <c r="I1300" s="47"/>
      <c r="J1300" s="11"/>
      <c r="L1300" s="40"/>
      <c r="M1300" s="227"/>
      <c r="N1300" s="80"/>
    </row>
    <row r="1301" spans="1:16" ht="18.75" customHeight="1" x14ac:dyDescent="0.55000000000000004">
      <c r="A1301" s="28"/>
      <c r="B1301" s="45"/>
      <c r="C1301" s="49"/>
      <c r="D1301" s="54"/>
      <c r="E1301" s="42"/>
      <c r="F1301" s="23"/>
      <c r="G1301" s="23"/>
      <c r="H1301" s="7"/>
      <c r="I1301" s="47"/>
      <c r="J1301" s="11"/>
      <c r="L1301" s="40"/>
      <c r="M1301" s="30"/>
    </row>
    <row r="1302" spans="1:16" ht="18.75" customHeight="1" x14ac:dyDescent="0.55000000000000004">
      <c r="A1302" s="28"/>
      <c r="B1302" s="45"/>
      <c r="C1302" s="49"/>
      <c r="D1302" s="54"/>
      <c r="E1302" s="63"/>
      <c r="F1302" s="23"/>
      <c r="G1302" s="23"/>
      <c r="H1302" s="7"/>
      <c r="I1302" s="47"/>
      <c r="J1302" s="25"/>
      <c r="K1302" s="40"/>
      <c r="L1302" s="40"/>
      <c r="M1302" s="228"/>
    </row>
    <row r="1303" spans="1:16" ht="18.75" customHeight="1" x14ac:dyDescent="0.55000000000000004">
      <c r="A1303" s="28"/>
      <c r="B1303" s="45"/>
      <c r="C1303" s="49"/>
      <c r="D1303" s="54"/>
      <c r="E1303" s="63"/>
      <c r="F1303" s="23"/>
      <c r="G1303" s="23"/>
      <c r="H1303" s="7"/>
      <c r="I1303" s="47"/>
      <c r="J1303" s="11"/>
      <c r="L1303" s="40"/>
      <c r="M1303" s="228"/>
    </row>
    <row r="1304" spans="1:16" ht="18.75" customHeight="1" x14ac:dyDescent="0.55000000000000004">
      <c r="A1304" s="28"/>
      <c r="B1304" s="45"/>
      <c r="C1304" s="49"/>
      <c r="D1304" s="54"/>
      <c r="E1304" s="63"/>
      <c r="F1304" s="23"/>
      <c r="G1304" s="23"/>
      <c r="H1304" s="7"/>
      <c r="I1304" s="47"/>
      <c r="J1304" s="11"/>
      <c r="L1304" s="40"/>
      <c r="M1304" s="228"/>
    </row>
    <row r="1305" spans="1:16" ht="18.75" customHeight="1" x14ac:dyDescent="0.55000000000000004">
      <c r="A1305" s="28"/>
      <c r="B1305" s="45"/>
      <c r="C1305" s="49"/>
      <c r="D1305" s="54"/>
      <c r="E1305" s="42"/>
      <c r="F1305" s="23"/>
      <c r="G1305" s="23"/>
      <c r="H1305" s="7"/>
      <c r="I1305" s="47"/>
      <c r="J1305" s="11"/>
      <c r="L1305" s="40"/>
      <c r="M1305" s="227"/>
      <c r="N1305" s="80"/>
    </row>
    <row r="1306" spans="1:16" ht="18.75" customHeight="1" x14ac:dyDescent="0.55000000000000004">
      <c r="A1306" s="29"/>
      <c r="B1306" s="2"/>
      <c r="C1306" s="41"/>
      <c r="D1306" s="55"/>
      <c r="E1306" s="20"/>
      <c r="F1306" s="234"/>
      <c r="G1306" s="234"/>
      <c r="H1306" s="10"/>
      <c r="I1306" s="39"/>
      <c r="J1306" s="12"/>
      <c r="K1306" s="3"/>
      <c r="L1306" s="3"/>
      <c r="M1306" s="99"/>
    </row>
    <row r="1307" spans="1:16" ht="18.75" customHeight="1" x14ac:dyDescent="0.55000000000000004">
      <c r="A1307" s="40"/>
      <c r="B1307" s="40"/>
      <c r="C1307" s="40"/>
      <c r="D1307" s="40"/>
      <c r="E1307" s="24"/>
      <c r="F1307" s="24"/>
      <c r="G1307" s="24"/>
      <c r="H1307" s="24"/>
      <c r="I1307" s="24"/>
      <c r="J1307" s="40"/>
      <c r="K1307" s="40"/>
      <c r="L1307" s="40"/>
      <c r="M1307" s="34"/>
      <c r="N1307" s="14"/>
      <c r="O1307" s="14"/>
      <c r="P1307" s="14"/>
    </row>
    <row r="1308" spans="1:16" ht="18.75" customHeight="1" thickBot="1" x14ac:dyDescent="0.4">
      <c r="A1308" s="64" t="s">
        <v>43</v>
      </c>
      <c r="B1308" s="65"/>
      <c r="C1308" s="65"/>
      <c r="D1308" s="66"/>
      <c r="E1308" s="67"/>
      <c r="F1308" s="67"/>
      <c r="G1308" s="67"/>
      <c r="H1308" s="67"/>
      <c r="I1308" s="67"/>
      <c r="J1308" s="68"/>
      <c r="K1308" s="68"/>
      <c r="L1308" s="68"/>
      <c r="M1308" s="69"/>
      <c r="N1308" s="14"/>
      <c r="O1308" s="14"/>
      <c r="P1308" s="14"/>
    </row>
    <row r="1309" spans="1:16" ht="111.75" customHeight="1" thickBot="1" x14ac:dyDescent="0.6">
      <c r="A1309" s="311"/>
      <c r="B1309" s="312"/>
      <c r="C1309" s="312"/>
      <c r="D1309" s="312"/>
      <c r="E1309" s="312"/>
      <c r="F1309" s="312"/>
      <c r="G1309" s="312"/>
      <c r="H1309" s="312"/>
      <c r="I1309" s="312"/>
      <c r="J1309" s="312"/>
      <c r="K1309" s="312"/>
      <c r="L1309" s="312"/>
      <c r="M1309" s="313"/>
      <c r="N1309" s="14"/>
      <c r="O1309" s="14"/>
      <c r="P1309" s="14"/>
    </row>
    <row r="1310" spans="1:16" ht="18.75" customHeight="1" x14ac:dyDescent="0.55000000000000004">
      <c r="A1310" s="40"/>
      <c r="B1310" s="40"/>
      <c r="C1310" s="40"/>
      <c r="D1310" s="40"/>
      <c r="E1310" s="24"/>
      <c r="F1310" s="24"/>
      <c r="G1310" s="24"/>
      <c r="H1310" s="24"/>
      <c r="I1310" s="24"/>
      <c r="J1310" s="40"/>
      <c r="K1310" s="40"/>
      <c r="L1310" s="40"/>
      <c r="M1310" s="34"/>
      <c r="N1310" s="14"/>
      <c r="O1310" s="14"/>
      <c r="P1310" s="14"/>
    </row>
  </sheetData>
  <mergeCells count="3">
    <mergeCell ref="A1309:M1309"/>
    <mergeCell ref="A5:C5"/>
    <mergeCell ref="E6:H6"/>
  </mergeCells>
  <phoneticPr fontId="1"/>
  <dataValidations count="3">
    <dataValidation type="list" allowBlank="1" showInputMessage="1" sqref="L8:L1306" xr:uid="{13724CFE-37C6-4EDD-A435-3C31213A4894}">
      <formula1>プロンプトリスト</formula1>
    </dataValidation>
    <dataValidation type="list" allowBlank="1" showInputMessage="1" showErrorMessage="1" sqref="K7:K1306" xr:uid="{844CF822-34D9-4A27-A39B-C447B2BA71A8}">
      <formula1>"STOP,　"</formula1>
    </dataValidation>
    <dataValidation type="list" allowBlank="1" showInputMessage="1" sqref="L7" xr:uid="{AB0392A4-8865-4650-BD9C-5ED8903BD601}">
      <formula1>#REF!</formula1>
    </dataValidation>
  </dataValidations>
  <pageMargins left="0.7" right="0.7" top="0.75" bottom="0.75" header="0.3" footer="0.3"/>
  <pageSetup paperSize="9" scale="34" orientation="portrait" horizontalDpi="300" verticalDpi="300" r:id="rId1"/>
  <colBreaks count="1" manualBreakCount="1">
    <brk id="1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ssignNumbersOnActiveSheet" altText="採番実行">
                <anchor moveWithCells="1" sizeWithCells="1">
                  <from>
                    <xdr:col>0</xdr:col>
                    <xdr:colOff>25400</xdr:colOff>
                    <xdr:row>2</xdr:row>
                    <xdr:rowOff>196850</xdr:rowOff>
                  </from>
                  <to>
                    <xdr:col>3</xdr:col>
                    <xdr:colOff>82550</xdr:colOff>
                    <xdr:row>4</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0C98C-477D-4196-B224-2D7F04643777}">
  <sheetPr codeName="Sheet12">
    <tabColor theme="7" tint="0.79998168889431442"/>
  </sheetPr>
  <dimension ref="A1:F186"/>
  <sheetViews>
    <sheetView zoomScaleNormal="100" workbookViewId="0">
      <selection sqref="A1:F1"/>
    </sheetView>
  </sheetViews>
  <sheetFormatPr defaultColWidth="9" defaultRowHeight="15" x14ac:dyDescent="0.55000000000000004"/>
  <cols>
    <col min="1" max="1" width="15.4140625" style="107" bestFit="1" customWidth="1"/>
    <col min="2" max="2" width="14.5" style="106" bestFit="1" customWidth="1"/>
    <col min="3" max="3" width="17" style="107" customWidth="1"/>
    <col min="4" max="4" width="32.1640625" style="107" bestFit="1" customWidth="1"/>
    <col min="5" max="5" width="46.6640625" style="107" customWidth="1"/>
    <col min="6" max="6" width="86.58203125" style="107" customWidth="1"/>
    <col min="7" max="16384" width="9" style="107"/>
  </cols>
  <sheetData>
    <row r="1" spans="1:6" ht="19.5" x14ac:dyDescent="0.55000000000000004">
      <c r="A1" s="326" t="str" cm="1">
        <f t="array" aca="1" ref="A1" ca="1">RIGHT(CELL("filename",A1),LEN(CELL("filename",A1))-FIND("]",CELL("filename",A1)))</f>
        <v>アラームリスト</v>
      </c>
      <c r="B1" s="326"/>
      <c r="C1" s="326"/>
      <c r="D1" s="326"/>
      <c r="E1" s="326"/>
      <c r="F1" s="326"/>
    </row>
    <row r="2" spans="1:6" ht="18.75" customHeight="1" x14ac:dyDescent="0.55000000000000004">
      <c r="A2" s="327" t="s">
        <v>59</v>
      </c>
      <c r="B2" s="327"/>
      <c r="C2" s="327"/>
      <c r="D2" s="327"/>
      <c r="E2" s="327"/>
      <c r="F2" s="327"/>
    </row>
    <row r="3" spans="1:6" x14ac:dyDescent="0.55000000000000004">
      <c r="A3" s="115" t="s">
        <v>60</v>
      </c>
      <c r="B3" s="115" t="s">
        <v>58</v>
      </c>
      <c r="C3" s="115" t="s">
        <v>18</v>
      </c>
      <c r="D3" s="116" t="s">
        <v>19</v>
      </c>
      <c r="E3" s="116" t="s">
        <v>51</v>
      </c>
      <c r="F3" s="116" t="s">
        <v>52</v>
      </c>
    </row>
    <row r="4" spans="1:6" x14ac:dyDescent="0.55000000000000004">
      <c r="A4" s="117"/>
      <c r="B4" s="117"/>
      <c r="C4" s="117"/>
      <c r="D4" s="117"/>
      <c r="E4" s="118"/>
      <c r="F4" s="119"/>
    </row>
    <row r="5" spans="1:6" x14ac:dyDescent="0.55000000000000004">
      <c r="A5" s="117"/>
      <c r="B5" s="117"/>
      <c r="C5" s="117"/>
      <c r="D5" s="117"/>
      <c r="E5" s="118"/>
      <c r="F5" s="119"/>
    </row>
    <row r="6" spans="1:6" x14ac:dyDescent="0.55000000000000004">
      <c r="A6" s="117"/>
      <c r="B6" s="117"/>
      <c r="C6" s="117"/>
      <c r="D6" s="117"/>
      <c r="E6" s="118"/>
      <c r="F6" s="119"/>
    </row>
    <row r="7" spans="1:6" x14ac:dyDescent="0.55000000000000004">
      <c r="A7" s="117"/>
      <c r="B7" s="117"/>
      <c r="C7" s="120"/>
      <c r="D7" s="120"/>
      <c r="E7" s="119"/>
      <c r="F7" s="119"/>
    </row>
    <row r="8" spans="1:6" x14ac:dyDescent="0.55000000000000004">
      <c r="A8" s="117"/>
      <c r="B8" s="117"/>
      <c r="C8" s="117"/>
      <c r="D8" s="117"/>
      <c r="E8" s="118"/>
      <c r="F8" s="119"/>
    </row>
    <row r="9" spans="1:6" x14ac:dyDescent="0.55000000000000004">
      <c r="A9" s="117"/>
      <c r="B9" s="117"/>
      <c r="C9" s="117"/>
      <c r="D9" s="117"/>
      <c r="E9" s="118"/>
      <c r="F9" s="119"/>
    </row>
    <row r="10" spans="1:6" x14ac:dyDescent="0.55000000000000004">
      <c r="A10" s="117"/>
      <c r="B10" s="117"/>
      <c r="C10" s="117"/>
      <c r="D10" s="117"/>
      <c r="E10" s="119"/>
      <c r="F10" s="119"/>
    </row>
    <row r="11" spans="1:6" x14ac:dyDescent="0.55000000000000004">
      <c r="A11" s="117"/>
      <c r="B11" s="117"/>
      <c r="C11" s="117"/>
      <c r="D11" s="117"/>
      <c r="E11" s="119"/>
      <c r="F11" s="119"/>
    </row>
    <row r="12" spans="1:6" x14ac:dyDescent="0.55000000000000004">
      <c r="A12" s="117"/>
      <c r="B12" s="117"/>
      <c r="C12" s="117"/>
      <c r="D12" s="117"/>
      <c r="E12" s="119"/>
      <c r="F12" s="119"/>
    </row>
    <row r="13" spans="1:6" x14ac:dyDescent="0.55000000000000004">
      <c r="A13" s="117"/>
      <c r="B13" s="117"/>
      <c r="C13" s="117"/>
      <c r="D13" s="117"/>
      <c r="E13" s="119"/>
      <c r="F13" s="119"/>
    </row>
    <row r="14" spans="1:6" x14ac:dyDescent="0.55000000000000004">
      <c r="A14" s="117"/>
      <c r="B14" s="117"/>
      <c r="C14" s="117"/>
      <c r="D14" s="117"/>
      <c r="E14" s="118"/>
      <c r="F14" s="119"/>
    </row>
    <row r="15" spans="1:6" x14ac:dyDescent="0.55000000000000004">
      <c r="A15" s="117"/>
      <c r="B15" s="117"/>
      <c r="C15" s="117"/>
      <c r="D15" s="117"/>
      <c r="E15" s="119"/>
      <c r="F15" s="119"/>
    </row>
    <row r="16" spans="1:6" x14ac:dyDescent="0.55000000000000004">
      <c r="A16" s="117"/>
      <c r="B16" s="117"/>
      <c r="C16" s="117"/>
      <c r="D16" s="117"/>
      <c r="E16" s="119"/>
      <c r="F16" s="119"/>
    </row>
    <row r="17" spans="1:6" x14ac:dyDescent="0.55000000000000004">
      <c r="A17" s="117"/>
      <c r="B17" s="117"/>
      <c r="C17" s="117"/>
      <c r="D17" s="117"/>
      <c r="E17" s="118"/>
      <c r="F17" s="119"/>
    </row>
    <row r="18" spans="1:6" x14ac:dyDescent="0.55000000000000004">
      <c r="A18" s="117"/>
      <c r="B18" s="117"/>
      <c r="C18" s="117"/>
      <c r="D18" s="117"/>
      <c r="E18" s="119"/>
      <c r="F18" s="119"/>
    </row>
    <row r="19" spans="1:6" x14ac:dyDescent="0.55000000000000004">
      <c r="A19" s="117"/>
      <c r="B19" s="117"/>
      <c r="C19" s="117"/>
      <c r="D19" s="117"/>
      <c r="E19" s="118"/>
      <c r="F19" s="119"/>
    </row>
    <row r="20" spans="1:6" x14ac:dyDescent="0.55000000000000004">
      <c r="A20" s="117"/>
      <c r="B20" s="117"/>
      <c r="C20" s="120"/>
      <c r="D20" s="120"/>
      <c r="E20" s="119"/>
      <c r="F20" s="119"/>
    </row>
    <row r="21" spans="1:6" x14ac:dyDescent="0.55000000000000004">
      <c r="A21" s="117"/>
      <c r="B21" s="117"/>
      <c r="C21" s="117"/>
      <c r="D21" s="117"/>
      <c r="E21" s="118"/>
      <c r="F21" s="119"/>
    </row>
    <row r="22" spans="1:6" x14ac:dyDescent="0.55000000000000004">
      <c r="A22" s="117"/>
      <c r="B22" s="117"/>
      <c r="C22" s="117"/>
      <c r="D22" s="117"/>
      <c r="E22" s="119"/>
      <c r="F22" s="119"/>
    </row>
    <row r="23" spans="1:6" x14ac:dyDescent="0.55000000000000004">
      <c r="A23" s="117"/>
      <c r="B23" s="117"/>
      <c r="C23" s="117"/>
      <c r="D23" s="117"/>
      <c r="E23" s="118"/>
      <c r="F23" s="119"/>
    </row>
    <row r="24" spans="1:6" x14ac:dyDescent="0.55000000000000004">
      <c r="A24" s="117"/>
      <c r="B24" s="117"/>
      <c r="C24" s="117"/>
      <c r="D24" s="117"/>
      <c r="E24" s="119"/>
      <c r="F24" s="119"/>
    </row>
    <row r="25" spans="1:6" x14ac:dyDescent="0.55000000000000004">
      <c r="A25" s="117"/>
      <c r="B25" s="117"/>
      <c r="C25" s="117"/>
      <c r="D25" s="117"/>
      <c r="E25" s="119"/>
      <c r="F25" s="119"/>
    </row>
    <row r="26" spans="1:6" x14ac:dyDescent="0.55000000000000004">
      <c r="A26" s="117"/>
      <c r="B26" s="117"/>
      <c r="C26" s="117"/>
      <c r="D26" s="117"/>
      <c r="E26" s="119"/>
      <c r="F26" s="119"/>
    </row>
    <row r="27" spans="1:6" x14ac:dyDescent="0.55000000000000004">
      <c r="A27" s="117"/>
      <c r="B27" s="117"/>
      <c r="C27" s="117"/>
      <c r="D27" s="117"/>
      <c r="E27" s="119"/>
      <c r="F27" s="119"/>
    </row>
    <row r="28" spans="1:6" x14ac:dyDescent="0.55000000000000004">
      <c r="A28" s="117"/>
      <c r="B28" s="117"/>
      <c r="C28" s="117"/>
      <c r="D28" s="117"/>
      <c r="E28" s="119"/>
      <c r="F28" s="119"/>
    </row>
    <row r="29" spans="1:6" x14ac:dyDescent="0.55000000000000004">
      <c r="A29" s="117"/>
      <c r="B29" s="117"/>
      <c r="C29" s="117"/>
      <c r="D29" s="117"/>
      <c r="E29" s="119"/>
      <c r="F29" s="119"/>
    </row>
    <row r="30" spans="1:6" x14ac:dyDescent="0.55000000000000004">
      <c r="A30" s="117"/>
      <c r="B30" s="117"/>
      <c r="C30" s="117"/>
      <c r="D30" s="117"/>
      <c r="E30" s="119"/>
      <c r="F30" s="119"/>
    </row>
    <row r="31" spans="1:6" x14ac:dyDescent="0.55000000000000004">
      <c r="A31" s="117"/>
      <c r="B31" s="117"/>
      <c r="C31" s="117"/>
      <c r="D31" s="117"/>
      <c r="E31" s="119"/>
      <c r="F31" s="119"/>
    </row>
    <row r="32" spans="1:6" x14ac:dyDescent="0.55000000000000004">
      <c r="A32" s="117"/>
      <c r="B32" s="117"/>
      <c r="C32" s="117"/>
      <c r="D32" s="117"/>
      <c r="E32" s="119"/>
      <c r="F32" s="119"/>
    </row>
    <row r="33" spans="1:6" x14ac:dyDescent="0.55000000000000004">
      <c r="A33" s="117"/>
      <c r="B33" s="117"/>
      <c r="C33" s="117"/>
      <c r="D33" s="117"/>
      <c r="E33" s="118"/>
      <c r="F33" s="119"/>
    </row>
    <row r="34" spans="1:6" x14ac:dyDescent="0.55000000000000004">
      <c r="A34" s="117"/>
      <c r="B34" s="117"/>
      <c r="C34" s="117"/>
      <c r="D34" s="117"/>
      <c r="E34" s="118"/>
      <c r="F34" s="119"/>
    </row>
    <row r="35" spans="1:6" x14ac:dyDescent="0.55000000000000004">
      <c r="A35" s="117"/>
      <c r="B35" s="117"/>
      <c r="C35" s="117"/>
      <c r="D35" s="117"/>
      <c r="E35" s="118"/>
      <c r="F35" s="119"/>
    </row>
    <row r="36" spans="1:6" x14ac:dyDescent="0.55000000000000004">
      <c r="A36" s="117"/>
      <c r="B36" s="117"/>
      <c r="C36" s="117"/>
      <c r="D36" s="117"/>
      <c r="E36" s="118"/>
      <c r="F36" s="119"/>
    </row>
    <row r="37" spans="1:6" x14ac:dyDescent="0.55000000000000004">
      <c r="A37" s="117"/>
      <c r="B37" s="117"/>
      <c r="C37" s="120"/>
      <c r="D37" s="120"/>
      <c r="E37" s="119"/>
      <c r="F37" s="119"/>
    </row>
    <row r="38" spans="1:6" x14ac:dyDescent="0.55000000000000004">
      <c r="A38" s="117"/>
      <c r="B38" s="117"/>
      <c r="C38" s="117"/>
      <c r="D38" s="117"/>
      <c r="E38" s="119"/>
      <c r="F38" s="119"/>
    </row>
    <row r="39" spans="1:6" x14ac:dyDescent="0.55000000000000004">
      <c r="A39" s="117"/>
      <c r="B39" s="117"/>
      <c r="C39" s="120"/>
      <c r="D39" s="120"/>
      <c r="E39" s="119"/>
      <c r="F39" s="119"/>
    </row>
    <row r="40" spans="1:6" x14ac:dyDescent="0.55000000000000004">
      <c r="A40" s="117"/>
      <c r="B40" s="117"/>
      <c r="C40" s="117"/>
      <c r="D40" s="117"/>
      <c r="E40" s="118"/>
      <c r="F40" s="119"/>
    </row>
    <row r="41" spans="1:6" x14ac:dyDescent="0.55000000000000004">
      <c r="A41" s="117"/>
      <c r="B41" s="117"/>
      <c r="C41" s="117"/>
      <c r="D41" s="117"/>
      <c r="E41" s="119"/>
      <c r="F41" s="119"/>
    </row>
    <row r="42" spans="1:6" x14ac:dyDescent="0.55000000000000004">
      <c r="A42" s="117"/>
      <c r="B42" s="117"/>
      <c r="C42" s="117"/>
      <c r="D42" s="117"/>
      <c r="E42" s="119"/>
      <c r="F42" s="119"/>
    </row>
    <row r="43" spans="1:6" x14ac:dyDescent="0.55000000000000004">
      <c r="A43" s="117"/>
      <c r="B43" s="117"/>
      <c r="C43" s="117"/>
      <c r="D43" s="117"/>
      <c r="E43" s="119"/>
      <c r="F43" s="119"/>
    </row>
    <row r="44" spans="1:6" x14ac:dyDescent="0.55000000000000004">
      <c r="A44" s="117"/>
      <c r="B44" s="117"/>
      <c r="C44" s="117"/>
      <c r="D44" s="117"/>
      <c r="E44" s="119"/>
      <c r="F44" s="119"/>
    </row>
    <row r="45" spans="1:6" x14ac:dyDescent="0.55000000000000004">
      <c r="A45" s="117"/>
      <c r="B45" s="117"/>
      <c r="C45" s="117"/>
      <c r="D45" s="117"/>
      <c r="E45" s="119"/>
      <c r="F45" s="119"/>
    </row>
    <row r="46" spans="1:6" x14ac:dyDescent="0.55000000000000004">
      <c r="A46" s="117"/>
      <c r="B46" s="117"/>
      <c r="C46" s="117"/>
      <c r="D46" s="117"/>
      <c r="E46" s="119"/>
      <c r="F46" s="119"/>
    </row>
    <row r="47" spans="1:6" x14ac:dyDescent="0.55000000000000004">
      <c r="A47" s="117"/>
      <c r="B47" s="117"/>
      <c r="C47" s="117"/>
      <c r="D47" s="117"/>
      <c r="E47" s="119"/>
      <c r="F47" s="119"/>
    </row>
    <row r="48" spans="1:6" x14ac:dyDescent="0.55000000000000004">
      <c r="A48" s="117"/>
      <c r="B48" s="117"/>
      <c r="C48" s="117"/>
      <c r="D48" s="117"/>
      <c r="E48" s="119"/>
      <c r="F48" s="119"/>
    </row>
    <row r="49" spans="1:6" x14ac:dyDescent="0.55000000000000004">
      <c r="A49" s="117"/>
      <c r="B49" s="117"/>
      <c r="C49" s="117"/>
      <c r="D49" s="117"/>
      <c r="E49" s="119"/>
      <c r="F49" s="119"/>
    </row>
    <row r="50" spans="1:6" x14ac:dyDescent="0.55000000000000004">
      <c r="A50" s="117"/>
      <c r="B50" s="117"/>
      <c r="C50" s="117"/>
      <c r="D50" s="117"/>
      <c r="E50" s="119"/>
      <c r="F50" s="119"/>
    </row>
    <row r="51" spans="1:6" x14ac:dyDescent="0.55000000000000004">
      <c r="A51" s="117"/>
      <c r="B51" s="117"/>
      <c r="C51" s="117"/>
      <c r="D51" s="117"/>
      <c r="E51" s="119"/>
      <c r="F51" s="119"/>
    </row>
    <row r="52" spans="1:6" x14ac:dyDescent="0.55000000000000004">
      <c r="A52" s="117"/>
      <c r="B52" s="117"/>
      <c r="C52" s="117"/>
      <c r="D52" s="117"/>
      <c r="E52" s="119"/>
      <c r="F52" s="119"/>
    </row>
    <row r="53" spans="1:6" x14ac:dyDescent="0.55000000000000004">
      <c r="A53" s="117"/>
      <c r="B53" s="117"/>
      <c r="C53" s="117"/>
      <c r="D53" s="117"/>
      <c r="E53" s="119"/>
      <c r="F53" s="119"/>
    </row>
    <row r="54" spans="1:6" x14ac:dyDescent="0.55000000000000004">
      <c r="A54" s="117"/>
      <c r="B54" s="117"/>
      <c r="C54" s="117"/>
      <c r="D54" s="117"/>
      <c r="E54" s="119"/>
      <c r="F54" s="119"/>
    </row>
    <row r="55" spans="1:6" x14ac:dyDescent="0.55000000000000004">
      <c r="A55" s="117"/>
      <c r="B55" s="117"/>
      <c r="C55" s="117"/>
      <c r="D55" s="117"/>
      <c r="E55" s="119"/>
      <c r="F55" s="119"/>
    </row>
    <row r="56" spans="1:6" x14ac:dyDescent="0.55000000000000004">
      <c r="A56" s="117"/>
      <c r="B56" s="117"/>
      <c r="C56" s="117"/>
      <c r="D56" s="117"/>
      <c r="E56" s="118"/>
      <c r="F56" s="119"/>
    </row>
    <row r="57" spans="1:6" x14ac:dyDescent="0.55000000000000004">
      <c r="A57" s="117"/>
      <c r="B57" s="117"/>
      <c r="C57" s="117"/>
      <c r="D57" s="117"/>
      <c r="E57" s="118"/>
      <c r="F57" s="119"/>
    </row>
    <row r="58" spans="1:6" x14ac:dyDescent="0.55000000000000004">
      <c r="A58" s="117"/>
      <c r="B58" s="117"/>
      <c r="C58" s="120"/>
      <c r="D58" s="120"/>
      <c r="E58" s="119"/>
      <c r="F58" s="119"/>
    </row>
    <row r="59" spans="1:6" x14ac:dyDescent="0.55000000000000004">
      <c r="A59" s="117"/>
      <c r="B59" s="117"/>
      <c r="C59" s="117"/>
      <c r="D59" s="117"/>
      <c r="E59" s="118"/>
      <c r="F59" s="119"/>
    </row>
    <row r="60" spans="1:6" x14ac:dyDescent="0.55000000000000004">
      <c r="A60" s="117"/>
      <c r="B60" s="117"/>
      <c r="C60" s="117"/>
      <c r="D60" s="117"/>
      <c r="E60" s="119"/>
      <c r="F60" s="119"/>
    </row>
    <row r="61" spans="1:6" x14ac:dyDescent="0.55000000000000004">
      <c r="A61" s="117"/>
      <c r="B61" s="117"/>
      <c r="C61" s="117"/>
      <c r="D61" s="117"/>
      <c r="E61" s="119"/>
      <c r="F61" s="119"/>
    </row>
    <row r="62" spans="1:6" x14ac:dyDescent="0.55000000000000004">
      <c r="A62" s="117"/>
      <c r="B62" s="117"/>
      <c r="C62" s="117"/>
      <c r="D62" s="117"/>
      <c r="E62" s="118"/>
      <c r="F62" s="119"/>
    </row>
    <row r="63" spans="1:6" x14ac:dyDescent="0.55000000000000004">
      <c r="A63" s="117"/>
      <c r="B63" s="117"/>
      <c r="C63" s="117"/>
      <c r="D63" s="117"/>
      <c r="E63" s="119"/>
      <c r="F63" s="119"/>
    </row>
    <row r="64" spans="1:6" x14ac:dyDescent="0.55000000000000004">
      <c r="A64" s="117"/>
      <c r="B64" s="117"/>
      <c r="C64" s="117"/>
      <c r="D64" s="117"/>
      <c r="E64" s="119"/>
      <c r="F64" s="119"/>
    </row>
    <row r="65" spans="1:6" x14ac:dyDescent="0.55000000000000004">
      <c r="A65" s="117"/>
      <c r="B65" s="117"/>
      <c r="C65" s="117"/>
      <c r="D65" s="117"/>
      <c r="E65" s="119"/>
      <c r="F65" s="119"/>
    </row>
    <row r="66" spans="1:6" x14ac:dyDescent="0.55000000000000004">
      <c r="A66" s="117"/>
      <c r="B66" s="117"/>
      <c r="C66" s="117"/>
      <c r="D66" s="117"/>
      <c r="E66" s="119"/>
      <c r="F66" s="119"/>
    </row>
    <row r="67" spans="1:6" x14ac:dyDescent="0.55000000000000004">
      <c r="A67" s="117"/>
      <c r="B67" s="117"/>
      <c r="C67" s="117"/>
      <c r="D67" s="117"/>
      <c r="E67" s="119"/>
      <c r="F67" s="119"/>
    </row>
    <row r="68" spans="1:6" x14ac:dyDescent="0.55000000000000004">
      <c r="A68" s="117"/>
      <c r="B68" s="117"/>
      <c r="C68" s="117"/>
      <c r="D68" s="117"/>
      <c r="E68" s="119"/>
      <c r="F68" s="119"/>
    </row>
    <row r="69" spans="1:6" x14ac:dyDescent="0.55000000000000004">
      <c r="A69" s="117"/>
      <c r="B69" s="117"/>
      <c r="C69" s="117"/>
      <c r="D69" s="117"/>
      <c r="E69" s="119"/>
      <c r="F69" s="119"/>
    </row>
    <row r="70" spans="1:6" x14ac:dyDescent="0.55000000000000004">
      <c r="A70" s="117"/>
      <c r="B70" s="117"/>
      <c r="C70" s="117"/>
      <c r="D70" s="117"/>
      <c r="E70" s="119"/>
      <c r="F70" s="119"/>
    </row>
    <row r="71" spans="1:6" x14ac:dyDescent="0.55000000000000004">
      <c r="A71" s="117"/>
      <c r="B71" s="117"/>
      <c r="C71" s="117"/>
      <c r="D71" s="117"/>
      <c r="E71" s="119"/>
      <c r="F71" s="119"/>
    </row>
    <row r="72" spans="1:6" x14ac:dyDescent="0.55000000000000004">
      <c r="A72" s="117"/>
      <c r="B72" s="117"/>
      <c r="C72" s="117"/>
      <c r="D72" s="117"/>
      <c r="E72" s="119"/>
      <c r="F72" s="119"/>
    </row>
    <row r="73" spans="1:6" x14ac:dyDescent="0.55000000000000004">
      <c r="A73" s="117"/>
      <c r="B73" s="117"/>
      <c r="C73" s="117"/>
      <c r="D73" s="117"/>
      <c r="E73" s="119"/>
      <c r="F73" s="119"/>
    </row>
    <row r="74" spans="1:6" x14ac:dyDescent="0.55000000000000004">
      <c r="A74" s="117"/>
      <c r="B74" s="117"/>
      <c r="C74" s="117"/>
      <c r="D74" s="117"/>
      <c r="E74" s="119"/>
      <c r="F74" s="119"/>
    </row>
    <row r="75" spans="1:6" x14ac:dyDescent="0.55000000000000004">
      <c r="A75" s="117"/>
      <c r="B75" s="117"/>
      <c r="C75" s="117"/>
      <c r="D75" s="117"/>
      <c r="E75" s="119"/>
      <c r="F75" s="119"/>
    </row>
    <row r="76" spans="1:6" x14ac:dyDescent="0.55000000000000004">
      <c r="A76" s="117"/>
      <c r="B76" s="117"/>
      <c r="C76" s="117"/>
      <c r="D76" s="117"/>
      <c r="E76" s="119"/>
      <c r="F76" s="119"/>
    </row>
    <row r="77" spans="1:6" x14ac:dyDescent="0.55000000000000004">
      <c r="A77" s="117"/>
      <c r="B77" s="117"/>
      <c r="C77" s="117"/>
      <c r="D77" s="117"/>
      <c r="E77" s="119"/>
      <c r="F77" s="119"/>
    </row>
    <row r="78" spans="1:6" x14ac:dyDescent="0.55000000000000004">
      <c r="A78" s="117"/>
      <c r="B78" s="117"/>
      <c r="C78" s="117"/>
      <c r="D78" s="117"/>
      <c r="E78" s="119"/>
      <c r="F78" s="119"/>
    </row>
    <row r="79" spans="1:6" x14ac:dyDescent="0.55000000000000004">
      <c r="A79" s="117"/>
      <c r="B79" s="117"/>
      <c r="C79" s="117"/>
      <c r="D79" s="117"/>
      <c r="E79" s="119"/>
      <c r="F79" s="119"/>
    </row>
    <row r="80" spans="1:6" x14ac:dyDescent="0.55000000000000004">
      <c r="A80" s="117"/>
      <c r="B80" s="117"/>
      <c r="C80" s="117"/>
      <c r="D80" s="117"/>
      <c r="E80" s="119"/>
      <c r="F80" s="119"/>
    </row>
    <row r="81" spans="1:6" x14ac:dyDescent="0.55000000000000004">
      <c r="A81" s="117"/>
      <c r="B81" s="117"/>
      <c r="C81" s="117"/>
      <c r="D81" s="117"/>
      <c r="E81" s="119"/>
      <c r="F81" s="119"/>
    </row>
    <row r="82" spans="1:6" x14ac:dyDescent="0.55000000000000004">
      <c r="A82" s="117"/>
      <c r="B82" s="117"/>
      <c r="C82" s="117"/>
      <c r="D82" s="117"/>
      <c r="E82" s="119"/>
      <c r="F82" s="119"/>
    </row>
    <row r="83" spans="1:6" x14ac:dyDescent="0.55000000000000004">
      <c r="A83" s="117"/>
      <c r="B83" s="117"/>
      <c r="C83" s="117"/>
      <c r="D83" s="117"/>
      <c r="E83" s="119"/>
      <c r="F83" s="119"/>
    </row>
    <row r="84" spans="1:6" x14ac:dyDescent="0.55000000000000004">
      <c r="A84" s="117"/>
      <c r="B84" s="117"/>
      <c r="C84" s="117"/>
      <c r="D84" s="117"/>
      <c r="E84" s="119"/>
      <c r="F84" s="119"/>
    </row>
    <row r="85" spans="1:6" x14ac:dyDescent="0.55000000000000004">
      <c r="A85" s="117"/>
      <c r="B85" s="117"/>
      <c r="C85" s="117"/>
      <c r="D85" s="117"/>
      <c r="E85" s="118"/>
      <c r="F85" s="119"/>
    </row>
    <row r="86" spans="1:6" x14ac:dyDescent="0.55000000000000004">
      <c r="A86" s="117"/>
      <c r="B86" s="117"/>
      <c r="C86" s="117"/>
      <c r="D86" s="117"/>
      <c r="E86" s="119"/>
      <c r="F86" s="119"/>
    </row>
    <row r="87" spans="1:6" x14ac:dyDescent="0.55000000000000004">
      <c r="A87" s="117"/>
      <c r="B87" s="117"/>
      <c r="C87" s="117"/>
      <c r="D87" s="117"/>
      <c r="E87" s="118"/>
      <c r="F87" s="119"/>
    </row>
    <row r="88" spans="1:6" x14ac:dyDescent="0.55000000000000004">
      <c r="A88" s="117"/>
      <c r="B88" s="117"/>
      <c r="C88" s="117"/>
      <c r="D88" s="117"/>
      <c r="E88" s="119"/>
      <c r="F88" s="119"/>
    </row>
    <row r="89" spans="1:6" x14ac:dyDescent="0.55000000000000004">
      <c r="A89" s="117"/>
      <c r="B89" s="117"/>
      <c r="C89" s="117"/>
      <c r="D89" s="117"/>
      <c r="E89" s="119"/>
      <c r="F89" s="119"/>
    </row>
    <row r="90" spans="1:6" x14ac:dyDescent="0.55000000000000004">
      <c r="A90" s="117"/>
      <c r="B90" s="117"/>
      <c r="C90" s="117"/>
      <c r="D90" s="117"/>
      <c r="E90" s="119"/>
      <c r="F90" s="119"/>
    </row>
    <row r="91" spans="1:6" x14ac:dyDescent="0.55000000000000004">
      <c r="A91" s="117"/>
      <c r="B91" s="117"/>
      <c r="C91" s="117"/>
      <c r="D91" s="117"/>
      <c r="E91" s="119"/>
      <c r="F91" s="119"/>
    </row>
    <row r="92" spans="1:6" x14ac:dyDescent="0.55000000000000004">
      <c r="A92" s="117"/>
      <c r="B92" s="117"/>
      <c r="C92" s="117"/>
      <c r="D92" s="117"/>
      <c r="E92" s="119"/>
      <c r="F92" s="119"/>
    </row>
    <row r="93" spans="1:6" x14ac:dyDescent="0.55000000000000004">
      <c r="A93" s="117"/>
      <c r="B93" s="117"/>
      <c r="C93" s="117"/>
      <c r="D93" s="117"/>
      <c r="E93" s="118"/>
      <c r="F93" s="119"/>
    </row>
    <row r="94" spans="1:6" x14ac:dyDescent="0.55000000000000004">
      <c r="A94" s="117"/>
      <c r="B94" s="117"/>
      <c r="C94" s="117"/>
      <c r="D94" s="117"/>
      <c r="E94" s="119"/>
      <c r="F94" s="119"/>
    </row>
    <row r="95" spans="1:6" x14ac:dyDescent="0.55000000000000004">
      <c r="A95" s="117"/>
      <c r="B95" s="117"/>
      <c r="C95" s="117"/>
      <c r="D95" s="117"/>
      <c r="E95" s="119"/>
      <c r="F95" s="119"/>
    </row>
    <row r="96" spans="1:6" x14ac:dyDescent="0.55000000000000004">
      <c r="A96" s="117"/>
      <c r="B96" s="117"/>
      <c r="C96" s="117"/>
      <c r="D96" s="117"/>
      <c r="E96" s="119"/>
      <c r="F96" s="119"/>
    </row>
    <row r="97" spans="1:6" x14ac:dyDescent="0.55000000000000004">
      <c r="A97" s="117"/>
      <c r="B97" s="117"/>
      <c r="C97" s="117"/>
      <c r="D97" s="117"/>
      <c r="E97" s="119"/>
      <c r="F97" s="119"/>
    </row>
    <row r="98" spans="1:6" x14ac:dyDescent="0.55000000000000004">
      <c r="A98" s="117"/>
      <c r="B98" s="117"/>
      <c r="C98" s="117"/>
      <c r="D98" s="117"/>
      <c r="E98" s="119"/>
      <c r="F98" s="119"/>
    </row>
    <row r="99" spans="1:6" x14ac:dyDescent="0.55000000000000004">
      <c r="A99" s="117"/>
      <c r="B99" s="117"/>
      <c r="C99" s="117"/>
      <c r="D99" s="117"/>
      <c r="E99" s="119"/>
      <c r="F99" s="119"/>
    </row>
    <row r="100" spans="1:6" x14ac:dyDescent="0.55000000000000004">
      <c r="A100" s="117"/>
      <c r="B100" s="117"/>
      <c r="C100" s="117"/>
      <c r="D100" s="117"/>
      <c r="E100" s="119"/>
      <c r="F100" s="119"/>
    </row>
    <row r="101" spans="1:6" x14ac:dyDescent="0.55000000000000004">
      <c r="A101" s="117"/>
      <c r="B101" s="117"/>
      <c r="C101" s="117"/>
      <c r="D101" s="117"/>
      <c r="E101" s="119"/>
      <c r="F101" s="119"/>
    </row>
    <row r="102" spans="1:6" x14ac:dyDescent="0.55000000000000004">
      <c r="A102" s="117"/>
      <c r="B102" s="117"/>
      <c r="C102" s="117"/>
      <c r="D102" s="117"/>
      <c r="E102" s="119"/>
      <c r="F102" s="119"/>
    </row>
    <row r="103" spans="1:6" x14ac:dyDescent="0.55000000000000004">
      <c r="A103" s="117"/>
      <c r="B103" s="117"/>
      <c r="C103" s="117"/>
      <c r="D103" s="117"/>
      <c r="E103" s="119"/>
      <c r="F103" s="119"/>
    </row>
    <row r="104" spans="1:6" x14ac:dyDescent="0.55000000000000004">
      <c r="A104" s="117"/>
      <c r="B104" s="117"/>
      <c r="C104" s="117"/>
      <c r="D104" s="117"/>
      <c r="E104" s="119"/>
      <c r="F104" s="119"/>
    </row>
    <row r="105" spans="1:6" x14ac:dyDescent="0.55000000000000004">
      <c r="A105" s="117"/>
      <c r="B105" s="117"/>
      <c r="C105" s="117"/>
      <c r="D105" s="117"/>
      <c r="E105" s="118"/>
      <c r="F105" s="119"/>
    </row>
    <row r="106" spans="1:6" x14ac:dyDescent="0.55000000000000004">
      <c r="A106" s="117"/>
      <c r="B106" s="117"/>
      <c r="C106" s="117"/>
      <c r="D106" s="117"/>
      <c r="E106" s="119"/>
      <c r="F106" s="119"/>
    </row>
    <row r="107" spans="1:6" x14ac:dyDescent="0.55000000000000004">
      <c r="A107" s="117"/>
      <c r="B107" s="117"/>
      <c r="C107" s="117"/>
      <c r="D107" s="117"/>
      <c r="E107" s="119"/>
      <c r="F107" s="119"/>
    </row>
    <row r="108" spans="1:6" x14ac:dyDescent="0.55000000000000004">
      <c r="A108" s="117"/>
      <c r="B108" s="117"/>
      <c r="C108" s="117"/>
      <c r="D108" s="117"/>
      <c r="E108" s="119"/>
      <c r="F108" s="119"/>
    </row>
    <row r="109" spans="1:6" x14ac:dyDescent="0.55000000000000004">
      <c r="A109" s="117"/>
      <c r="B109" s="117"/>
      <c r="C109" s="117"/>
      <c r="D109" s="117"/>
      <c r="E109" s="118"/>
      <c r="F109" s="119"/>
    </row>
    <row r="110" spans="1:6" x14ac:dyDescent="0.55000000000000004">
      <c r="A110" s="117"/>
      <c r="B110" s="117"/>
      <c r="C110" s="117"/>
      <c r="D110" s="117"/>
      <c r="E110" s="119"/>
      <c r="F110" s="119"/>
    </row>
    <row r="111" spans="1:6" x14ac:dyDescent="0.55000000000000004">
      <c r="A111" s="117"/>
      <c r="B111" s="117"/>
      <c r="C111" s="117"/>
      <c r="D111" s="117"/>
      <c r="E111" s="119"/>
      <c r="F111" s="119"/>
    </row>
    <row r="112" spans="1:6" x14ac:dyDescent="0.55000000000000004">
      <c r="A112" s="117"/>
      <c r="B112" s="117"/>
      <c r="C112" s="117"/>
      <c r="D112" s="117"/>
      <c r="E112" s="119"/>
      <c r="F112" s="119"/>
    </row>
    <row r="113" spans="1:6" x14ac:dyDescent="0.55000000000000004">
      <c r="A113" s="117"/>
      <c r="B113" s="117"/>
      <c r="C113" s="117"/>
      <c r="D113" s="117"/>
      <c r="E113" s="119"/>
      <c r="F113" s="119"/>
    </row>
    <row r="114" spans="1:6" x14ac:dyDescent="0.55000000000000004">
      <c r="A114" s="117"/>
      <c r="B114" s="117"/>
      <c r="C114" s="117"/>
      <c r="D114" s="117"/>
      <c r="E114" s="119"/>
      <c r="F114" s="119"/>
    </row>
    <row r="115" spans="1:6" x14ac:dyDescent="0.55000000000000004">
      <c r="A115" s="117"/>
      <c r="B115" s="117"/>
      <c r="C115" s="117"/>
      <c r="D115" s="117"/>
      <c r="E115" s="119"/>
      <c r="F115" s="119"/>
    </row>
    <row r="116" spans="1:6" x14ac:dyDescent="0.55000000000000004">
      <c r="A116" s="117"/>
      <c r="B116" s="117"/>
      <c r="C116" s="117"/>
      <c r="D116" s="117"/>
      <c r="E116" s="119"/>
      <c r="F116" s="119"/>
    </row>
    <row r="117" spans="1:6" x14ac:dyDescent="0.55000000000000004">
      <c r="A117" s="117"/>
      <c r="B117" s="117"/>
      <c r="C117" s="117"/>
      <c r="D117" s="117"/>
      <c r="E117" s="119"/>
      <c r="F117" s="119"/>
    </row>
    <row r="118" spans="1:6" x14ac:dyDescent="0.55000000000000004">
      <c r="A118" s="117"/>
      <c r="B118" s="117"/>
      <c r="C118" s="117"/>
      <c r="D118" s="117"/>
      <c r="E118" s="119"/>
      <c r="F118" s="119"/>
    </row>
    <row r="119" spans="1:6" x14ac:dyDescent="0.55000000000000004">
      <c r="A119" s="117"/>
      <c r="B119" s="117"/>
      <c r="C119" s="117"/>
      <c r="D119" s="117"/>
      <c r="E119" s="118"/>
      <c r="F119" s="119"/>
    </row>
    <row r="120" spans="1:6" x14ac:dyDescent="0.55000000000000004">
      <c r="A120" s="117"/>
      <c r="B120" s="117"/>
      <c r="C120" s="117"/>
      <c r="D120" s="117"/>
      <c r="E120" s="119"/>
      <c r="F120" s="119"/>
    </row>
    <row r="121" spans="1:6" x14ac:dyDescent="0.55000000000000004">
      <c r="A121" s="117"/>
      <c r="B121" s="117"/>
      <c r="C121" s="117"/>
      <c r="D121" s="117"/>
      <c r="E121" s="119"/>
      <c r="F121" s="119"/>
    </row>
    <row r="122" spans="1:6" x14ac:dyDescent="0.55000000000000004">
      <c r="A122" s="117"/>
      <c r="B122" s="117"/>
      <c r="C122" s="117"/>
      <c r="D122" s="117"/>
      <c r="E122" s="119"/>
      <c r="F122" s="119"/>
    </row>
    <row r="123" spans="1:6" x14ac:dyDescent="0.55000000000000004">
      <c r="A123" s="117"/>
      <c r="B123" s="117"/>
      <c r="C123" s="117"/>
      <c r="D123" s="117"/>
      <c r="E123" s="118"/>
      <c r="F123" s="119"/>
    </row>
    <row r="124" spans="1:6" x14ac:dyDescent="0.55000000000000004">
      <c r="A124" s="117"/>
      <c r="B124" s="117"/>
      <c r="C124" s="117"/>
      <c r="D124" s="117"/>
      <c r="E124" s="119"/>
      <c r="F124" s="119"/>
    </row>
    <row r="125" spans="1:6" x14ac:dyDescent="0.55000000000000004">
      <c r="A125" s="117"/>
      <c r="B125" s="117"/>
      <c r="C125" s="117"/>
      <c r="D125" s="117"/>
      <c r="E125" s="119"/>
      <c r="F125" s="119"/>
    </row>
    <row r="126" spans="1:6" x14ac:dyDescent="0.55000000000000004">
      <c r="A126" s="117"/>
      <c r="B126" s="117"/>
      <c r="C126" s="117"/>
      <c r="D126" s="117"/>
      <c r="E126" s="119"/>
      <c r="F126" s="119"/>
    </row>
    <row r="127" spans="1:6" x14ac:dyDescent="0.55000000000000004">
      <c r="A127" s="117"/>
      <c r="B127" s="117"/>
      <c r="C127" s="117"/>
      <c r="D127" s="117"/>
      <c r="E127" s="119"/>
      <c r="F127" s="119"/>
    </row>
    <row r="128" spans="1:6" x14ac:dyDescent="0.55000000000000004">
      <c r="A128" s="117"/>
      <c r="B128" s="117"/>
      <c r="C128" s="117"/>
      <c r="D128" s="117"/>
      <c r="E128" s="119"/>
      <c r="F128" s="119"/>
    </row>
    <row r="129" spans="1:6" x14ac:dyDescent="0.55000000000000004">
      <c r="A129" s="117"/>
      <c r="B129" s="117"/>
      <c r="C129" s="117"/>
      <c r="D129" s="117"/>
      <c r="E129" s="119"/>
      <c r="F129" s="119"/>
    </row>
    <row r="130" spans="1:6" x14ac:dyDescent="0.55000000000000004">
      <c r="A130" s="117"/>
      <c r="B130" s="117"/>
      <c r="C130" s="117"/>
      <c r="D130" s="117"/>
      <c r="E130" s="119"/>
      <c r="F130" s="119"/>
    </row>
    <row r="131" spans="1:6" x14ac:dyDescent="0.55000000000000004">
      <c r="A131" s="117"/>
      <c r="B131" s="117"/>
      <c r="C131" s="117"/>
      <c r="D131" s="117"/>
      <c r="E131" s="119"/>
      <c r="F131" s="119"/>
    </row>
    <row r="132" spans="1:6" x14ac:dyDescent="0.55000000000000004">
      <c r="A132" s="117"/>
      <c r="B132" s="117"/>
      <c r="C132" s="117"/>
      <c r="D132" s="117"/>
      <c r="E132" s="119"/>
      <c r="F132" s="119"/>
    </row>
    <row r="133" spans="1:6" x14ac:dyDescent="0.55000000000000004">
      <c r="A133" s="117"/>
      <c r="B133" s="117"/>
      <c r="C133" s="117"/>
      <c r="D133" s="117"/>
      <c r="E133" s="119"/>
      <c r="F133" s="119"/>
    </row>
    <row r="134" spans="1:6" x14ac:dyDescent="0.55000000000000004">
      <c r="A134" s="117"/>
      <c r="B134" s="117"/>
      <c r="C134" s="117"/>
      <c r="D134" s="117"/>
      <c r="E134" s="119"/>
      <c r="F134" s="119"/>
    </row>
    <row r="135" spans="1:6" x14ac:dyDescent="0.55000000000000004">
      <c r="A135" s="117"/>
      <c r="B135" s="117"/>
      <c r="C135" s="117"/>
      <c r="D135" s="117"/>
      <c r="E135" s="119"/>
      <c r="F135" s="119"/>
    </row>
    <row r="136" spans="1:6" x14ac:dyDescent="0.55000000000000004">
      <c r="A136" s="117"/>
      <c r="B136" s="117"/>
      <c r="C136" s="117"/>
      <c r="D136" s="117"/>
      <c r="E136" s="119"/>
      <c r="F136" s="119"/>
    </row>
    <row r="137" spans="1:6" x14ac:dyDescent="0.55000000000000004">
      <c r="A137" s="117"/>
      <c r="B137" s="117"/>
      <c r="C137" s="117"/>
      <c r="D137" s="117"/>
      <c r="E137" s="119"/>
      <c r="F137" s="119"/>
    </row>
    <row r="138" spans="1:6" x14ac:dyDescent="0.55000000000000004">
      <c r="A138" s="117"/>
      <c r="B138" s="117"/>
      <c r="C138" s="117"/>
      <c r="D138" s="117"/>
      <c r="E138" s="119"/>
      <c r="F138" s="119"/>
    </row>
    <row r="139" spans="1:6" x14ac:dyDescent="0.55000000000000004">
      <c r="A139" s="117"/>
      <c r="B139" s="117"/>
      <c r="C139" s="117"/>
      <c r="D139" s="117"/>
      <c r="E139" s="118"/>
      <c r="F139" s="119"/>
    </row>
    <row r="140" spans="1:6" x14ac:dyDescent="0.55000000000000004">
      <c r="A140" s="117"/>
      <c r="B140" s="117"/>
      <c r="C140" s="117"/>
      <c r="D140" s="117"/>
      <c r="E140" s="118"/>
      <c r="F140" s="119"/>
    </row>
    <row r="141" spans="1:6" x14ac:dyDescent="0.55000000000000004">
      <c r="A141" s="117"/>
      <c r="B141" s="117"/>
      <c r="C141" s="117"/>
      <c r="D141" s="117"/>
      <c r="E141" s="119"/>
      <c r="F141" s="119"/>
    </row>
    <row r="142" spans="1:6" x14ac:dyDescent="0.55000000000000004">
      <c r="A142" s="117"/>
      <c r="B142" s="117"/>
      <c r="C142" s="117"/>
      <c r="D142" s="117"/>
      <c r="E142" s="119"/>
      <c r="F142" s="119"/>
    </row>
    <row r="143" spans="1:6" x14ac:dyDescent="0.55000000000000004">
      <c r="A143" s="117"/>
      <c r="B143" s="117"/>
      <c r="C143" s="117"/>
      <c r="D143" s="117"/>
      <c r="E143" s="119"/>
      <c r="F143" s="119"/>
    </row>
    <row r="144" spans="1:6" x14ac:dyDescent="0.55000000000000004">
      <c r="A144" s="117"/>
      <c r="B144" s="117"/>
      <c r="C144" s="117"/>
      <c r="D144" s="117"/>
      <c r="E144" s="119"/>
      <c r="F144" s="119"/>
    </row>
    <row r="145" spans="1:6" x14ac:dyDescent="0.55000000000000004">
      <c r="A145" s="117"/>
      <c r="B145" s="117"/>
      <c r="C145" s="117"/>
      <c r="D145" s="117"/>
      <c r="E145" s="119"/>
      <c r="F145" s="119"/>
    </row>
    <row r="146" spans="1:6" x14ac:dyDescent="0.55000000000000004">
      <c r="A146" s="117"/>
      <c r="B146" s="117"/>
      <c r="C146" s="117"/>
      <c r="D146" s="117"/>
      <c r="E146" s="119"/>
      <c r="F146" s="119"/>
    </row>
    <row r="147" spans="1:6" x14ac:dyDescent="0.55000000000000004">
      <c r="A147" s="117"/>
      <c r="B147" s="117"/>
      <c r="C147" s="117"/>
      <c r="D147" s="117"/>
      <c r="E147" s="119"/>
      <c r="F147" s="119"/>
    </row>
    <row r="148" spans="1:6" x14ac:dyDescent="0.55000000000000004">
      <c r="A148" s="117"/>
      <c r="B148" s="117"/>
      <c r="C148" s="117"/>
      <c r="D148" s="117"/>
      <c r="E148" s="119"/>
      <c r="F148" s="119"/>
    </row>
    <row r="149" spans="1:6" x14ac:dyDescent="0.55000000000000004">
      <c r="A149" s="117"/>
      <c r="B149" s="117"/>
      <c r="C149" s="117"/>
      <c r="D149" s="117"/>
      <c r="E149" s="119"/>
      <c r="F149" s="119"/>
    </row>
    <row r="150" spans="1:6" x14ac:dyDescent="0.55000000000000004">
      <c r="A150" s="117"/>
      <c r="B150" s="117"/>
      <c r="C150" s="117"/>
      <c r="D150" s="117"/>
      <c r="E150" s="119"/>
      <c r="F150" s="119"/>
    </row>
    <row r="151" spans="1:6" x14ac:dyDescent="0.55000000000000004">
      <c r="A151" s="117"/>
      <c r="B151" s="117"/>
      <c r="C151" s="117"/>
      <c r="D151" s="117"/>
      <c r="E151" s="119"/>
      <c r="F151" s="119"/>
    </row>
    <row r="152" spans="1:6" x14ac:dyDescent="0.55000000000000004">
      <c r="A152" s="117"/>
      <c r="B152" s="117"/>
      <c r="C152" s="117"/>
      <c r="D152" s="117"/>
      <c r="E152" s="119"/>
      <c r="F152" s="119"/>
    </row>
    <row r="153" spans="1:6" x14ac:dyDescent="0.55000000000000004">
      <c r="A153" s="117"/>
      <c r="B153" s="117"/>
      <c r="C153" s="117"/>
      <c r="D153" s="117"/>
      <c r="E153" s="118"/>
      <c r="F153" s="119"/>
    </row>
    <row r="154" spans="1:6" x14ac:dyDescent="0.55000000000000004">
      <c r="A154" s="117"/>
      <c r="B154" s="117"/>
      <c r="C154" s="117"/>
      <c r="D154" s="117"/>
      <c r="E154" s="118"/>
      <c r="F154" s="119"/>
    </row>
    <row r="155" spans="1:6" x14ac:dyDescent="0.55000000000000004">
      <c r="A155" s="117"/>
      <c r="B155" s="117"/>
      <c r="C155" s="117"/>
      <c r="D155" s="117"/>
      <c r="E155" s="119"/>
      <c r="F155" s="119"/>
    </row>
    <row r="156" spans="1:6" x14ac:dyDescent="0.55000000000000004">
      <c r="A156" s="117"/>
      <c r="B156" s="117"/>
      <c r="C156" s="117"/>
      <c r="D156" s="117"/>
      <c r="E156" s="119"/>
      <c r="F156" s="119"/>
    </row>
    <row r="157" spans="1:6" x14ac:dyDescent="0.55000000000000004">
      <c r="A157" s="117"/>
      <c r="B157" s="117"/>
      <c r="C157" s="117"/>
      <c r="D157" s="117"/>
      <c r="E157" s="119"/>
      <c r="F157" s="119"/>
    </row>
    <row r="158" spans="1:6" x14ac:dyDescent="0.55000000000000004">
      <c r="A158" s="117"/>
      <c r="B158" s="117"/>
      <c r="C158" s="117"/>
      <c r="D158" s="117"/>
      <c r="E158" s="119"/>
      <c r="F158" s="119"/>
    </row>
    <row r="159" spans="1:6" x14ac:dyDescent="0.55000000000000004">
      <c r="A159" s="117"/>
      <c r="B159" s="117"/>
      <c r="C159" s="117"/>
      <c r="D159" s="117"/>
      <c r="E159" s="119"/>
      <c r="F159" s="119"/>
    </row>
    <row r="160" spans="1:6" x14ac:dyDescent="0.55000000000000004">
      <c r="A160" s="117"/>
      <c r="B160" s="117"/>
      <c r="C160" s="117"/>
      <c r="D160" s="117"/>
      <c r="E160" s="119"/>
      <c r="F160" s="119"/>
    </row>
    <row r="161" spans="1:6" x14ac:dyDescent="0.55000000000000004">
      <c r="A161" s="117"/>
      <c r="B161" s="117"/>
      <c r="C161" s="117"/>
      <c r="D161" s="117"/>
      <c r="E161" s="119"/>
      <c r="F161" s="119"/>
    </row>
    <row r="162" spans="1:6" x14ac:dyDescent="0.55000000000000004">
      <c r="A162" s="117"/>
      <c r="B162" s="117"/>
      <c r="C162" s="117"/>
      <c r="D162" s="117"/>
      <c r="E162" s="119"/>
      <c r="F162" s="119"/>
    </row>
    <row r="163" spans="1:6" x14ac:dyDescent="0.55000000000000004">
      <c r="A163" s="117"/>
      <c r="B163" s="117"/>
      <c r="C163" s="117"/>
      <c r="D163" s="117"/>
      <c r="E163" s="119"/>
      <c r="F163" s="119"/>
    </row>
    <row r="164" spans="1:6" x14ac:dyDescent="0.55000000000000004">
      <c r="A164" s="117"/>
      <c r="B164" s="117"/>
      <c r="C164" s="117"/>
      <c r="D164" s="117"/>
      <c r="E164" s="119"/>
      <c r="F164" s="119"/>
    </row>
    <row r="165" spans="1:6" x14ac:dyDescent="0.55000000000000004">
      <c r="A165" s="117"/>
      <c r="B165" s="117"/>
      <c r="C165" s="117"/>
      <c r="D165" s="117"/>
      <c r="E165" s="119"/>
      <c r="F165" s="119"/>
    </row>
    <row r="166" spans="1:6" x14ac:dyDescent="0.55000000000000004">
      <c r="A166" s="117"/>
      <c r="B166" s="117"/>
      <c r="C166" s="117"/>
      <c r="D166" s="117"/>
      <c r="E166" s="119"/>
      <c r="F166" s="119"/>
    </row>
    <row r="167" spans="1:6" x14ac:dyDescent="0.55000000000000004">
      <c r="A167" s="117"/>
      <c r="B167" s="117"/>
      <c r="C167" s="117"/>
      <c r="D167" s="117"/>
      <c r="E167" s="118"/>
      <c r="F167" s="119"/>
    </row>
    <row r="168" spans="1:6" x14ac:dyDescent="0.55000000000000004">
      <c r="A168" s="117"/>
      <c r="B168" s="117"/>
      <c r="C168" s="117"/>
      <c r="D168" s="117"/>
      <c r="E168" s="118"/>
      <c r="F168" s="119"/>
    </row>
    <row r="169" spans="1:6" x14ac:dyDescent="0.55000000000000004">
      <c r="A169" s="117"/>
      <c r="B169" s="117"/>
      <c r="C169" s="117"/>
      <c r="D169" s="117"/>
      <c r="E169" s="119"/>
      <c r="F169" s="119"/>
    </row>
    <row r="170" spans="1:6" x14ac:dyDescent="0.55000000000000004">
      <c r="A170" s="117"/>
      <c r="B170" s="117"/>
      <c r="C170" s="117"/>
      <c r="D170" s="117"/>
      <c r="E170" s="119"/>
      <c r="F170" s="119"/>
    </row>
    <row r="171" spans="1:6" x14ac:dyDescent="0.55000000000000004">
      <c r="A171" s="117"/>
      <c r="B171" s="117"/>
      <c r="C171" s="117"/>
      <c r="D171" s="117"/>
      <c r="E171" s="119"/>
      <c r="F171" s="119"/>
    </row>
    <row r="172" spans="1:6" x14ac:dyDescent="0.55000000000000004">
      <c r="A172" s="117"/>
      <c r="B172" s="117"/>
      <c r="C172" s="117"/>
      <c r="D172" s="117"/>
      <c r="E172" s="119"/>
      <c r="F172" s="119"/>
    </row>
    <row r="173" spans="1:6" x14ac:dyDescent="0.55000000000000004">
      <c r="A173" s="117"/>
      <c r="B173" s="117"/>
      <c r="C173" s="117"/>
      <c r="D173" s="117"/>
      <c r="E173" s="119"/>
      <c r="F173" s="119"/>
    </row>
    <row r="174" spans="1:6" x14ac:dyDescent="0.55000000000000004">
      <c r="A174" s="117"/>
      <c r="B174" s="117"/>
      <c r="C174" s="117"/>
      <c r="D174" s="117"/>
      <c r="E174" s="119"/>
      <c r="F174" s="119"/>
    </row>
    <row r="175" spans="1:6" x14ac:dyDescent="0.55000000000000004">
      <c r="A175" s="117"/>
      <c r="B175" s="117"/>
      <c r="C175" s="117"/>
      <c r="D175" s="117"/>
      <c r="E175" s="119"/>
      <c r="F175" s="119"/>
    </row>
    <row r="176" spans="1:6" x14ac:dyDescent="0.55000000000000004">
      <c r="A176" s="117"/>
      <c r="B176" s="117"/>
      <c r="C176" s="117"/>
      <c r="D176" s="117"/>
      <c r="E176" s="119"/>
      <c r="F176" s="119"/>
    </row>
    <row r="177" spans="1:6" x14ac:dyDescent="0.55000000000000004">
      <c r="A177" s="117"/>
      <c r="B177" s="117"/>
      <c r="C177" s="117"/>
      <c r="D177" s="117"/>
      <c r="E177" s="119"/>
      <c r="F177" s="119"/>
    </row>
    <row r="178" spans="1:6" x14ac:dyDescent="0.55000000000000004">
      <c r="A178" s="117"/>
      <c r="B178" s="117"/>
      <c r="C178" s="117"/>
      <c r="D178" s="117"/>
      <c r="E178" s="119"/>
      <c r="F178" s="119"/>
    </row>
    <row r="179" spans="1:6" x14ac:dyDescent="0.55000000000000004">
      <c r="A179" s="117"/>
      <c r="B179" s="117"/>
      <c r="C179" s="117"/>
      <c r="D179" s="117"/>
      <c r="E179" s="119"/>
      <c r="F179" s="119"/>
    </row>
    <row r="180" spans="1:6" x14ac:dyDescent="0.55000000000000004">
      <c r="A180" s="117"/>
      <c r="B180" s="117"/>
      <c r="C180" s="117"/>
      <c r="D180" s="117"/>
      <c r="E180" s="119"/>
      <c r="F180" s="119"/>
    </row>
    <row r="181" spans="1:6" x14ac:dyDescent="0.55000000000000004">
      <c r="A181" s="117"/>
      <c r="B181" s="117"/>
      <c r="C181" s="117"/>
      <c r="D181" s="117"/>
      <c r="E181" s="118"/>
      <c r="F181" s="119"/>
    </row>
    <row r="182" spans="1:6" x14ac:dyDescent="0.55000000000000004">
      <c r="A182" s="117"/>
      <c r="B182" s="117"/>
      <c r="C182" s="117"/>
      <c r="D182" s="117"/>
      <c r="E182" s="118"/>
      <c r="F182" s="119"/>
    </row>
    <row r="183" spans="1:6" x14ac:dyDescent="0.55000000000000004">
      <c r="A183" s="117"/>
      <c r="B183" s="117"/>
      <c r="C183" s="117"/>
      <c r="D183" s="117"/>
      <c r="E183" s="119"/>
      <c r="F183" s="119"/>
    </row>
    <row r="184" spans="1:6" x14ac:dyDescent="0.55000000000000004">
      <c r="A184" s="117"/>
      <c r="B184" s="117"/>
      <c r="C184" s="117"/>
      <c r="D184" s="117"/>
      <c r="E184" s="119"/>
      <c r="F184" s="119"/>
    </row>
    <row r="185" spans="1:6" x14ac:dyDescent="0.55000000000000004">
      <c r="A185" s="117"/>
      <c r="B185" s="117"/>
      <c r="C185" s="117"/>
      <c r="D185" s="117"/>
      <c r="E185" s="119"/>
      <c r="F185" s="119"/>
    </row>
    <row r="186" spans="1:6" x14ac:dyDescent="0.55000000000000004">
      <c r="A186" s="117"/>
      <c r="B186" s="117"/>
      <c r="C186" s="117"/>
      <c r="D186" s="117"/>
      <c r="E186" s="119"/>
      <c r="F186" s="119"/>
    </row>
  </sheetData>
  <mergeCells count="2">
    <mergeCell ref="A1:F1"/>
    <mergeCell ref="A2:F2"/>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E61DC-9497-4138-BB10-9EA2317D890D}">
  <sheetPr codeName="Sheet13">
    <tabColor theme="9" tint="-0.499984740745262"/>
  </sheetPr>
  <dimension ref="A1:CH806"/>
  <sheetViews>
    <sheetView zoomScale="85" zoomScaleNormal="85" zoomScaleSheetLayoutView="100" workbookViewId="0">
      <pane ySplit="5" topLeftCell="A23" activePane="bottomLeft" state="frozen"/>
      <selection activeCell="J149" sqref="J149"/>
      <selection pane="bottomLeft"/>
    </sheetView>
  </sheetViews>
  <sheetFormatPr defaultColWidth="9" defaultRowHeight="13.5" x14ac:dyDescent="0.55000000000000004"/>
  <cols>
    <col min="1" max="1" width="3.5" style="46" customWidth="1"/>
    <col min="2" max="3" width="3.6640625" style="46" bestFit="1" customWidth="1"/>
    <col min="4" max="4" width="18.6640625" style="46" customWidth="1"/>
    <col min="5" max="7" width="3.08203125" style="48" customWidth="1"/>
    <col min="8" max="8" width="55.08203125" style="48" customWidth="1"/>
    <col min="9" max="9" width="56.5" style="5" customWidth="1"/>
    <col min="10" max="10" width="6.1640625" style="46" bestFit="1" customWidth="1"/>
    <col min="11" max="11" width="5.58203125" style="46" bestFit="1" customWidth="1"/>
    <col min="12" max="12" width="65.08203125" style="170" customWidth="1"/>
    <col min="13" max="15" width="3.08203125" style="48" customWidth="1"/>
    <col min="16" max="16384" width="9" style="48"/>
  </cols>
  <sheetData>
    <row r="1" spans="1:12" s="44" customFormat="1" ht="19.5" x14ac:dyDescent="0.55000000000000004">
      <c r="A1" s="82" t="str" cm="1">
        <f t="array" aca="1" ref="A1" ca="1">RIGHT(CELL("filename",A1),LEN(CELL("filename",A1))-FIND("]",CELL("filename",A1)))</f>
        <v>手順書パーツ</v>
      </c>
      <c r="B1" s="82"/>
      <c r="C1" s="82"/>
      <c r="D1" s="82"/>
      <c r="E1" s="90"/>
      <c r="F1" s="58"/>
      <c r="G1" s="58"/>
      <c r="H1" s="58"/>
      <c r="I1" s="40"/>
      <c r="J1" s="314" t="s">
        <v>3</v>
      </c>
      <c r="K1" s="315"/>
      <c r="L1" s="316"/>
    </row>
    <row r="2" spans="1:12" s="44" customFormat="1" ht="19.5" x14ac:dyDescent="0.55000000000000004">
      <c r="A2" s="82"/>
      <c r="B2" s="82"/>
      <c r="C2" s="82"/>
      <c r="D2" s="82"/>
      <c r="E2" s="82"/>
      <c r="F2" s="58"/>
      <c r="G2" s="58"/>
      <c r="H2" s="58"/>
      <c r="I2" s="40"/>
      <c r="J2" s="317"/>
      <c r="K2" s="318"/>
      <c r="L2" s="319"/>
    </row>
    <row r="3" spans="1:12" s="44" customFormat="1" ht="20" thickBot="1" x14ac:dyDescent="0.6">
      <c r="A3" s="84"/>
      <c r="B3" s="84"/>
      <c r="C3" s="84"/>
      <c r="D3" s="82"/>
      <c r="E3" s="82"/>
      <c r="F3" s="58"/>
      <c r="G3" s="58"/>
      <c r="H3" s="58"/>
      <c r="I3" s="40"/>
      <c r="J3" s="317"/>
      <c r="K3" s="318"/>
      <c r="L3" s="319"/>
    </row>
    <row r="4" spans="1:12" s="44" customFormat="1" ht="18.75" customHeight="1" thickBot="1" x14ac:dyDescent="0.6">
      <c r="A4" s="320" t="s">
        <v>5</v>
      </c>
      <c r="B4" s="321"/>
      <c r="C4" s="322"/>
      <c r="D4" s="72"/>
      <c r="E4" s="73"/>
      <c r="F4" s="73"/>
      <c r="G4" s="73"/>
      <c r="H4" s="73"/>
      <c r="I4" s="83"/>
      <c r="J4" s="317"/>
      <c r="K4" s="318"/>
      <c r="L4" s="319"/>
    </row>
    <row r="5" spans="1:12" s="44" customFormat="1" ht="18.75" customHeight="1" thickBot="1" x14ac:dyDescent="0.6">
      <c r="A5" s="74" t="s">
        <v>6</v>
      </c>
      <c r="B5" s="75" t="s">
        <v>7</v>
      </c>
      <c r="C5" s="75" t="s">
        <v>8</v>
      </c>
      <c r="D5" s="76" t="s">
        <v>35</v>
      </c>
      <c r="E5" s="323" t="s">
        <v>9</v>
      </c>
      <c r="F5" s="324"/>
      <c r="G5" s="324"/>
      <c r="H5" s="325"/>
      <c r="I5" s="76" t="s">
        <v>34</v>
      </c>
      <c r="J5" s="77" t="s">
        <v>67</v>
      </c>
      <c r="K5" s="78" t="s">
        <v>13</v>
      </c>
      <c r="L5" s="140" t="s">
        <v>10</v>
      </c>
    </row>
    <row r="6" spans="1:12" ht="18.75" customHeight="1" thickBot="1" x14ac:dyDescent="0.6">
      <c r="A6" s="71">
        <v>0</v>
      </c>
      <c r="B6" s="51">
        <v>0</v>
      </c>
      <c r="C6" s="51">
        <v>0</v>
      </c>
      <c r="D6" s="53"/>
      <c r="E6" s="60" t="s">
        <v>76</v>
      </c>
      <c r="F6" s="61"/>
      <c r="G6" s="61"/>
      <c r="H6" s="61"/>
      <c r="I6" s="52"/>
      <c r="J6" s="52"/>
      <c r="K6" s="52"/>
      <c r="L6" s="248"/>
    </row>
    <row r="7" spans="1:12" s="44" customFormat="1" ht="18.75" customHeight="1" x14ac:dyDescent="0.55000000000000004">
      <c r="A7" s="70"/>
      <c r="B7" s="49">
        <v>0</v>
      </c>
      <c r="C7" s="49">
        <v>0</v>
      </c>
      <c r="D7" s="49"/>
      <c r="E7" s="59" t="s">
        <v>20</v>
      </c>
      <c r="F7" s="16"/>
      <c r="G7" s="16"/>
      <c r="H7" s="50"/>
      <c r="I7" s="15"/>
      <c r="J7" s="17"/>
      <c r="K7" s="87"/>
      <c r="L7" s="141"/>
    </row>
    <row r="8" spans="1:12" s="44" customFormat="1" ht="18.75" customHeight="1" x14ac:dyDescent="0.55000000000000004">
      <c r="A8" s="70">
        <v>0</v>
      </c>
      <c r="B8" s="49">
        <v>0</v>
      </c>
      <c r="C8" s="49">
        <v>1</v>
      </c>
      <c r="D8" s="49"/>
      <c r="E8" s="59"/>
      <c r="F8" s="16" t="s">
        <v>21</v>
      </c>
      <c r="G8" s="16"/>
      <c r="H8" s="50"/>
      <c r="I8" s="15" t="s">
        <v>100</v>
      </c>
      <c r="J8" s="11" t="s">
        <v>12</v>
      </c>
      <c r="K8" s="22" t="s">
        <v>41</v>
      </c>
      <c r="L8" s="142"/>
    </row>
    <row r="9" spans="1:12" s="44" customFormat="1" ht="18.75" customHeight="1" x14ac:dyDescent="0.55000000000000004">
      <c r="A9" s="70">
        <v>0</v>
      </c>
      <c r="B9" s="49">
        <v>0</v>
      </c>
      <c r="C9" s="49">
        <v>2</v>
      </c>
      <c r="D9" s="49"/>
      <c r="E9" s="59"/>
      <c r="F9" s="16" t="s">
        <v>22</v>
      </c>
      <c r="G9" s="16"/>
      <c r="H9" s="50"/>
      <c r="I9" s="15" t="s">
        <v>99</v>
      </c>
      <c r="J9" s="17"/>
      <c r="K9" s="46"/>
      <c r="L9" s="142"/>
    </row>
    <row r="10" spans="1:12" s="44" customFormat="1" ht="18.75" customHeight="1" x14ac:dyDescent="0.55000000000000004">
      <c r="A10" s="70"/>
      <c r="B10" s="49"/>
      <c r="C10" s="49"/>
      <c r="D10" s="49"/>
      <c r="E10" s="59"/>
      <c r="F10" s="16"/>
      <c r="G10" s="16" t="s">
        <v>68</v>
      </c>
      <c r="H10" s="50"/>
      <c r="I10" s="15"/>
      <c r="J10" s="11" t="s">
        <v>12</v>
      </c>
      <c r="K10" s="22" t="s">
        <v>41</v>
      </c>
      <c r="L10" s="143" t="s">
        <v>23</v>
      </c>
    </row>
    <row r="11" spans="1:12" s="44" customFormat="1" ht="18.75" customHeight="1" x14ac:dyDescent="0.55000000000000004">
      <c r="A11" s="70"/>
      <c r="B11" s="49"/>
      <c r="C11" s="49"/>
      <c r="D11" s="49"/>
      <c r="E11" s="59"/>
      <c r="F11" s="16"/>
      <c r="G11" s="16" t="s">
        <v>69</v>
      </c>
      <c r="H11" s="50"/>
      <c r="I11" s="15"/>
      <c r="J11" s="11" t="s">
        <v>12</v>
      </c>
      <c r="K11" s="22" t="s">
        <v>41</v>
      </c>
      <c r="L11" s="143" t="s">
        <v>24</v>
      </c>
    </row>
    <row r="12" spans="1:12" s="44" customFormat="1" ht="18.75" customHeight="1" x14ac:dyDescent="0.55000000000000004">
      <c r="A12" s="70"/>
      <c r="B12" s="49"/>
      <c r="C12" s="49"/>
      <c r="D12" s="49"/>
      <c r="E12" s="59"/>
      <c r="F12" s="16"/>
      <c r="G12" s="16" t="s">
        <v>70</v>
      </c>
      <c r="H12" s="50"/>
      <c r="I12" s="15"/>
      <c r="J12" s="11" t="s">
        <v>12</v>
      </c>
      <c r="K12" s="22" t="s">
        <v>41</v>
      </c>
      <c r="L12" s="143" t="s">
        <v>25</v>
      </c>
    </row>
    <row r="13" spans="1:12" s="44" customFormat="1" ht="18.75" customHeight="1" x14ac:dyDescent="0.55000000000000004">
      <c r="A13" s="70"/>
      <c r="B13" s="49"/>
      <c r="C13" s="49"/>
      <c r="D13" s="49"/>
      <c r="E13" s="59"/>
      <c r="F13" s="16"/>
      <c r="G13" s="16" t="s">
        <v>71</v>
      </c>
      <c r="H13" s="50"/>
      <c r="I13" s="15"/>
      <c r="J13" s="11" t="s">
        <v>12</v>
      </c>
      <c r="K13" s="22" t="s">
        <v>41</v>
      </c>
      <c r="L13" s="143" t="s">
        <v>25</v>
      </c>
    </row>
    <row r="14" spans="1:12" s="44" customFormat="1" ht="18.75" customHeight="1" x14ac:dyDescent="0.55000000000000004">
      <c r="A14" s="70"/>
      <c r="B14" s="49"/>
      <c r="C14" s="49"/>
      <c r="D14" s="49"/>
      <c r="E14" s="59"/>
      <c r="F14" s="16"/>
      <c r="G14" s="16" t="s">
        <v>72</v>
      </c>
      <c r="H14" s="50"/>
      <c r="I14" s="15"/>
      <c r="J14" s="11" t="s">
        <v>12</v>
      </c>
      <c r="K14" s="22" t="s">
        <v>41</v>
      </c>
      <c r="L14" s="143" t="s">
        <v>25</v>
      </c>
    </row>
    <row r="15" spans="1:12" s="44" customFormat="1" ht="18.75" customHeight="1" x14ac:dyDescent="0.55000000000000004">
      <c r="A15" s="70"/>
      <c r="B15" s="49"/>
      <c r="C15" s="49"/>
      <c r="D15" s="49"/>
      <c r="E15" s="59"/>
      <c r="F15" s="16"/>
      <c r="G15" s="16" t="s">
        <v>73</v>
      </c>
      <c r="H15" s="50"/>
      <c r="I15" s="15"/>
      <c r="J15" s="11" t="s">
        <v>12</v>
      </c>
      <c r="K15" s="22" t="s">
        <v>41</v>
      </c>
      <c r="L15" s="143" t="s">
        <v>26</v>
      </c>
    </row>
    <row r="16" spans="1:12" s="44" customFormat="1" ht="18.75" customHeight="1" x14ac:dyDescent="0.55000000000000004">
      <c r="A16" s="70">
        <v>0</v>
      </c>
      <c r="B16" s="49">
        <v>0</v>
      </c>
      <c r="C16" s="49">
        <v>3</v>
      </c>
      <c r="D16" s="49"/>
      <c r="E16" s="59"/>
      <c r="F16" s="16" t="s">
        <v>27</v>
      </c>
      <c r="G16" s="16"/>
      <c r="H16" s="50"/>
      <c r="I16" s="15" t="s">
        <v>102</v>
      </c>
      <c r="J16" s="11" t="s">
        <v>12</v>
      </c>
      <c r="K16" s="22" t="s">
        <v>41</v>
      </c>
      <c r="L16" s="142"/>
    </row>
    <row r="17" spans="1:85" s="44" customFormat="1" ht="18.75" customHeight="1" x14ac:dyDescent="0.55000000000000004">
      <c r="A17" s="70"/>
      <c r="B17" s="49"/>
      <c r="C17" s="49"/>
      <c r="D17" s="49"/>
      <c r="E17" s="59"/>
      <c r="F17" s="16"/>
      <c r="G17" s="16"/>
      <c r="H17" s="50"/>
      <c r="I17" s="15"/>
      <c r="J17" s="11"/>
      <c r="K17" s="46"/>
      <c r="L17" s="142"/>
    </row>
    <row r="18" spans="1:85" s="44" customFormat="1" ht="18.75" customHeight="1" x14ac:dyDescent="0.55000000000000004">
      <c r="A18" s="70">
        <v>0</v>
      </c>
      <c r="B18" s="49">
        <v>1</v>
      </c>
      <c r="C18" s="49">
        <v>0</v>
      </c>
      <c r="D18" s="49"/>
      <c r="E18" s="59" t="s">
        <v>28</v>
      </c>
      <c r="F18" s="16"/>
      <c r="G18" s="16"/>
      <c r="H18" s="50"/>
      <c r="I18" s="15"/>
      <c r="J18" s="17"/>
      <c r="K18" s="22"/>
      <c r="L18" s="142"/>
    </row>
    <row r="19" spans="1:85" s="44" customFormat="1" ht="18.75" customHeight="1" x14ac:dyDescent="0.55000000000000004">
      <c r="A19" s="70">
        <v>0</v>
      </c>
      <c r="B19" s="49">
        <v>1</v>
      </c>
      <c r="C19" s="49">
        <v>1</v>
      </c>
      <c r="D19" s="49"/>
      <c r="E19" s="59"/>
      <c r="F19" s="16" t="s">
        <v>29</v>
      </c>
      <c r="G19" s="16"/>
      <c r="H19" s="50"/>
      <c r="I19" s="15" t="s">
        <v>98</v>
      </c>
      <c r="J19" s="11" t="s">
        <v>12</v>
      </c>
      <c r="K19" s="22" t="s">
        <v>57</v>
      </c>
      <c r="L19" s="142"/>
    </row>
    <row r="20" spans="1:85" s="44" customFormat="1" ht="18.75" customHeight="1" x14ac:dyDescent="0.55000000000000004">
      <c r="A20" s="70">
        <v>0</v>
      </c>
      <c r="B20" s="49">
        <v>1</v>
      </c>
      <c r="C20" s="49">
        <v>2</v>
      </c>
      <c r="D20" s="49"/>
      <c r="E20" s="59"/>
      <c r="F20" s="16" t="s">
        <v>30</v>
      </c>
      <c r="G20" s="16"/>
      <c r="H20" s="50"/>
      <c r="I20" s="15" t="s">
        <v>97</v>
      </c>
      <c r="J20" s="11" t="s">
        <v>12</v>
      </c>
      <c r="K20" s="22" t="s">
        <v>57</v>
      </c>
      <c r="L20" s="143" t="s">
        <v>31</v>
      </c>
    </row>
    <row r="21" spans="1:85" s="6" customFormat="1" ht="18.75" customHeight="1" thickBot="1" x14ac:dyDescent="0.6">
      <c r="A21" s="70"/>
      <c r="B21" s="49"/>
      <c r="C21" s="49"/>
      <c r="D21" s="49"/>
      <c r="E21" s="59"/>
      <c r="F21" s="16"/>
      <c r="G21" s="16"/>
      <c r="H21" s="50"/>
      <c r="I21" s="15"/>
      <c r="J21" s="17"/>
      <c r="K21" s="87"/>
      <c r="L21" s="144"/>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48"/>
      <c r="BA21" s="48"/>
      <c r="BB21" s="48"/>
      <c r="BC21" s="48"/>
      <c r="BD21" s="48"/>
      <c r="BE21" s="48"/>
      <c r="BF21" s="48"/>
      <c r="BG21" s="48"/>
      <c r="BH21" s="48"/>
      <c r="BI21" s="48"/>
      <c r="BJ21" s="48"/>
      <c r="BK21" s="48"/>
      <c r="BL21" s="48"/>
      <c r="BM21" s="48"/>
      <c r="BN21" s="48"/>
      <c r="BO21" s="48"/>
      <c r="BP21" s="48"/>
      <c r="BQ21" s="48"/>
      <c r="BR21" s="48"/>
      <c r="BS21" s="48"/>
      <c r="BT21" s="48"/>
      <c r="BU21" s="48"/>
      <c r="BV21" s="48"/>
      <c r="BW21" s="48"/>
      <c r="BX21" s="48"/>
      <c r="BY21" s="48"/>
      <c r="BZ21" s="48"/>
      <c r="CA21" s="48"/>
      <c r="CB21" s="48"/>
      <c r="CC21" s="48"/>
      <c r="CD21" s="48"/>
      <c r="CE21" s="48"/>
      <c r="CF21" s="48"/>
      <c r="CG21" s="48"/>
    </row>
    <row r="22" spans="1:85" ht="18.75" customHeight="1" x14ac:dyDescent="0.55000000000000004">
      <c r="A22" s="71">
        <v>1</v>
      </c>
      <c r="B22" s="51">
        <v>0</v>
      </c>
      <c r="C22" s="51">
        <v>0</v>
      </c>
      <c r="D22" s="53"/>
      <c r="E22" s="60" t="s">
        <v>76</v>
      </c>
      <c r="F22" s="61"/>
      <c r="G22" s="61"/>
      <c r="H22" s="61"/>
      <c r="I22" s="52"/>
      <c r="J22" s="52"/>
      <c r="K22" s="52"/>
      <c r="L22" s="248"/>
    </row>
    <row r="23" spans="1:85" ht="18.75" customHeight="1" x14ac:dyDescent="0.55000000000000004">
      <c r="A23" s="180"/>
      <c r="B23" s="181"/>
      <c r="C23" s="181">
        <v>1</v>
      </c>
      <c r="D23" s="182"/>
      <c r="E23" s="185" t="s">
        <v>77</v>
      </c>
      <c r="F23" s="183"/>
      <c r="G23" s="183"/>
      <c r="H23" s="184"/>
      <c r="I23" s="81" t="s">
        <v>46</v>
      </c>
      <c r="J23" s="21" t="s">
        <v>11</v>
      </c>
      <c r="K23" s="46" t="s">
        <v>44</v>
      </c>
      <c r="L23" s="138"/>
      <c r="M23" s="80"/>
    </row>
    <row r="24" spans="1:85" ht="18.75" customHeight="1" x14ac:dyDescent="0.55000000000000004">
      <c r="A24" s="28"/>
      <c r="B24" s="45"/>
      <c r="C24" s="49"/>
      <c r="D24" s="54"/>
      <c r="E24" s="62"/>
      <c r="F24" s="4"/>
      <c r="G24" s="4"/>
      <c r="H24" s="1"/>
      <c r="I24" s="81" t="s">
        <v>47</v>
      </c>
      <c r="J24" s="11" t="s">
        <v>11</v>
      </c>
      <c r="K24" s="46" t="s">
        <v>44</v>
      </c>
      <c r="L24" s="137" t="s">
        <v>45</v>
      </c>
    </row>
    <row r="25" spans="1:85" ht="18.75" customHeight="1" x14ac:dyDescent="0.55000000000000004">
      <c r="A25" s="28"/>
      <c r="B25" s="45"/>
      <c r="C25" s="49"/>
      <c r="D25" s="91"/>
      <c r="E25" s="62"/>
      <c r="F25" s="4"/>
      <c r="G25" s="4"/>
      <c r="H25" s="1"/>
      <c r="I25" s="81" t="s">
        <v>48</v>
      </c>
      <c r="J25" s="11" t="s">
        <v>11</v>
      </c>
      <c r="K25" s="46" t="s">
        <v>44</v>
      </c>
      <c r="L25" s="137">
        <v>22</v>
      </c>
    </row>
    <row r="26" spans="1:85" ht="18.75" customHeight="1" x14ac:dyDescent="0.55000000000000004">
      <c r="A26" s="28"/>
      <c r="B26" s="45"/>
      <c r="C26" s="49"/>
      <c r="D26" s="54"/>
      <c r="E26" s="62"/>
      <c r="F26" s="4"/>
      <c r="G26" s="4"/>
      <c r="H26" s="1"/>
      <c r="I26" s="81" t="s">
        <v>49</v>
      </c>
      <c r="J26" s="11" t="s">
        <v>11</v>
      </c>
      <c r="K26" s="46" t="s">
        <v>6407</v>
      </c>
      <c r="L26" s="138"/>
    </row>
    <row r="27" spans="1:85" ht="18.75" customHeight="1" x14ac:dyDescent="0.55000000000000004">
      <c r="A27" s="28"/>
      <c r="B27" s="45"/>
      <c r="C27" s="49"/>
      <c r="D27" s="54"/>
      <c r="E27" s="62"/>
      <c r="F27" s="4"/>
      <c r="G27" s="4"/>
      <c r="H27" s="1"/>
      <c r="I27" s="81" t="s">
        <v>50</v>
      </c>
      <c r="J27" s="11" t="s">
        <v>11</v>
      </c>
      <c r="K27" s="46" t="s">
        <v>6407</v>
      </c>
      <c r="L27" s="138"/>
    </row>
    <row r="28" spans="1:85" ht="18.75" customHeight="1" x14ac:dyDescent="0.55000000000000004">
      <c r="A28" s="28"/>
      <c r="B28" s="45"/>
      <c r="C28" s="49"/>
      <c r="D28" s="54"/>
      <c r="E28" s="42"/>
      <c r="F28" s="24"/>
      <c r="G28" s="24"/>
      <c r="H28" s="7"/>
      <c r="I28" s="47"/>
      <c r="J28" s="11"/>
      <c r="L28" s="56"/>
    </row>
    <row r="29" spans="1:85" ht="18.75" customHeight="1" x14ac:dyDescent="0.55000000000000004">
      <c r="A29" s="180"/>
      <c r="B29" s="181"/>
      <c r="C29" s="181">
        <v>2</v>
      </c>
      <c r="D29" s="54"/>
      <c r="E29" s="63" t="s">
        <v>74</v>
      </c>
      <c r="F29" s="24"/>
      <c r="G29" s="24"/>
      <c r="H29" s="7"/>
      <c r="I29" s="47"/>
      <c r="J29" s="11" t="s">
        <v>11</v>
      </c>
      <c r="K29" s="139" t="s">
        <v>14</v>
      </c>
      <c r="L29" s="145" t="s">
        <v>15</v>
      </c>
    </row>
    <row r="30" spans="1:85" ht="18.75" customHeight="1" x14ac:dyDescent="0.55000000000000004">
      <c r="A30" s="28"/>
      <c r="B30" s="45"/>
      <c r="C30" s="49"/>
      <c r="D30" s="54"/>
      <c r="E30" s="42"/>
      <c r="F30" s="24"/>
      <c r="G30" s="24"/>
      <c r="H30" s="7"/>
      <c r="I30" s="47" t="s">
        <v>96</v>
      </c>
      <c r="J30" s="11" t="s">
        <v>11</v>
      </c>
      <c r="K30" s="46" t="s">
        <v>42</v>
      </c>
      <c r="L30" s="146">
        <f>J$4</f>
        <v>0</v>
      </c>
      <c r="M30" s="80"/>
    </row>
    <row r="31" spans="1:85" ht="18.75" customHeight="1" x14ac:dyDescent="0.55000000000000004">
      <c r="A31" s="28"/>
      <c r="B31" s="45"/>
      <c r="C31" s="49"/>
      <c r="D31" s="54"/>
      <c r="E31" s="42"/>
      <c r="F31" s="24"/>
      <c r="G31" s="24"/>
      <c r="H31" s="7"/>
      <c r="I31" s="47" t="s">
        <v>96</v>
      </c>
      <c r="J31" s="11" t="s">
        <v>11</v>
      </c>
      <c r="K31" s="46" t="s">
        <v>42</v>
      </c>
      <c r="L31" s="146">
        <f>L26</f>
        <v>0</v>
      </c>
    </row>
    <row r="32" spans="1:85" ht="18.75" customHeight="1" x14ac:dyDescent="0.55000000000000004">
      <c r="A32" s="29"/>
      <c r="B32" s="2"/>
      <c r="C32" s="41"/>
      <c r="D32" s="55"/>
      <c r="E32" s="20"/>
      <c r="F32" s="13"/>
      <c r="G32" s="13"/>
      <c r="H32" s="10"/>
      <c r="I32" s="39"/>
      <c r="J32" s="12"/>
      <c r="K32" s="3"/>
      <c r="L32" s="147"/>
    </row>
    <row r="33" spans="1:12" ht="18.75" customHeight="1" x14ac:dyDescent="0.55000000000000004">
      <c r="A33" s="180"/>
      <c r="B33" s="181"/>
      <c r="C33" s="181">
        <v>1</v>
      </c>
      <c r="D33" s="182"/>
      <c r="E33" s="179" t="s">
        <v>78</v>
      </c>
      <c r="F33" s="176"/>
      <c r="G33" s="176"/>
      <c r="H33" s="177"/>
      <c r="I33" s="81" t="s">
        <v>54</v>
      </c>
      <c r="J33" s="11" t="s">
        <v>12</v>
      </c>
      <c r="K33" s="40" t="s">
        <v>53</v>
      </c>
      <c r="L33" s="138"/>
    </row>
    <row r="34" spans="1:12" ht="18.75" customHeight="1" x14ac:dyDescent="0.55000000000000004">
      <c r="A34" s="28"/>
      <c r="B34" s="45"/>
      <c r="C34" s="49"/>
      <c r="D34" s="54"/>
      <c r="E34" s="42"/>
      <c r="F34" s="24"/>
      <c r="G34" s="24"/>
      <c r="H34" s="7"/>
      <c r="I34" s="81" t="s">
        <v>55</v>
      </c>
      <c r="J34" s="11" t="s">
        <v>12</v>
      </c>
      <c r="K34" s="40" t="s">
        <v>53</v>
      </c>
      <c r="L34" s="138"/>
    </row>
    <row r="35" spans="1:12" ht="18.75" customHeight="1" x14ac:dyDescent="0.55000000000000004">
      <c r="A35" s="28"/>
      <c r="B35" s="45"/>
      <c r="C35" s="49"/>
      <c r="D35" s="91"/>
      <c r="E35" s="42"/>
      <c r="F35" s="24"/>
      <c r="G35" s="24"/>
      <c r="H35" s="7"/>
      <c r="I35" s="81" t="s">
        <v>56</v>
      </c>
      <c r="J35" s="11" t="s">
        <v>12</v>
      </c>
      <c r="K35" s="40" t="s">
        <v>53</v>
      </c>
      <c r="L35" s="138"/>
    </row>
    <row r="36" spans="1:12" ht="18.75" customHeight="1" x14ac:dyDescent="0.55000000000000004">
      <c r="A36" s="28"/>
      <c r="B36" s="45"/>
      <c r="C36" s="49"/>
      <c r="D36" s="54"/>
      <c r="E36" s="42"/>
      <c r="F36" s="24"/>
      <c r="G36" s="24"/>
      <c r="H36" s="7"/>
      <c r="I36" s="81"/>
      <c r="J36" s="11"/>
      <c r="K36" s="40"/>
      <c r="L36" s="56"/>
    </row>
    <row r="37" spans="1:12" ht="18.75" customHeight="1" x14ac:dyDescent="0.55000000000000004">
      <c r="A37" s="180"/>
      <c r="B37" s="181"/>
      <c r="C37" s="181">
        <v>2</v>
      </c>
      <c r="D37" s="54"/>
      <c r="E37" s="63" t="s">
        <v>79</v>
      </c>
      <c r="F37" s="24"/>
      <c r="G37" s="24"/>
      <c r="H37" s="7"/>
      <c r="I37" s="191" t="s">
        <v>101</v>
      </c>
      <c r="J37" s="11" t="s">
        <v>12</v>
      </c>
      <c r="K37" s="40" t="s">
        <v>42</v>
      </c>
      <c r="L37" s="146">
        <f>J$4</f>
        <v>0</v>
      </c>
    </row>
    <row r="38" spans="1:12" ht="18.75" customHeight="1" thickBot="1" x14ac:dyDescent="0.6">
      <c r="A38" s="29"/>
      <c r="B38" s="2"/>
      <c r="C38" s="41"/>
      <c r="D38" s="55"/>
      <c r="E38" s="20"/>
      <c r="F38" s="13"/>
      <c r="G38" s="13"/>
      <c r="H38" s="10"/>
      <c r="I38" s="39"/>
      <c r="J38" s="96"/>
      <c r="K38" s="9"/>
      <c r="L38" s="206"/>
    </row>
    <row r="39" spans="1:12" ht="18.75" customHeight="1" x14ac:dyDescent="0.55000000000000004">
      <c r="A39" s="71">
        <v>1</v>
      </c>
      <c r="B39" s="51">
        <v>0</v>
      </c>
      <c r="C39" s="51">
        <v>0</v>
      </c>
      <c r="D39" s="53"/>
      <c r="E39" s="60" t="s">
        <v>93</v>
      </c>
      <c r="F39" s="61"/>
      <c r="G39" s="61"/>
      <c r="H39" s="61"/>
      <c r="I39" s="52"/>
      <c r="J39" s="52"/>
      <c r="K39" s="52"/>
      <c r="L39" s="248"/>
    </row>
    <row r="40" spans="1:12" ht="18.75" customHeight="1" x14ac:dyDescent="0.55000000000000004">
      <c r="A40" s="180"/>
      <c r="B40" s="181">
        <v>1</v>
      </c>
      <c r="C40" s="181">
        <v>1</v>
      </c>
      <c r="D40" s="182"/>
      <c r="E40" s="179" t="s">
        <v>82</v>
      </c>
      <c r="F40" s="176"/>
      <c r="G40" s="176"/>
      <c r="H40" s="177"/>
      <c r="I40" s="81" t="s">
        <v>83</v>
      </c>
      <c r="J40" s="11" t="s">
        <v>11</v>
      </c>
      <c r="K40" s="46" t="s">
        <v>61</v>
      </c>
      <c r="L40" s="137" t="s">
        <v>90</v>
      </c>
    </row>
    <row r="41" spans="1:12" ht="18.75" customHeight="1" x14ac:dyDescent="0.55000000000000004">
      <c r="A41" s="28"/>
      <c r="B41" s="45"/>
      <c r="C41" s="49"/>
      <c r="D41" s="54"/>
      <c r="E41" s="42"/>
      <c r="F41" s="24"/>
      <c r="G41" s="24"/>
      <c r="H41" s="7"/>
      <c r="I41" s="81" t="s">
        <v>84</v>
      </c>
      <c r="J41" s="11" t="s">
        <v>11</v>
      </c>
      <c r="K41" s="46" t="s">
        <v>89</v>
      </c>
      <c r="L41" s="137"/>
    </row>
    <row r="42" spans="1:12" ht="18.75" customHeight="1" x14ac:dyDescent="0.55000000000000004">
      <c r="A42" s="28"/>
      <c r="B42" s="45"/>
      <c r="C42" s="49"/>
      <c r="D42" s="54"/>
      <c r="E42" s="42"/>
      <c r="F42" s="24"/>
      <c r="G42" s="24"/>
      <c r="H42" s="7"/>
      <c r="I42" s="81" t="s">
        <v>85</v>
      </c>
      <c r="J42" s="11" t="s">
        <v>11</v>
      </c>
      <c r="K42" s="46" t="s">
        <v>89</v>
      </c>
      <c r="L42" s="137">
        <v>22</v>
      </c>
    </row>
    <row r="43" spans="1:12" ht="18.75" customHeight="1" x14ac:dyDescent="0.55000000000000004">
      <c r="A43" s="28"/>
      <c r="B43" s="45"/>
      <c r="C43" s="49"/>
      <c r="D43" s="54"/>
      <c r="E43" s="42"/>
      <c r="F43" s="24"/>
      <c r="G43" s="24"/>
      <c r="H43" s="7"/>
      <c r="I43" s="81" t="s">
        <v>86</v>
      </c>
      <c r="J43" s="11" t="s">
        <v>11</v>
      </c>
      <c r="K43" s="46" t="s">
        <v>89</v>
      </c>
      <c r="L43" s="137"/>
    </row>
    <row r="44" spans="1:12" ht="18.75" customHeight="1" x14ac:dyDescent="0.55000000000000004">
      <c r="A44" s="28"/>
      <c r="B44" s="45"/>
      <c r="C44" s="49"/>
      <c r="D44" s="54"/>
      <c r="E44" s="42"/>
      <c r="F44" s="24"/>
      <c r="G44" s="24"/>
      <c r="H44" s="7"/>
      <c r="I44" s="81" t="s">
        <v>88</v>
      </c>
      <c r="J44" s="11" t="s">
        <v>11</v>
      </c>
      <c r="K44" s="46" t="s">
        <v>89</v>
      </c>
      <c r="L44" s="137"/>
    </row>
    <row r="45" spans="1:12" ht="18.75" customHeight="1" x14ac:dyDescent="0.55000000000000004">
      <c r="A45" s="28"/>
      <c r="B45" s="45"/>
      <c r="C45" s="49"/>
      <c r="D45" s="54"/>
      <c r="E45" s="42"/>
      <c r="F45" s="24"/>
      <c r="G45" s="24"/>
      <c r="H45" s="7"/>
      <c r="I45" s="81"/>
      <c r="J45" s="25"/>
      <c r="K45" s="40"/>
      <c r="L45" s="207"/>
    </row>
    <row r="46" spans="1:12" ht="18.75" customHeight="1" x14ac:dyDescent="0.55000000000000004">
      <c r="A46" s="180"/>
      <c r="B46" s="181">
        <v>1</v>
      </c>
      <c r="C46" s="181">
        <v>2</v>
      </c>
      <c r="D46" s="54"/>
      <c r="E46" s="63" t="s">
        <v>91</v>
      </c>
      <c r="F46" s="24"/>
      <c r="G46" s="24"/>
      <c r="H46" s="7"/>
      <c r="I46" s="47" t="s">
        <v>96</v>
      </c>
      <c r="J46" s="11" t="s">
        <v>12</v>
      </c>
      <c r="K46" s="40" t="s">
        <v>42</v>
      </c>
      <c r="L46" s="56" t="str">
        <f>L43&amp;"＠"&amp;L41</f>
        <v>＠</v>
      </c>
    </row>
    <row r="47" spans="1:12" ht="18.75" customHeight="1" x14ac:dyDescent="0.55000000000000004">
      <c r="A47" s="28"/>
      <c r="B47" s="45"/>
      <c r="C47" s="49"/>
      <c r="D47" s="54"/>
      <c r="E47" s="42"/>
      <c r="F47" s="24"/>
      <c r="G47" s="24"/>
      <c r="H47" s="7"/>
      <c r="I47" s="47"/>
      <c r="J47" s="11"/>
      <c r="L47" s="146"/>
    </row>
    <row r="48" spans="1:12" ht="18.75" customHeight="1" x14ac:dyDescent="0.55000000000000004">
      <c r="A48" s="180"/>
      <c r="B48" s="181">
        <v>2</v>
      </c>
      <c r="C48" s="181">
        <v>1</v>
      </c>
      <c r="D48" s="54"/>
      <c r="E48" s="63" t="s">
        <v>95</v>
      </c>
      <c r="F48" s="24"/>
      <c r="G48" s="24"/>
      <c r="H48" s="7"/>
      <c r="I48" s="15" t="s">
        <v>102</v>
      </c>
      <c r="J48" s="11" t="s">
        <v>12</v>
      </c>
      <c r="K48" s="46" t="s">
        <v>89</v>
      </c>
      <c r="L48" s="171"/>
    </row>
    <row r="49" spans="1:12" ht="18.75" customHeight="1" x14ac:dyDescent="0.55000000000000004">
      <c r="A49" s="28"/>
      <c r="B49" s="45"/>
      <c r="C49" s="49"/>
      <c r="D49" s="54"/>
      <c r="E49" s="42"/>
      <c r="F49" s="24"/>
      <c r="G49" s="24"/>
      <c r="H49" s="7"/>
      <c r="I49" s="47"/>
      <c r="J49" s="11"/>
      <c r="L49" s="146"/>
    </row>
    <row r="50" spans="1:12" ht="18.75" customHeight="1" x14ac:dyDescent="0.55000000000000004">
      <c r="A50" s="180"/>
      <c r="B50" s="181">
        <v>2</v>
      </c>
      <c r="C50" s="181">
        <v>2</v>
      </c>
      <c r="D50" s="54"/>
      <c r="E50" s="63" t="s">
        <v>94</v>
      </c>
      <c r="F50" s="24"/>
      <c r="G50" s="24"/>
      <c r="H50" s="7"/>
      <c r="I50" s="15" t="s">
        <v>102</v>
      </c>
      <c r="J50" s="11" t="s">
        <v>12</v>
      </c>
      <c r="K50" s="46" t="s">
        <v>89</v>
      </c>
      <c r="L50" s="171"/>
    </row>
    <row r="51" spans="1:12" ht="18.75" customHeight="1" x14ac:dyDescent="0.55000000000000004">
      <c r="A51" s="28"/>
      <c r="B51" s="45"/>
      <c r="C51" s="49"/>
      <c r="D51" s="54"/>
      <c r="E51" s="42"/>
      <c r="F51" s="24"/>
      <c r="G51" s="24"/>
      <c r="H51" s="7"/>
      <c r="I51" s="47"/>
      <c r="J51" s="11"/>
      <c r="L51" s="146"/>
    </row>
    <row r="52" spans="1:12" ht="18.75" customHeight="1" x14ac:dyDescent="0.55000000000000004">
      <c r="A52" s="28"/>
      <c r="B52" s="45"/>
      <c r="C52" s="49"/>
      <c r="D52" s="54"/>
      <c r="E52" s="192" t="s">
        <v>103</v>
      </c>
      <c r="F52" s="193"/>
      <c r="G52" s="193"/>
      <c r="H52" s="194"/>
      <c r="I52" s="195"/>
      <c r="J52" s="196"/>
      <c r="K52" s="197"/>
      <c r="L52" s="198"/>
    </row>
    <row r="53" spans="1:12" ht="18.75" customHeight="1" x14ac:dyDescent="0.55000000000000004">
      <c r="A53" s="180"/>
      <c r="B53" s="181">
        <v>2</v>
      </c>
      <c r="C53" s="181">
        <v>3</v>
      </c>
      <c r="D53" s="54"/>
      <c r="E53" s="63" t="s">
        <v>105</v>
      </c>
      <c r="F53" s="24"/>
      <c r="G53" s="24"/>
      <c r="H53" s="7"/>
      <c r="I53" s="47"/>
      <c r="J53" s="11" t="s">
        <v>11</v>
      </c>
      <c r="K53" s="46" t="s">
        <v>89</v>
      </c>
      <c r="L53" s="171"/>
    </row>
    <row r="54" spans="1:12" ht="18.75" customHeight="1" x14ac:dyDescent="0.55000000000000004">
      <c r="A54" s="28"/>
      <c r="B54" s="45"/>
      <c r="C54" s="49"/>
      <c r="D54" s="54"/>
      <c r="E54" s="42"/>
      <c r="F54" s="24"/>
      <c r="G54" s="24"/>
      <c r="H54" s="7"/>
      <c r="I54" s="47"/>
      <c r="J54" s="11"/>
      <c r="L54" s="146"/>
    </row>
    <row r="55" spans="1:12" ht="18.75" customHeight="1" x14ac:dyDescent="0.55000000000000004">
      <c r="A55" s="180"/>
      <c r="B55" s="181">
        <v>2</v>
      </c>
      <c r="C55" s="181">
        <v>4</v>
      </c>
      <c r="D55" s="54"/>
      <c r="E55" s="63" t="s">
        <v>117</v>
      </c>
      <c r="F55" s="24"/>
      <c r="G55" s="24"/>
      <c r="H55" s="7"/>
      <c r="I55" s="81" t="s">
        <v>111</v>
      </c>
      <c r="J55" s="11" t="s">
        <v>12</v>
      </c>
      <c r="K55" s="40" t="s">
        <v>42</v>
      </c>
      <c r="L55" s="146" t="str">
        <f>"ファイル '"&amp;L53&amp;"' を リモート ディレクトリ へ"</f>
        <v>ファイル '' を リモート ディレクトリ へ</v>
      </c>
    </row>
    <row r="56" spans="1:12" ht="18.75" customHeight="1" x14ac:dyDescent="0.55000000000000004">
      <c r="A56" s="28"/>
      <c r="B56" s="45"/>
      <c r="C56" s="49"/>
      <c r="D56" s="54"/>
      <c r="E56" s="63"/>
      <c r="F56" s="24"/>
      <c r="G56" s="24"/>
      <c r="H56" s="7"/>
      <c r="I56" s="81" t="s">
        <v>112</v>
      </c>
      <c r="J56" s="11" t="s">
        <v>12</v>
      </c>
      <c r="K56" s="40" t="s">
        <v>42</v>
      </c>
      <c r="L56" s="146" t="str">
        <f>L48&amp;"*.*"</f>
        <v>*.*</v>
      </c>
    </row>
    <row r="57" spans="1:12" ht="18.75" customHeight="1" x14ac:dyDescent="0.55000000000000004">
      <c r="A57" s="28"/>
      <c r="B57" s="45"/>
      <c r="C57" s="49"/>
      <c r="D57" s="54"/>
      <c r="E57" s="42"/>
      <c r="F57" s="24"/>
      <c r="G57" s="24"/>
      <c r="H57" s="7"/>
      <c r="I57" s="81" t="s">
        <v>109</v>
      </c>
      <c r="J57" s="11" t="s">
        <v>12</v>
      </c>
      <c r="K57" s="40" t="s">
        <v>42</v>
      </c>
      <c r="L57" s="148" t="s">
        <v>107</v>
      </c>
    </row>
    <row r="58" spans="1:12" ht="18.75" customHeight="1" x14ac:dyDescent="0.55000000000000004">
      <c r="A58" s="28"/>
      <c r="B58" s="45"/>
      <c r="C58" s="49"/>
      <c r="D58" s="54"/>
      <c r="E58" s="42"/>
      <c r="F58" s="24"/>
      <c r="G58" s="24"/>
      <c r="H58" s="7"/>
      <c r="I58" s="81"/>
      <c r="J58" s="11"/>
      <c r="K58" s="40"/>
      <c r="L58" s="148"/>
    </row>
    <row r="59" spans="1:12" ht="18.75" customHeight="1" x14ac:dyDescent="0.55000000000000004">
      <c r="A59" s="180"/>
      <c r="B59" s="181">
        <v>2</v>
      </c>
      <c r="C59" s="181">
        <v>5</v>
      </c>
      <c r="D59" s="54"/>
      <c r="E59" s="63" t="s">
        <v>108</v>
      </c>
      <c r="F59" s="24"/>
      <c r="G59" s="24"/>
      <c r="H59" s="7"/>
      <c r="I59" s="81"/>
      <c r="J59" s="11" t="s">
        <v>12</v>
      </c>
      <c r="K59" s="46" t="s">
        <v>89</v>
      </c>
      <c r="L59" s="148"/>
    </row>
    <row r="60" spans="1:12" ht="18.75" customHeight="1" x14ac:dyDescent="0.55000000000000004">
      <c r="A60" s="28"/>
      <c r="B60" s="45"/>
      <c r="C60" s="49"/>
      <c r="D60" s="54"/>
      <c r="E60" s="63"/>
      <c r="F60" s="24"/>
      <c r="G60" s="24"/>
      <c r="H60" s="7"/>
      <c r="I60" s="47"/>
      <c r="J60" s="11"/>
      <c r="L60" s="146"/>
    </row>
    <row r="61" spans="1:12" ht="18.75" customHeight="1" x14ac:dyDescent="0.55000000000000004">
      <c r="A61" s="180"/>
      <c r="B61" s="181">
        <v>2</v>
      </c>
      <c r="C61" s="181">
        <v>6</v>
      </c>
      <c r="D61" s="54"/>
      <c r="E61" s="63" t="s">
        <v>113</v>
      </c>
      <c r="F61" s="24"/>
      <c r="G61" s="24"/>
      <c r="H61" s="7"/>
      <c r="I61" s="47" t="s">
        <v>114</v>
      </c>
      <c r="J61" s="11" t="s">
        <v>12</v>
      </c>
      <c r="K61" s="40" t="s">
        <v>42</v>
      </c>
      <c r="L61" s="146"/>
    </row>
    <row r="62" spans="1:12" ht="18.75" customHeight="1" x14ac:dyDescent="0.55000000000000004">
      <c r="A62" s="28"/>
      <c r="B62" s="45"/>
      <c r="C62" s="49"/>
      <c r="D62" s="54"/>
      <c r="E62" s="42"/>
      <c r="F62" s="24"/>
      <c r="G62" s="24"/>
      <c r="H62" s="7"/>
      <c r="I62" s="47"/>
      <c r="J62" s="11"/>
      <c r="L62" s="146"/>
    </row>
    <row r="63" spans="1:12" ht="18.75" customHeight="1" x14ac:dyDescent="0.55000000000000004">
      <c r="A63" s="28"/>
      <c r="B63" s="45"/>
      <c r="C63" s="49"/>
      <c r="D63" s="54"/>
      <c r="E63" s="192" t="s">
        <v>104</v>
      </c>
      <c r="F63" s="193"/>
      <c r="G63" s="193"/>
      <c r="H63" s="194"/>
      <c r="I63" s="195"/>
      <c r="J63" s="196"/>
      <c r="K63" s="197"/>
      <c r="L63" s="198"/>
    </row>
    <row r="64" spans="1:12" ht="18.75" customHeight="1" x14ac:dyDescent="0.55000000000000004">
      <c r="A64" s="180"/>
      <c r="B64" s="181">
        <v>2</v>
      </c>
      <c r="C64" s="181">
        <v>3</v>
      </c>
      <c r="D64" s="54"/>
      <c r="E64" s="63" t="s">
        <v>106</v>
      </c>
      <c r="F64" s="24"/>
      <c r="G64" s="24"/>
      <c r="H64" s="7"/>
      <c r="I64" s="47"/>
      <c r="J64" s="11" t="s">
        <v>11</v>
      </c>
      <c r="K64" s="46" t="s">
        <v>89</v>
      </c>
      <c r="L64" s="171"/>
    </row>
    <row r="65" spans="1:12" ht="18.75" customHeight="1" x14ac:dyDescent="0.55000000000000004">
      <c r="A65" s="28"/>
      <c r="B65" s="45"/>
      <c r="C65" s="49"/>
      <c r="D65" s="54"/>
      <c r="E65" s="42"/>
      <c r="F65" s="24"/>
      <c r="G65" s="24"/>
      <c r="H65" s="7"/>
      <c r="I65" s="47"/>
      <c r="J65" s="11"/>
      <c r="L65" s="146"/>
    </row>
    <row r="66" spans="1:12" ht="18.75" customHeight="1" x14ac:dyDescent="0.55000000000000004">
      <c r="A66" s="180"/>
      <c r="B66" s="181">
        <v>2</v>
      </c>
      <c r="C66" s="181">
        <v>4</v>
      </c>
      <c r="D66" s="54"/>
      <c r="E66" s="63" t="s">
        <v>118</v>
      </c>
      <c r="F66" s="24"/>
      <c r="G66" s="24"/>
      <c r="H66" s="7"/>
      <c r="I66" s="81" t="s">
        <v>110</v>
      </c>
      <c r="J66" s="11" t="s">
        <v>12</v>
      </c>
      <c r="K66" s="40" t="s">
        <v>42</v>
      </c>
      <c r="L66" s="146" t="str">
        <f>"ファイル '"&amp;L64&amp;"' を ローカル ディレクトリ へ"</f>
        <v>ファイル '' を ローカル ディレクトリ へ</v>
      </c>
    </row>
    <row r="67" spans="1:12" ht="18.75" customHeight="1" x14ac:dyDescent="0.55000000000000004">
      <c r="A67" s="28"/>
      <c r="B67" s="45"/>
      <c r="C67" s="49"/>
      <c r="D67" s="54"/>
      <c r="E67" s="63"/>
      <c r="F67" s="24"/>
      <c r="G67" s="24"/>
      <c r="H67" s="7"/>
      <c r="I67" s="81" t="s">
        <v>112</v>
      </c>
      <c r="J67" s="11" t="s">
        <v>12</v>
      </c>
      <c r="K67" s="40" t="s">
        <v>42</v>
      </c>
      <c r="L67" s="146" t="str">
        <f>L50&amp;"*.*"</f>
        <v>*.*</v>
      </c>
    </row>
    <row r="68" spans="1:12" ht="18.75" customHeight="1" x14ac:dyDescent="0.55000000000000004">
      <c r="A68" s="28"/>
      <c r="B68" s="45"/>
      <c r="C68" s="49"/>
      <c r="D68" s="54"/>
      <c r="E68" s="42"/>
      <c r="F68" s="24"/>
      <c r="G68" s="24"/>
      <c r="H68" s="7"/>
      <c r="I68" s="81" t="s">
        <v>109</v>
      </c>
      <c r="J68" s="11" t="s">
        <v>12</v>
      </c>
      <c r="K68" s="40" t="s">
        <v>42</v>
      </c>
      <c r="L68" s="148" t="s">
        <v>107</v>
      </c>
    </row>
    <row r="69" spans="1:12" ht="18.75" customHeight="1" x14ac:dyDescent="0.55000000000000004">
      <c r="A69" s="28"/>
      <c r="B69" s="45"/>
      <c r="C69" s="49"/>
      <c r="D69" s="54"/>
      <c r="E69" s="42"/>
      <c r="F69" s="24"/>
      <c r="G69" s="24"/>
      <c r="H69" s="7"/>
      <c r="I69" s="81"/>
      <c r="J69" s="11"/>
      <c r="K69" s="40"/>
      <c r="L69" s="148"/>
    </row>
    <row r="70" spans="1:12" ht="18.75" customHeight="1" x14ac:dyDescent="0.55000000000000004">
      <c r="A70" s="180"/>
      <c r="B70" s="181">
        <v>2</v>
      </c>
      <c r="C70" s="181">
        <v>5</v>
      </c>
      <c r="D70" s="54"/>
      <c r="E70" s="63" t="s">
        <v>108</v>
      </c>
      <c r="F70" s="24"/>
      <c r="G70" s="24"/>
      <c r="H70" s="7"/>
      <c r="I70" s="81"/>
      <c r="J70" s="11" t="s">
        <v>12</v>
      </c>
      <c r="K70" s="46" t="s">
        <v>89</v>
      </c>
      <c r="L70" s="148"/>
    </row>
    <row r="71" spans="1:12" ht="18.75" customHeight="1" x14ac:dyDescent="0.55000000000000004">
      <c r="A71" s="28"/>
      <c r="B71" s="45"/>
      <c r="C71" s="49"/>
      <c r="D71" s="54"/>
      <c r="E71" s="63"/>
      <c r="F71" s="24"/>
      <c r="G71" s="24"/>
      <c r="H71" s="7"/>
      <c r="I71" s="47"/>
      <c r="J71" s="11"/>
      <c r="L71" s="146"/>
    </row>
    <row r="72" spans="1:12" ht="18.75" customHeight="1" x14ac:dyDescent="0.55000000000000004">
      <c r="A72" s="180"/>
      <c r="B72" s="181">
        <v>2</v>
      </c>
      <c r="C72" s="181">
        <v>6</v>
      </c>
      <c r="D72" s="54"/>
      <c r="E72" s="63" t="s">
        <v>115</v>
      </c>
      <c r="F72" s="24"/>
      <c r="G72" s="24"/>
      <c r="H72" s="7"/>
      <c r="I72" s="47" t="s">
        <v>114</v>
      </c>
      <c r="J72" s="11" t="s">
        <v>12</v>
      </c>
      <c r="K72" s="40" t="s">
        <v>42</v>
      </c>
      <c r="L72" s="146"/>
    </row>
    <row r="73" spans="1:12" ht="18.75" customHeight="1" x14ac:dyDescent="0.55000000000000004">
      <c r="A73" s="29"/>
      <c r="B73" s="2"/>
      <c r="C73" s="41"/>
      <c r="D73" s="55"/>
      <c r="E73" s="20"/>
      <c r="F73" s="13"/>
      <c r="G73" s="13"/>
      <c r="H73" s="10"/>
      <c r="I73" s="39"/>
      <c r="J73" s="12"/>
      <c r="K73" s="3"/>
      <c r="L73" s="147"/>
    </row>
    <row r="74" spans="1:12" ht="18.75" customHeight="1" x14ac:dyDescent="0.55000000000000004">
      <c r="A74" s="180"/>
      <c r="B74" s="181">
        <v>1</v>
      </c>
      <c r="C74" s="181">
        <v>1</v>
      </c>
      <c r="D74" s="182"/>
      <c r="E74" s="179" t="s">
        <v>92</v>
      </c>
      <c r="F74" s="176"/>
      <c r="G74" s="176"/>
      <c r="H74" s="177"/>
      <c r="I74" s="81" t="s">
        <v>84</v>
      </c>
      <c r="J74" s="11" t="s">
        <v>11</v>
      </c>
      <c r="K74" s="46" t="s">
        <v>63</v>
      </c>
      <c r="L74" s="137"/>
    </row>
    <row r="75" spans="1:12" ht="18.75" customHeight="1" x14ac:dyDescent="0.55000000000000004">
      <c r="A75" s="28"/>
      <c r="B75" s="45"/>
      <c r="C75" s="49"/>
      <c r="D75" s="54"/>
      <c r="E75" s="42"/>
      <c r="F75" s="24"/>
      <c r="G75" s="24"/>
      <c r="H75" s="7"/>
      <c r="I75" s="81" t="s">
        <v>86</v>
      </c>
      <c r="J75" s="11" t="s">
        <v>11</v>
      </c>
      <c r="K75" s="46" t="s">
        <v>63</v>
      </c>
      <c r="L75" s="137"/>
    </row>
    <row r="76" spans="1:12" ht="18.75" customHeight="1" x14ac:dyDescent="0.55000000000000004">
      <c r="A76" s="28"/>
      <c r="B76" s="45"/>
      <c r="C76" s="49"/>
      <c r="D76" s="54"/>
      <c r="E76" s="42"/>
      <c r="F76" s="24"/>
      <c r="G76" s="24"/>
      <c r="H76" s="7"/>
      <c r="I76" s="81" t="s">
        <v>87</v>
      </c>
      <c r="J76" s="11" t="s">
        <v>11</v>
      </c>
      <c r="K76" s="46" t="s">
        <v>63</v>
      </c>
      <c r="L76" s="137"/>
    </row>
    <row r="77" spans="1:12" ht="18.75" customHeight="1" x14ac:dyDescent="0.55000000000000004">
      <c r="A77" s="28"/>
      <c r="B77" s="45"/>
      <c r="C77" s="49"/>
      <c r="D77" s="54"/>
      <c r="E77" s="42"/>
      <c r="F77" s="24"/>
      <c r="G77" s="24"/>
      <c r="H77" s="7"/>
      <c r="I77" s="81"/>
      <c r="J77" s="25"/>
      <c r="K77" s="40"/>
      <c r="L77" s="207"/>
    </row>
    <row r="78" spans="1:12" ht="18.75" customHeight="1" x14ac:dyDescent="0.55000000000000004">
      <c r="A78" s="180"/>
      <c r="B78" s="181">
        <v>1</v>
      </c>
      <c r="C78" s="181">
        <v>2</v>
      </c>
      <c r="D78" s="54"/>
      <c r="E78" s="63" t="s">
        <v>91</v>
      </c>
      <c r="F78" s="24"/>
      <c r="G78" s="24"/>
      <c r="H78" s="7"/>
      <c r="I78" s="47" t="s">
        <v>96</v>
      </c>
      <c r="J78" s="11" t="s">
        <v>12</v>
      </c>
      <c r="K78" s="40" t="s">
        <v>42</v>
      </c>
      <c r="L78" s="56">
        <f>L74</f>
        <v>0</v>
      </c>
    </row>
    <row r="79" spans="1:12" ht="18.75" customHeight="1" x14ac:dyDescent="0.55000000000000004">
      <c r="A79" s="180"/>
      <c r="B79" s="181"/>
      <c r="C79" s="181"/>
      <c r="D79" s="54"/>
      <c r="E79" s="63"/>
      <c r="F79" s="24"/>
      <c r="G79" s="24"/>
      <c r="H79" s="7"/>
      <c r="I79" s="47"/>
      <c r="J79" s="11"/>
      <c r="K79" s="40"/>
      <c r="L79" s="56"/>
    </row>
    <row r="80" spans="1:12" ht="18.75" customHeight="1" x14ac:dyDescent="0.55000000000000004">
      <c r="A80" s="180"/>
      <c r="B80" s="181">
        <v>2</v>
      </c>
      <c r="C80" s="181">
        <v>1</v>
      </c>
      <c r="D80" s="54"/>
      <c r="E80" s="63" t="s">
        <v>95</v>
      </c>
      <c r="F80" s="24"/>
      <c r="G80" s="24"/>
      <c r="H80" s="7"/>
      <c r="I80" s="15" t="s">
        <v>102</v>
      </c>
      <c r="J80" s="11" t="s">
        <v>12</v>
      </c>
      <c r="K80" s="46" t="s">
        <v>63</v>
      </c>
      <c r="L80" s="171"/>
    </row>
    <row r="81" spans="1:12" ht="18.75" customHeight="1" x14ac:dyDescent="0.55000000000000004">
      <c r="A81" s="180"/>
      <c r="B81" s="181"/>
      <c r="C81" s="181"/>
      <c r="D81" s="54"/>
      <c r="E81" s="42"/>
      <c r="F81" s="24"/>
      <c r="G81" s="24"/>
      <c r="H81" s="7"/>
      <c r="I81" s="47"/>
      <c r="J81" s="11"/>
      <c r="L81" s="146"/>
    </row>
    <row r="82" spans="1:12" ht="18.75" customHeight="1" x14ac:dyDescent="0.55000000000000004">
      <c r="A82" s="180"/>
      <c r="B82" s="181">
        <v>2</v>
      </c>
      <c r="C82" s="181">
        <v>2</v>
      </c>
      <c r="D82" s="54"/>
      <c r="E82" s="63" t="s">
        <v>94</v>
      </c>
      <c r="F82" s="24"/>
      <c r="G82" s="24"/>
      <c r="H82" s="7"/>
      <c r="I82" s="15" t="s">
        <v>102</v>
      </c>
      <c r="J82" s="11" t="s">
        <v>12</v>
      </c>
      <c r="K82" s="46" t="s">
        <v>63</v>
      </c>
      <c r="L82" s="171"/>
    </row>
    <row r="83" spans="1:12" ht="18.75" customHeight="1" x14ac:dyDescent="0.55000000000000004">
      <c r="A83" s="180"/>
      <c r="B83" s="181"/>
      <c r="C83" s="181"/>
      <c r="D83" s="54"/>
      <c r="E83" s="63"/>
      <c r="F83" s="24"/>
      <c r="G83" s="24"/>
      <c r="H83" s="7"/>
      <c r="I83" s="47"/>
      <c r="J83" s="11"/>
      <c r="K83" s="40"/>
      <c r="L83" s="56"/>
    </row>
    <row r="84" spans="1:12" ht="18.75" customHeight="1" x14ac:dyDescent="0.55000000000000004">
      <c r="A84" s="28"/>
      <c r="B84" s="45"/>
      <c r="C84" s="49"/>
      <c r="D84" s="54"/>
      <c r="E84" s="192" t="s">
        <v>103</v>
      </c>
      <c r="F84" s="193"/>
      <c r="G84" s="193"/>
      <c r="H84" s="194"/>
      <c r="I84" s="195"/>
      <c r="J84" s="196"/>
      <c r="K84" s="197"/>
      <c r="L84" s="198"/>
    </row>
    <row r="85" spans="1:12" s="24" customFormat="1" ht="18.75" customHeight="1" x14ac:dyDescent="0.55000000000000004">
      <c r="A85" s="180"/>
      <c r="B85" s="181">
        <v>2</v>
      </c>
      <c r="C85" s="181">
        <v>3</v>
      </c>
      <c r="D85" s="54"/>
      <c r="E85" s="205" t="s">
        <v>116</v>
      </c>
      <c r="F85" s="200"/>
      <c r="G85" s="200"/>
      <c r="H85" s="201"/>
      <c r="I85" s="202"/>
      <c r="J85" s="11" t="s">
        <v>11</v>
      </c>
      <c r="K85" s="46" t="s">
        <v>63</v>
      </c>
      <c r="L85" s="208"/>
    </row>
    <row r="86" spans="1:12" s="24" customFormat="1" ht="18.75" customHeight="1" x14ac:dyDescent="0.55000000000000004">
      <c r="A86" s="70"/>
      <c r="B86" s="49"/>
      <c r="C86" s="49"/>
      <c r="D86" s="54"/>
      <c r="E86" s="205"/>
      <c r="F86" s="200"/>
      <c r="G86" s="200"/>
      <c r="H86" s="201"/>
      <c r="I86" s="202"/>
      <c r="J86" s="203"/>
      <c r="K86" s="204"/>
      <c r="L86" s="208"/>
    </row>
    <row r="87" spans="1:12" s="24" customFormat="1" ht="18.75" customHeight="1" x14ac:dyDescent="0.55000000000000004">
      <c r="A87" s="70"/>
      <c r="B87" s="49"/>
      <c r="C87" s="49"/>
      <c r="D87" s="54"/>
      <c r="E87" s="199"/>
      <c r="F87" s="200"/>
      <c r="G87" s="200"/>
      <c r="H87" s="201"/>
      <c r="I87" s="202"/>
      <c r="J87" s="203"/>
      <c r="K87" s="204"/>
      <c r="L87" s="208"/>
    </row>
    <row r="88" spans="1:12" s="24" customFormat="1" ht="18.75" customHeight="1" x14ac:dyDescent="0.55000000000000004">
      <c r="A88" s="70"/>
      <c r="B88" s="49"/>
      <c r="C88" s="49"/>
      <c r="D88" s="54"/>
      <c r="E88" s="199"/>
      <c r="F88" s="200"/>
      <c r="G88" s="200"/>
      <c r="H88" s="201"/>
      <c r="I88" s="202"/>
      <c r="J88" s="203"/>
      <c r="K88" s="204"/>
      <c r="L88" s="208"/>
    </row>
    <row r="89" spans="1:12" ht="18.75" customHeight="1" x14ac:dyDescent="0.55000000000000004">
      <c r="A89" s="180"/>
      <c r="B89" s="181">
        <v>2</v>
      </c>
      <c r="C89" s="181">
        <v>4</v>
      </c>
      <c r="D89" s="54"/>
      <c r="E89" s="63" t="s">
        <v>105</v>
      </c>
      <c r="F89" s="24"/>
      <c r="G89" s="24"/>
      <c r="H89" s="7"/>
      <c r="I89" s="47"/>
      <c r="J89" s="11" t="s">
        <v>11</v>
      </c>
      <c r="K89" s="46" t="s">
        <v>63</v>
      </c>
      <c r="L89" s="171"/>
    </row>
    <row r="90" spans="1:12" ht="18.75" customHeight="1" x14ac:dyDescent="0.55000000000000004">
      <c r="A90" s="70"/>
      <c r="B90" s="49"/>
      <c r="C90" s="49"/>
      <c r="D90" s="54"/>
      <c r="E90" s="63"/>
      <c r="F90" s="24"/>
      <c r="G90" s="24"/>
      <c r="H90" s="7"/>
      <c r="I90" s="47"/>
      <c r="J90" s="11"/>
      <c r="L90" s="171"/>
    </row>
    <row r="91" spans="1:12" ht="18.75" customHeight="1" x14ac:dyDescent="0.55000000000000004">
      <c r="A91" s="70"/>
      <c r="B91" s="49"/>
      <c r="C91" s="49"/>
      <c r="D91" s="54"/>
      <c r="E91" s="63"/>
      <c r="F91" s="24"/>
      <c r="G91" s="24"/>
      <c r="H91" s="7"/>
      <c r="I91" s="47"/>
      <c r="J91" s="11"/>
      <c r="L91" s="171"/>
    </row>
    <row r="92" spans="1:12" ht="18.75" customHeight="1" x14ac:dyDescent="0.55000000000000004">
      <c r="A92" s="28"/>
      <c r="B92" s="45"/>
      <c r="C92" s="49"/>
      <c r="D92" s="54"/>
      <c r="E92" s="42"/>
      <c r="F92" s="24"/>
      <c r="G92" s="24"/>
      <c r="H92" s="7"/>
      <c r="I92" s="47"/>
      <c r="J92" s="11"/>
      <c r="L92" s="146"/>
    </row>
    <row r="93" spans="1:12" ht="18.75" customHeight="1" x14ac:dyDescent="0.55000000000000004">
      <c r="A93" s="180"/>
      <c r="B93" s="181">
        <v>2</v>
      </c>
      <c r="C93" s="181">
        <v>5</v>
      </c>
      <c r="D93" s="54"/>
      <c r="E93" s="63" t="s">
        <v>113</v>
      </c>
      <c r="F93" s="24"/>
      <c r="G93" s="24"/>
      <c r="H93" s="7"/>
      <c r="I93" s="47" t="s">
        <v>114</v>
      </c>
      <c r="J93" s="11" t="s">
        <v>12</v>
      </c>
      <c r="K93" s="40" t="s">
        <v>42</v>
      </c>
      <c r="L93" s="146"/>
    </row>
    <row r="94" spans="1:12" ht="18.75" customHeight="1" x14ac:dyDescent="0.55000000000000004">
      <c r="A94" s="28"/>
      <c r="B94" s="45"/>
      <c r="C94" s="49"/>
      <c r="D94" s="54"/>
      <c r="E94" s="42"/>
      <c r="F94" s="24"/>
      <c r="G94" s="24"/>
      <c r="H94" s="7"/>
      <c r="I94" s="47"/>
      <c r="J94" s="11"/>
      <c r="L94" s="146"/>
    </row>
    <row r="95" spans="1:12" ht="18.75" customHeight="1" x14ac:dyDescent="0.55000000000000004">
      <c r="A95" s="28"/>
      <c r="B95" s="45"/>
      <c r="C95" s="49"/>
      <c r="D95" s="54"/>
      <c r="E95" s="192" t="s">
        <v>104</v>
      </c>
      <c r="F95" s="193"/>
      <c r="G95" s="193"/>
      <c r="H95" s="194"/>
      <c r="I95" s="195"/>
      <c r="J95" s="196"/>
      <c r="K95" s="197"/>
      <c r="L95" s="198"/>
    </row>
    <row r="96" spans="1:12" s="24" customFormat="1" ht="18.75" customHeight="1" x14ac:dyDescent="0.55000000000000004">
      <c r="A96" s="180"/>
      <c r="B96" s="181">
        <v>2</v>
      </c>
      <c r="C96" s="181">
        <v>3</v>
      </c>
      <c r="D96" s="54"/>
      <c r="E96" s="205" t="s">
        <v>116</v>
      </c>
      <c r="F96" s="200"/>
      <c r="G96" s="200"/>
      <c r="H96" s="201"/>
      <c r="I96" s="202"/>
      <c r="J96" s="11" t="s">
        <v>11</v>
      </c>
      <c r="K96" s="46" t="s">
        <v>63</v>
      </c>
      <c r="L96" s="208"/>
    </row>
    <row r="97" spans="1:14" s="24" customFormat="1" ht="18.75" customHeight="1" x14ac:dyDescent="0.55000000000000004">
      <c r="A97" s="70"/>
      <c r="B97" s="49"/>
      <c r="C97" s="49"/>
      <c r="D97" s="54"/>
      <c r="E97" s="205"/>
      <c r="F97" s="200"/>
      <c r="G97" s="200"/>
      <c r="H97" s="201"/>
      <c r="I97" s="202"/>
      <c r="J97" s="203"/>
      <c r="K97" s="204"/>
      <c r="L97" s="208"/>
    </row>
    <row r="98" spans="1:14" s="24" customFormat="1" ht="18.75" customHeight="1" x14ac:dyDescent="0.55000000000000004">
      <c r="A98" s="70"/>
      <c r="B98" s="49"/>
      <c r="C98" s="49"/>
      <c r="D98" s="54"/>
      <c r="E98" s="199"/>
      <c r="F98" s="200"/>
      <c r="G98" s="200"/>
      <c r="H98" s="201"/>
      <c r="I98" s="202"/>
      <c r="J98" s="203"/>
      <c r="K98" s="204"/>
      <c r="L98" s="208"/>
    </row>
    <row r="99" spans="1:14" s="24" customFormat="1" ht="18.75" customHeight="1" x14ac:dyDescent="0.55000000000000004">
      <c r="A99" s="70"/>
      <c r="B99" s="49"/>
      <c r="C99" s="49"/>
      <c r="D99" s="54"/>
      <c r="E99" s="199"/>
      <c r="F99" s="200"/>
      <c r="G99" s="200"/>
      <c r="H99" s="201"/>
      <c r="I99" s="202"/>
      <c r="J99" s="203"/>
      <c r="K99" s="204"/>
      <c r="L99" s="208"/>
    </row>
    <row r="100" spans="1:14" ht="18.75" customHeight="1" x14ac:dyDescent="0.55000000000000004">
      <c r="A100" s="180"/>
      <c r="B100" s="181">
        <v>2</v>
      </c>
      <c r="C100" s="181">
        <v>4</v>
      </c>
      <c r="D100" s="54"/>
      <c r="E100" s="63" t="s">
        <v>106</v>
      </c>
      <c r="F100" s="24"/>
      <c r="G100" s="24"/>
      <c r="H100" s="7"/>
      <c r="I100" s="47"/>
      <c r="J100" s="11" t="s">
        <v>11</v>
      </c>
      <c r="K100" s="46" t="s">
        <v>63</v>
      </c>
      <c r="L100" s="171"/>
    </row>
    <row r="101" spans="1:14" ht="18.75" customHeight="1" x14ac:dyDescent="0.55000000000000004">
      <c r="A101" s="70"/>
      <c r="B101" s="49"/>
      <c r="C101" s="49"/>
      <c r="D101" s="54"/>
      <c r="E101" s="42"/>
      <c r="F101" s="24"/>
      <c r="G101" s="24"/>
      <c r="H101" s="7"/>
      <c r="I101" s="47"/>
      <c r="J101" s="11"/>
      <c r="L101" s="146"/>
    </row>
    <row r="102" spans="1:14" ht="18.75" customHeight="1" x14ac:dyDescent="0.55000000000000004">
      <c r="A102" s="70"/>
      <c r="B102" s="49"/>
      <c r="C102" s="49"/>
      <c r="D102" s="54"/>
      <c r="E102" s="42"/>
      <c r="F102" s="24"/>
      <c r="G102" s="24"/>
      <c r="H102" s="7"/>
      <c r="I102" s="47"/>
      <c r="J102" s="11"/>
      <c r="L102" s="146"/>
    </row>
    <row r="103" spans="1:14" ht="18.75" customHeight="1" x14ac:dyDescent="0.55000000000000004">
      <c r="A103" s="28"/>
      <c r="B103" s="45"/>
      <c r="C103" s="49"/>
      <c r="D103" s="54"/>
      <c r="E103" s="42"/>
      <c r="F103" s="24"/>
      <c r="G103" s="24"/>
      <c r="H103" s="7"/>
      <c r="I103" s="47"/>
      <c r="J103" s="11"/>
      <c r="L103" s="146"/>
    </row>
    <row r="104" spans="1:14" ht="18.75" customHeight="1" x14ac:dyDescent="0.55000000000000004">
      <c r="A104" s="180"/>
      <c r="B104" s="181">
        <v>2</v>
      </c>
      <c r="C104" s="181">
        <v>5</v>
      </c>
      <c r="D104" s="54"/>
      <c r="E104" s="63" t="s">
        <v>115</v>
      </c>
      <c r="F104" s="24"/>
      <c r="G104" s="24"/>
      <c r="H104" s="7"/>
      <c r="I104" s="47" t="s">
        <v>114</v>
      </c>
      <c r="J104" s="11" t="s">
        <v>12</v>
      </c>
      <c r="K104" s="40" t="s">
        <v>42</v>
      </c>
      <c r="L104" s="146"/>
    </row>
    <row r="105" spans="1:14" ht="18.75" customHeight="1" thickBot="1" x14ac:dyDescent="0.6">
      <c r="A105" s="29"/>
      <c r="B105" s="2"/>
      <c r="C105" s="41"/>
      <c r="D105" s="55"/>
      <c r="E105" s="20"/>
      <c r="F105" s="13"/>
      <c r="G105" s="13"/>
      <c r="H105" s="10"/>
      <c r="I105" s="39"/>
      <c r="J105" s="12"/>
      <c r="K105" s="3"/>
      <c r="L105" s="147"/>
    </row>
    <row r="106" spans="1:14" ht="18.75" customHeight="1" x14ac:dyDescent="0.55000000000000004">
      <c r="A106" s="71">
        <v>1</v>
      </c>
      <c r="B106" s="51">
        <v>0</v>
      </c>
      <c r="C106" s="51">
        <v>0</v>
      </c>
      <c r="D106" s="53"/>
      <c r="E106" s="60" t="s">
        <v>75</v>
      </c>
      <c r="F106" s="61"/>
      <c r="G106" s="61"/>
      <c r="H106" s="61"/>
      <c r="I106" s="52"/>
      <c r="J106" s="52"/>
      <c r="K106" s="52"/>
      <c r="L106" s="248"/>
    </row>
    <row r="107" spans="1:14" ht="18.75" customHeight="1" x14ac:dyDescent="0.55000000000000004">
      <c r="A107" s="180"/>
      <c r="B107" s="181"/>
      <c r="C107" s="181"/>
      <c r="D107" s="182"/>
      <c r="E107" s="179"/>
      <c r="F107" s="176"/>
      <c r="G107" s="176"/>
      <c r="H107" s="177"/>
      <c r="I107" s="47"/>
      <c r="J107" s="11"/>
      <c r="L107" s="146"/>
    </row>
    <row r="108" spans="1:14" ht="18.75" customHeight="1" x14ac:dyDescent="0.55000000000000004">
      <c r="A108" s="180"/>
      <c r="B108" s="181"/>
      <c r="C108" s="181"/>
      <c r="D108" s="182"/>
      <c r="E108" s="121"/>
      <c r="F108" s="121"/>
      <c r="G108" s="122"/>
      <c r="H108" s="122"/>
      <c r="I108" s="122"/>
      <c r="J108" s="123"/>
      <c r="K108" s="123"/>
      <c r="L108" s="149"/>
      <c r="M108" s="122"/>
      <c r="N108" s="24"/>
    </row>
    <row r="109" spans="1:14" ht="18.75" customHeight="1" x14ac:dyDescent="0.55000000000000004">
      <c r="A109" s="180"/>
      <c r="B109" s="181"/>
      <c r="C109" s="181"/>
      <c r="D109" s="182"/>
      <c r="E109" s="124"/>
      <c r="F109" s="175"/>
      <c r="G109" s="176"/>
      <c r="H109" s="177"/>
      <c r="I109" s="178"/>
      <c r="J109" s="172"/>
      <c r="K109" s="139"/>
      <c r="L109" s="138"/>
      <c r="M109" s="122"/>
      <c r="N109" s="24"/>
    </row>
    <row r="110" spans="1:14" ht="18.75" customHeight="1" x14ac:dyDescent="0.55000000000000004">
      <c r="A110" s="180"/>
      <c r="B110" s="181"/>
      <c r="C110" s="181"/>
      <c r="D110" s="182"/>
      <c r="E110" s="18"/>
      <c r="F110" s="176"/>
      <c r="G110" s="176"/>
      <c r="H110" s="177"/>
      <c r="I110" s="178"/>
      <c r="J110" s="172"/>
      <c r="K110" s="139"/>
      <c r="L110" s="171"/>
      <c r="M110" s="122"/>
      <c r="N110" s="24"/>
    </row>
    <row r="111" spans="1:14" ht="18.75" customHeight="1" x14ac:dyDescent="0.55000000000000004">
      <c r="A111" s="180"/>
      <c r="B111" s="181"/>
      <c r="C111" s="181"/>
      <c r="D111" s="182"/>
      <c r="E111" s="125"/>
      <c r="F111" s="175"/>
      <c r="G111" s="176"/>
      <c r="H111" s="177"/>
      <c r="I111" s="178"/>
      <c r="J111" s="172"/>
      <c r="K111" s="139"/>
      <c r="L111" s="173"/>
      <c r="M111" s="122"/>
      <c r="N111" s="24"/>
    </row>
    <row r="112" spans="1:14" ht="18.75" customHeight="1" x14ac:dyDescent="0.55000000000000004">
      <c r="A112" s="180"/>
      <c r="B112" s="181"/>
      <c r="C112" s="181"/>
      <c r="D112" s="182"/>
      <c r="E112" s="18"/>
      <c r="F112" s="176"/>
      <c r="G112" s="176"/>
      <c r="H112" s="177"/>
      <c r="I112" s="178"/>
      <c r="J112" s="172"/>
      <c r="K112" s="139"/>
      <c r="L112" s="171"/>
      <c r="M112" s="122"/>
      <c r="N112" s="24"/>
    </row>
    <row r="113" spans="1:14" ht="18.75" customHeight="1" x14ac:dyDescent="0.55000000000000004">
      <c r="A113" s="180"/>
      <c r="B113" s="181"/>
      <c r="C113" s="181"/>
      <c r="D113" s="182"/>
      <c r="E113" s="18"/>
      <c r="F113" s="176"/>
      <c r="G113" s="176"/>
      <c r="H113" s="177"/>
      <c r="I113" s="178"/>
      <c r="J113" s="172"/>
      <c r="K113" s="139"/>
      <c r="L113" s="171"/>
      <c r="M113" s="122"/>
      <c r="N113" s="24"/>
    </row>
    <row r="114" spans="1:14" ht="18.75" customHeight="1" x14ac:dyDescent="0.55000000000000004">
      <c r="A114" s="180"/>
      <c r="B114" s="181"/>
      <c r="C114" s="181"/>
      <c r="D114" s="182"/>
      <c r="E114" s="18"/>
      <c r="F114" s="176"/>
      <c r="G114" s="176"/>
      <c r="H114" s="177"/>
      <c r="I114" s="178"/>
      <c r="J114" s="172"/>
      <c r="K114" s="139"/>
      <c r="L114" s="174"/>
      <c r="M114" s="122"/>
      <c r="N114" s="24"/>
    </row>
    <row r="115" spans="1:14" ht="18.75" customHeight="1" x14ac:dyDescent="0.55000000000000004">
      <c r="A115" s="180"/>
      <c r="B115" s="181"/>
      <c r="C115" s="181"/>
      <c r="D115" s="182"/>
      <c r="E115" s="18"/>
      <c r="F115" s="175"/>
      <c r="G115" s="176"/>
      <c r="H115" s="177"/>
      <c r="I115" s="178"/>
      <c r="J115" s="172"/>
      <c r="K115" s="139"/>
      <c r="L115" s="137"/>
      <c r="M115" s="122"/>
      <c r="N115" s="24"/>
    </row>
    <row r="116" spans="1:14" ht="18.75" customHeight="1" x14ac:dyDescent="0.55000000000000004">
      <c r="A116" s="180"/>
      <c r="B116" s="181"/>
      <c r="C116" s="181"/>
      <c r="D116" s="182"/>
      <c r="E116" s="18"/>
      <c r="F116" s="176"/>
      <c r="G116" s="176"/>
      <c r="H116" s="177"/>
      <c r="I116" s="178"/>
      <c r="J116" s="172"/>
      <c r="K116" s="139"/>
      <c r="L116" s="174"/>
      <c r="M116" s="122"/>
      <c r="N116" s="24"/>
    </row>
    <row r="117" spans="1:14" ht="18.75" customHeight="1" x14ac:dyDescent="0.55000000000000004">
      <c r="A117" s="180"/>
      <c r="B117" s="181"/>
      <c r="C117" s="181"/>
      <c r="D117" s="182"/>
      <c r="E117" s="18"/>
      <c r="F117" s="176"/>
      <c r="G117" s="176"/>
      <c r="H117" s="177"/>
      <c r="I117" s="178"/>
      <c r="J117" s="172"/>
      <c r="K117" s="139"/>
      <c r="L117" s="174"/>
      <c r="M117" s="122"/>
      <c r="N117" s="24"/>
    </row>
    <row r="118" spans="1:14" ht="18.75" customHeight="1" x14ac:dyDescent="0.55000000000000004">
      <c r="A118" s="180"/>
      <c r="B118" s="181"/>
      <c r="C118" s="181"/>
      <c r="D118" s="182"/>
      <c r="E118" s="18"/>
      <c r="F118" s="176"/>
      <c r="G118" s="176"/>
      <c r="H118" s="177"/>
      <c r="I118" s="178"/>
      <c r="J118" s="172"/>
      <c r="K118" s="139"/>
      <c r="L118" s="174"/>
      <c r="M118" s="122"/>
      <c r="N118" s="24"/>
    </row>
    <row r="119" spans="1:14" ht="18.75" customHeight="1" x14ac:dyDescent="0.55000000000000004">
      <c r="A119" s="180"/>
      <c r="B119" s="181"/>
      <c r="C119" s="181"/>
      <c r="D119" s="182"/>
      <c r="E119" s="18"/>
      <c r="F119" s="24"/>
      <c r="G119" s="24"/>
      <c r="H119" s="7"/>
      <c r="I119" s="47"/>
      <c r="J119" s="11"/>
      <c r="L119" s="148"/>
      <c r="M119" s="122"/>
      <c r="N119" s="24"/>
    </row>
    <row r="120" spans="1:14" ht="18.75" customHeight="1" x14ac:dyDescent="0.55000000000000004">
      <c r="A120" s="180"/>
      <c r="B120" s="181"/>
      <c r="C120" s="181"/>
      <c r="D120" s="182"/>
      <c r="E120" s="18"/>
      <c r="F120" s="122"/>
      <c r="G120" s="126"/>
      <c r="H120" s="122"/>
      <c r="I120" s="122"/>
      <c r="J120" s="123"/>
      <c r="K120" s="123"/>
      <c r="L120" s="151"/>
      <c r="M120" s="122"/>
      <c r="N120" s="24"/>
    </row>
    <row r="121" spans="1:14" ht="18.75" customHeight="1" x14ac:dyDescent="0.55000000000000004">
      <c r="A121" s="180"/>
      <c r="B121" s="181"/>
      <c r="C121" s="181"/>
      <c r="D121" s="182"/>
      <c r="E121" s="128"/>
      <c r="F121" s="128"/>
      <c r="G121" s="129"/>
      <c r="H121" s="129"/>
      <c r="I121" s="129"/>
      <c r="J121" s="130"/>
      <c r="K121" s="130"/>
      <c r="L121" s="152"/>
      <c r="M121" s="129"/>
      <c r="N121" s="24"/>
    </row>
    <row r="122" spans="1:14" ht="18.75" customHeight="1" x14ac:dyDescent="0.55000000000000004">
      <c r="A122" s="180"/>
      <c r="B122" s="181"/>
      <c r="C122" s="181"/>
      <c r="D122" s="182"/>
      <c r="E122" s="127"/>
      <c r="F122" s="175"/>
      <c r="G122" s="176"/>
      <c r="H122" s="177"/>
      <c r="I122" s="178"/>
      <c r="J122" s="172"/>
      <c r="K122" s="139"/>
      <c r="L122" s="138"/>
      <c r="M122" s="129"/>
      <c r="N122" s="24"/>
    </row>
    <row r="123" spans="1:14" ht="18.75" customHeight="1" x14ac:dyDescent="0.55000000000000004">
      <c r="A123" s="180"/>
      <c r="B123" s="181"/>
      <c r="C123" s="181"/>
      <c r="D123" s="182"/>
      <c r="E123" s="19"/>
      <c r="F123" s="176"/>
      <c r="G123" s="176"/>
      <c r="H123" s="177"/>
      <c r="I123" s="178"/>
      <c r="J123" s="172"/>
      <c r="K123" s="139"/>
      <c r="L123" s="171"/>
      <c r="M123" s="129"/>
      <c r="N123" s="24"/>
    </row>
    <row r="124" spans="1:14" ht="18.75" customHeight="1" x14ac:dyDescent="0.55000000000000004">
      <c r="A124" s="180"/>
      <c r="B124" s="181"/>
      <c r="C124" s="181"/>
      <c r="D124" s="182"/>
      <c r="E124" s="131"/>
      <c r="F124" s="175"/>
      <c r="G124" s="176"/>
      <c r="H124" s="177"/>
      <c r="I124" s="178"/>
      <c r="J124" s="172"/>
      <c r="K124" s="139"/>
      <c r="L124" s="173"/>
      <c r="M124" s="129"/>
      <c r="N124" s="24"/>
    </row>
    <row r="125" spans="1:14" ht="18.75" customHeight="1" x14ac:dyDescent="0.55000000000000004">
      <c r="A125" s="180"/>
      <c r="B125" s="181"/>
      <c r="C125" s="181"/>
      <c r="D125" s="182"/>
      <c r="E125" s="19"/>
      <c r="F125" s="176"/>
      <c r="G125" s="176"/>
      <c r="H125" s="177"/>
      <c r="I125" s="178"/>
      <c r="J125" s="172"/>
      <c r="K125" s="139"/>
      <c r="L125" s="171"/>
      <c r="M125" s="129"/>
      <c r="N125" s="24"/>
    </row>
    <row r="126" spans="1:14" ht="18.75" customHeight="1" x14ac:dyDescent="0.55000000000000004">
      <c r="A126" s="180"/>
      <c r="B126" s="181"/>
      <c r="C126" s="181"/>
      <c r="D126" s="182"/>
      <c r="E126" s="19"/>
      <c r="F126" s="176"/>
      <c r="G126" s="176"/>
      <c r="H126" s="177"/>
      <c r="I126" s="178"/>
      <c r="J126" s="172"/>
      <c r="K126" s="139"/>
      <c r="L126" s="171"/>
      <c r="M126" s="129"/>
      <c r="N126" s="24"/>
    </row>
    <row r="127" spans="1:14" ht="18.75" customHeight="1" x14ac:dyDescent="0.55000000000000004">
      <c r="A127" s="180"/>
      <c r="B127" s="181"/>
      <c r="C127" s="181"/>
      <c r="D127" s="182"/>
      <c r="E127" s="19"/>
      <c r="F127" s="176"/>
      <c r="G127" s="176"/>
      <c r="H127" s="177"/>
      <c r="I127" s="178"/>
      <c r="J127" s="172"/>
      <c r="K127" s="139"/>
      <c r="L127" s="174"/>
      <c r="M127" s="129"/>
      <c r="N127" s="24"/>
    </row>
    <row r="128" spans="1:14" ht="18.75" customHeight="1" x14ac:dyDescent="0.55000000000000004">
      <c r="A128" s="180"/>
      <c r="B128" s="181"/>
      <c r="C128" s="181"/>
      <c r="D128" s="182"/>
      <c r="E128" s="19"/>
      <c r="F128" s="175"/>
      <c r="G128" s="176"/>
      <c r="H128" s="177"/>
      <c r="I128" s="178"/>
      <c r="J128" s="172"/>
      <c r="K128" s="139"/>
      <c r="L128" s="137"/>
      <c r="M128" s="129"/>
      <c r="N128" s="24"/>
    </row>
    <row r="129" spans="1:14" ht="18.75" customHeight="1" x14ac:dyDescent="0.55000000000000004">
      <c r="A129" s="180"/>
      <c r="B129" s="181"/>
      <c r="C129" s="181"/>
      <c r="D129" s="182"/>
      <c r="E129" s="19"/>
      <c r="F129" s="176"/>
      <c r="G129" s="176"/>
      <c r="H129" s="177"/>
      <c r="I129" s="178"/>
      <c r="J129" s="172"/>
      <c r="K129" s="139"/>
      <c r="L129" s="174"/>
      <c r="M129" s="129"/>
      <c r="N129" s="24"/>
    </row>
    <row r="130" spans="1:14" ht="18.75" customHeight="1" x14ac:dyDescent="0.55000000000000004">
      <c r="A130" s="180"/>
      <c r="B130" s="181"/>
      <c r="C130" s="181"/>
      <c r="D130" s="182"/>
      <c r="E130" s="19"/>
      <c r="F130" s="176"/>
      <c r="G130" s="176"/>
      <c r="H130" s="177"/>
      <c r="I130" s="178"/>
      <c r="J130" s="172"/>
      <c r="K130" s="139"/>
      <c r="L130" s="174"/>
      <c r="M130" s="129"/>
      <c r="N130" s="24"/>
    </row>
    <row r="131" spans="1:14" ht="18.75" customHeight="1" x14ac:dyDescent="0.55000000000000004">
      <c r="A131" s="180"/>
      <c r="B131" s="181"/>
      <c r="C131" s="181"/>
      <c r="D131" s="182"/>
      <c r="E131" s="19"/>
      <c r="F131" s="176"/>
      <c r="G131" s="176"/>
      <c r="H131" s="177"/>
      <c r="I131" s="178"/>
      <c r="J131" s="172"/>
      <c r="K131" s="139"/>
      <c r="L131" s="174"/>
      <c r="M131" s="129"/>
      <c r="N131" s="24"/>
    </row>
    <row r="132" spans="1:14" ht="18.75" customHeight="1" x14ac:dyDescent="0.55000000000000004">
      <c r="A132" s="180"/>
      <c r="B132" s="181"/>
      <c r="C132" s="181"/>
      <c r="D132" s="182"/>
      <c r="E132" s="19"/>
      <c r="F132" s="24"/>
      <c r="G132" s="24"/>
      <c r="H132" s="7"/>
      <c r="I132" s="47"/>
      <c r="J132" s="11"/>
      <c r="L132" s="148"/>
      <c r="M132" s="129"/>
      <c r="N132" s="24"/>
    </row>
    <row r="133" spans="1:14" ht="18.75" customHeight="1" x14ac:dyDescent="0.55000000000000004">
      <c r="A133" s="180"/>
      <c r="B133" s="181"/>
      <c r="C133" s="181"/>
      <c r="D133" s="182"/>
      <c r="E133" s="19"/>
      <c r="F133" s="129"/>
      <c r="G133" s="132"/>
      <c r="H133" s="129"/>
      <c r="I133" s="129"/>
      <c r="J133" s="130"/>
      <c r="K133" s="130"/>
      <c r="L133" s="153"/>
      <c r="M133" s="129"/>
      <c r="N133" s="24"/>
    </row>
    <row r="134" spans="1:14" ht="18.75" customHeight="1" x14ac:dyDescent="0.55000000000000004">
      <c r="A134" s="180"/>
      <c r="B134" s="181"/>
      <c r="C134" s="181"/>
      <c r="D134" s="182"/>
      <c r="E134" s="121"/>
      <c r="F134" s="121"/>
      <c r="G134" s="122"/>
      <c r="H134" s="122"/>
      <c r="I134" s="122"/>
      <c r="J134" s="123"/>
      <c r="K134" s="123"/>
      <c r="L134" s="149"/>
      <c r="M134" s="122"/>
      <c r="N134" s="24"/>
    </row>
    <row r="135" spans="1:14" ht="18.75" customHeight="1" x14ac:dyDescent="0.55000000000000004">
      <c r="A135" s="180"/>
      <c r="B135" s="181"/>
      <c r="C135" s="181"/>
      <c r="D135" s="182"/>
      <c r="E135" s="124"/>
      <c r="F135" s="175"/>
      <c r="G135" s="176"/>
      <c r="H135" s="177"/>
      <c r="I135" s="178"/>
      <c r="J135" s="172"/>
      <c r="K135" s="139"/>
      <c r="L135" s="138"/>
      <c r="M135" s="122"/>
      <c r="N135" s="24"/>
    </row>
    <row r="136" spans="1:14" ht="18.75" customHeight="1" x14ac:dyDescent="0.55000000000000004">
      <c r="A136" s="180"/>
      <c r="B136" s="181"/>
      <c r="C136" s="181"/>
      <c r="D136" s="182"/>
      <c r="E136" s="18"/>
      <c r="F136" s="176"/>
      <c r="G136" s="176"/>
      <c r="H136" s="177"/>
      <c r="I136" s="178"/>
      <c r="J136" s="172"/>
      <c r="K136" s="139"/>
      <c r="L136" s="171"/>
      <c r="M136" s="122"/>
      <c r="N136" s="24"/>
    </row>
    <row r="137" spans="1:14" ht="18.75" customHeight="1" x14ac:dyDescent="0.55000000000000004">
      <c r="A137" s="180"/>
      <c r="B137" s="181"/>
      <c r="C137" s="181"/>
      <c r="D137" s="182"/>
      <c r="E137" s="125"/>
      <c r="F137" s="175"/>
      <c r="G137" s="176"/>
      <c r="H137" s="177"/>
      <c r="I137" s="178"/>
      <c r="J137" s="172"/>
      <c r="K137" s="139"/>
      <c r="L137" s="173"/>
      <c r="M137" s="122"/>
      <c r="N137" s="24"/>
    </row>
    <row r="138" spans="1:14" ht="18.75" customHeight="1" x14ac:dyDescent="0.55000000000000004">
      <c r="A138" s="180"/>
      <c r="B138" s="181"/>
      <c r="C138" s="181"/>
      <c r="D138" s="182"/>
      <c r="E138" s="18"/>
      <c r="F138" s="176"/>
      <c r="G138" s="176"/>
      <c r="H138" s="177"/>
      <c r="I138" s="178"/>
      <c r="J138" s="172"/>
      <c r="K138" s="139"/>
      <c r="L138" s="171"/>
      <c r="M138" s="122"/>
      <c r="N138" s="24"/>
    </row>
    <row r="139" spans="1:14" ht="18.75" customHeight="1" x14ac:dyDescent="0.55000000000000004">
      <c r="A139" s="180"/>
      <c r="B139" s="181"/>
      <c r="C139" s="181"/>
      <c r="D139" s="182"/>
      <c r="E139" s="18"/>
      <c r="F139" s="176"/>
      <c r="G139" s="176"/>
      <c r="H139" s="177"/>
      <c r="I139" s="178"/>
      <c r="J139" s="172"/>
      <c r="K139" s="139"/>
      <c r="L139" s="171"/>
      <c r="M139" s="122"/>
      <c r="N139" s="24"/>
    </row>
    <row r="140" spans="1:14" ht="18.75" customHeight="1" x14ac:dyDescent="0.55000000000000004">
      <c r="A140" s="180"/>
      <c r="B140" s="181"/>
      <c r="C140" s="181"/>
      <c r="D140" s="182"/>
      <c r="E140" s="18"/>
      <c r="F140" s="176"/>
      <c r="G140" s="176"/>
      <c r="H140" s="177"/>
      <c r="I140" s="178"/>
      <c r="J140" s="172"/>
      <c r="K140" s="139"/>
      <c r="L140" s="174"/>
      <c r="M140" s="122"/>
      <c r="N140" s="24"/>
    </row>
    <row r="141" spans="1:14" ht="18.75" customHeight="1" x14ac:dyDescent="0.55000000000000004">
      <c r="A141" s="180"/>
      <c r="B141" s="181"/>
      <c r="C141" s="181"/>
      <c r="D141" s="182"/>
      <c r="E141" s="18"/>
      <c r="F141" s="175"/>
      <c r="G141" s="176"/>
      <c r="H141" s="177"/>
      <c r="I141" s="178"/>
      <c r="J141" s="172"/>
      <c r="K141" s="139"/>
      <c r="L141" s="137"/>
      <c r="M141" s="122"/>
      <c r="N141" s="24"/>
    </row>
    <row r="142" spans="1:14" ht="18.75" customHeight="1" x14ac:dyDescent="0.55000000000000004">
      <c r="A142" s="180"/>
      <c r="B142" s="181"/>
      <c r="C142" s="181"/>
      <c r="D142" s="182"/>
      <c r="E142" s="18"/>
      <c r="F142" s="176"/>
      <c r="G142" s="176"/>
      <c r="H142" s="177"/>
      <c r="I142" s="178"/>
      <c r="J142" s="172"/>
      <c r="K142" s="139"/>
      <c r="L142" s="174"/>
      <c r="M142" s="122"/>
      <c r="N142" s="24"/>
    </row>
    <row r="143" spans="1:14" ht="18.75" customHeight="1" x14ac:dyDescent="0.55000000000000004">
      <c r="A143" s="180"/>
      <c r="B143" s="181"/>
      <c r="C143" s="181"/>
      <c r="D143" s="182"/>
      <c r="E143" s="18"/>
      <c r="F143" s="176"/>
      <c r="G143" s="176"/>
      <c r="H143" s="177"/>
      <c r="I143" s="178"/>
      <c r="J143" s="172"/>
      <c r="K143" s="139"/>
      <c r="L143" s="174"/>
      <c r="M143" s="122"/>
      <c r="N143" s="24"/>
    </row>
    <row r="144" spans="1:14" ht="18.75" customHeight="1" x14ac:dyDescent="0.55000000000000004">
      <c r="A144" s="180"/>
      <c r="B144" s="181"/>
      <c r="C144" s="181"/>
      <c r="D144" s="182"/>
      <c r="E144" s="18"/>
      <c r="F144" s="176"/>
      <c r="G144" s="176"/>
      <c r="H144" s="177"/>
      <c r="I144" s="178"/>
      <c r="J144" s="172"/>
      <c r="K144" s="139"/>
      <c r="L144" s="174"/>
      <c r="M144" s="122"/>
      <c r="N144" s="24"/>
    </row>
    <row r="145" spans="1:15" s="14" customFormat="1" x14ac:dyDescent="0.55000000000000004">
      <c r="A145" s="180"/>
      <c r="B145" s="181"/>
      <c r="C145" s="181"/>
      <c r="D145" s="182"/>
      <c r="E145" s="18"/>
      <c r="F145" s="24"/>
      <c r="G145" s="24"/>
      <c r="H145" s="7"/>
      <c r="I145" s="47"/>
      <c r="J145" s="11"/>
      <c r="K145" s="46"/>
      <c r="L145" s="148"/>
      <c r="M145" s="122"/>
      <c r="N145" s="24"/>
      <c r="O145" s="48"/>
    </row>
    <row r="146" spans="1:15" s="14" customFormat="1" ht="14" thickBot="1" x14ac:dyDescent="0.6">
      <c r="A146" s="180"/>
      <c r="B146" s="181"/>
      <c r="C146" s="181"/>
      <c r="D146" s="182"/>
      <c r="E146" s="18"/>
      <c r="F146" s="122"/>
      <c r="G146" s="126"/>
      <c r="H146" s="122"/>
      <c r="I146" s="122"/>
      <c r="J146" s="123"/>
      <c r="K146" s="123"/>
      <c r="L146" s="151"/>
      <c r="M146" s="122"/>
      <c r="N146" s="24"/>
      <c r="O146" s="48"/>
    </row>
    <row r="147" spans="1:15" s="14" customFormat="1" x14ac:dyDescent="0.55000000000000004">
      <c r="A147" s="71">
        <v>1</v>
      </c>
      <c r="B147" s="51">
        <v>0</v>
      </c>
      <c r="C147" s="51">
        <v>0</v>
      </c>
      <c r="D147" s="53"/>
      <c r="E147" s="60" t="s">
        <v>80</v>
      </c>
      <c r="F147" s="61"/>
      <c r="G147" s="61"/>
      <c r="H147" s="61"/>
      <c r="I147" s="52"/>
      <c r="J147" s="52"/>
      <c r="K147" s="52"/>
      <c r="L147" s="248"/>
      <c r="M147" s="48"/>
      <c r="N147" s="48"/>
      <c r="O147" s="48"/>
    </row>
    <row r="148" spans="1:15" s="14" customFormat="1" x14ac:dyDescent="0.55000000000000004">
      <c r="A148" s="180"/>
      <c r="B148" s="181"/>
      <c r="C148" s="181"/>
      <c r="D148" s="182"/>
      <c r="E148" s="190"/>
      <c r="F148" s="176"/>
      <c r="G148" s="176"/>
      <c r="H148" s="177"/>
      <c r="I148" s="47"/>
      <c r="J148" s="11"/>
      <c r="K148" s="46"/>
      <c r="L148" s="155"/>
      <c r="M148" s="48"/>
      <c r="N148" s="48"/>
      <c r="O148" s="48"/>
    </row>
    <row r="149" spans="1:15" s="14" customFormat="1" x14ac:dyDescent="0.55000000000000004">
      <c r="A149" s="180"/>
      <c r="B149" s="181"/>
      <c r="C149" s="181"/>
      <c r="D149" s="182"/>
      <c r="E149" s="186" t="s">
        <v>81</v>
      </c>
      <c r="F149" s="97"/>
      <c r="G149" s="97"/>
      <c r="H149" s="93"/>
      <c r="I149" s="8"/>
      <c r="J149" s="94"/>
      <c r="K149" s="95"/>
      <c r="L149" s="156"/>
      <c r="M149" s="97"/>
      <c r="N149" s="48"/>
      <c r="O149" s="48"/>
    </row>
    <row r="150" spans="1:15" s="14" customFormat="1" x14ac:dyDescent="0.55000000000000004">
      <c r="A150" s="180"/>
      <c r="B150" s="181"/>
      <c r="C150" s="181"/>
      <c r="D150" s="182"/>
      <c r="E150" s="92"/>
      <c r="F150" s="175"/>
      <c r="G150" s="176"/>
      <c r="H150" s="177"/>
      <c r="I150" s="178"/>
      <c r="J150" s="172"/>
      <c r="K150" s="139"/>
      <c r="L150" s="138"/>
      <c r="M150" s="97"/>
      <c r="N150" s="48"/>
      <c r="O150" s="48"/>
    </row>
    <row r="151" spans="1:15" s="14" customFormat="1" x14ac:dyDescent="0.55000000000000004">
      <c r="A151" s="180"/>
      <c r="B151" s="181"/>
      <c r="C151" s="181"/>
      <c r="D151" s="182"/>
      <c r="E151" s="92"/>
      <c r="F151" s="175"/>
      <c r="G151" s="176"/>
      <c r="H151" s="177"/>
      <c r="I151" s="178"/>
      <c r="J151" s="172"/>
      <c r="K151" s="139"/>
      <c r="L151" s="138"/>
      <c r="M151" s="97"/>
      <c r="N151" s="48"/>
      <c r="O151" s="48"/>
    </row>
    <row r="152" spans="1:15" s="14" customFormat="1" x14ac:dyDescent="0.55000000000000004">
      <c r="A152" s="180"/>
      <c r="B152" s="181"/>
      <c r="C152" s="181"/>
      <c r="D152" s="182"/>
      <c r="E152" s="92"/>
      <c r="F152" s="175"/>
      <c r="G152" s="176"/>
      <c r="H152" s="177"/>
      <c r="I152" s="178"/>
      <c r="J152" s="172"/>
      <c r="K152" s="139"/>
      <c r="L152" s="138"/>
      <c r="M152" s="97"/>
      <c r="N152" s="48"/>
      <c r="O152" s="48"/>
    </row>
    <row r="153" spans="1:15" s="14" customFormat="1" x14ac:dyDescent="0.55000000000000004">
      <c r="A153" s="180"/>
      <c r="B153" s="181"/>
      <c r="C153" s="181"/>
      <c r="D153" s="182"/>
      <c r="E153" s="92"/>
      <c r="F153" s="175"/>
      <c r="G153" s="176"/>
      <c r="H153" s="177"/>
      <c r="I153" s="178"/>
      <c r="J153" s="172"/>
      <c r="K153" s="139"/>
      <c r="L153" s="138"/>
      <c r="M153" s="97"/>
      <c r="N153" s="48"/>
      <c r="O153" s="48"/>
    </row>
    <row r="154" spans="1:15" s="14" customFormat="1" x14ac:dyDescent="0.55000000000000004">
      <c r="A154" s="180"/>
      <c r="B154" s="181"/>
      <c r="C154" s="181"/>
      <c r="D154" s="182"/>
      <c r="E154" s="92"/>
      <c r="F154" s="175"/>
      <c r="G154" s="176"/>
      <c r="H154" s="177"/>
      <c r="I154" s="178"/>
      <c r="J154" s="172"/>
      <c r="K154" s="139"/>
      <c r="L154" s="138"/>
      <c r="M154" s="97"/>
      <c r="N154" s="48"/>
      <c r="O154" s="48"/>
    </row>
    <row r="155" spans="1:15" s="14" customFormat="1" x14ac:dyDescent="0.55000000000000004">
      <c r="A155" s="180"/>
      <c r="B155" s="181"/>
      <c r="C155" s="181"/>
      <c r="D155" s="182"/>
      <c r="E155" s="92"/>
      <c r="F155" s="175"/>
      <c r="G155" s="176"/>
      <c r="H155" s="177"/>
      <c r="I155" s="178"/>
      <c r="J155" s="172"/>
      <c r="K155" s="139"/>
      <c r="L155" s="138"/>
      <c r="M155" s="97"/>
      <c r="N155" s="48"/>
      <c r="O155" s="48"/>
    </row>
    <row r="156" spans="1:15" s="14" customFormat="1" x14ac:dyDescent="0.55000000000000004">
      <c r="A156" s="180"/>
      <c r="B156" s="181"/>
      <c r="C156" s="181"/>
      <c r="D156" s="182"/>
      <c r="E156" s="92"/>
      <c r="F156" s="175"/>
      <c r="G156" s="176"/>
      <c r="H156" s="177"/>
      <c r="I156" s="178"/>
      <c r="J156" s="172"/>
      <c r="K156" s="139"/>
      <c r="L156" s="138"/>
      <c r="M156" s="97"/>
      <c r="N156" s="48"/>
      <c r="O156" s="48"/>
    </row>
    <row r="157" spans="1:15" s="14" customFormat="1" x14ac:dyDescent="0.55000000000000004">
      <c r="A157" s="180"/>
      <c r="B157" s="181"/>
      <c r="C157" s="181"/>
      <c r="D157" s="182"/>
      <c r="E157" s="92"/>
      <c r="F157" s="175"/>
      <c r="G157" s="176"/>
      <c r="H157" s="177"/>
      <c r="I157" s="178"/>
      <c r="J157" s="172"/>
      <c r="K157" s="139"/>
      <c r="L157" s="138"/>
      <c r="M157" s="97"/>
      <c r="N157" s="48"/>
      <c r="O157" s="48"/>
    </row>
    <row r="158" spans="1:15" s="14" customFormat="1" x14ac:dyDescent="0.55000000000000004">
      <c r="A158" s="180"/>
      <c r="B158" s="181"/>
      <c r="C158" s="181"/>
      <c r="D158" s="182"/>
      <c r="E158" s="97"/>
      <c r="F158" s="176"/>
      <c r="G158" s="176"/>
      <c r="H158" s="177"/>
      <c r="I158" s="178"/>
      <c r="J158" s="172"/>
      <c r="K158" s="139"/>
      <c r="L158" s="171"/>
      <c r="M158" s="97"/>
      <c r="N158" s="48"/>
      <c r="O158" s="48"/>
    </row>
    <row r="159" spans="1:15" s="14" customFormat="1" x14ac:dyDescent="0.55000000000000004">
      <c r="A159" s="180"/>
      <c r="B159" s="181"/>
      <c r="C159" s="181"/>
      <c r="D159" s="182"/>
      <c r="E159" s="97"/>
      <c r="F159" s="175"/>
      <c r="G159" s="176"/>
      <c r="H159" s="177"/>
      <c r="I159" s="178"/>
      <c r="J159" s="172"/>
      <c r="K159" s="139"/>
      <c r="L159" s="137"/>
      <c r="M159" s="97"/>
      <c r="N159" s="48"/>
      <c r="O159" s="48"/>
    </row>
    <row r="160" spans="1:15" s="14" customFormat="1" x14ac:dyDescent="0.55000000000000004">
      <c r="A160" s="180"/>
      <c r="B160" s="181"/>
      <c r="C160" s="181"/>
      <c r="D160" s="182"/>
      <c r="E160" s="97"/>
      <c r="F160" s="24"/>
      <c r="G160" s="24"/>
      <c r="H160" s="7"/>
      <c r="I160" s="47"/>
      <c r="J160" s="11"/>
      <c r="K160" s="46"/>
      <c r="L160" s="155"/>
      <c r="M160" s="97"/>
      <c r="N160" s="48"/>
      <c r="O160" s="48"/>
    </row>
    <row r="161" spans="1:15" s="14" customFormat="1" x14ac:dyDescent="0.55000000000000004">
      <c r="A161" s="187"/>
      <c r="B161" s="188"/>
      <c r="C161" s="188"/>
      <c r="D161" s="189"/>
      <c r="E161" s="98"/>
      <c r="F161" s="98"/>
      <c r="G161" s="98"/>
      <c r="H161" s="133"/>
      <c r="I161" s="134"/>
      <c r="J161" s="135"/>
      <c r="K161" s="136"/>
      <c r="L161" s="157"/>
      <c r="M161" s="97"/>
      <c r="N161" s="48"/>
      <c r="O161" s="48"/>
    </row>
    <row r="162" spans="1:15" s="44" customFormat="1" x14ac:dyDescent="0.55000000000000004">
      <c r="A162" s="40"/>
      <c r="B162" s="40"/>
      <c r="C162" s="40"/>
      <c r="D162" s="40"/>
      <c r="E162" s="24"/>
      <c r="F162" s="24"/>
      <c r="G162" s="24"/>
      <c r="H162" s="24"/>
      <c r="I162" s="24"/>
      <c r="J162" s="40"/>
      <c r="K162" s="40"/>
      <c r="L162" s="158"/>
      <c r="M162" s="14"/>
      <c r="N162" s="14"/>
      <c r="O162" s="14"/>
    </row>
    <row r="163" spans="1:15" s="44" customFormat="1" ht="15.5" thickBot="1" x14ac:dyDescent="0.4">
      <c r="A163" s="64" t="s">
        <v>43</v>
      </c>
      <c r="B163" s="65"/>
      <c r="C163" s="65"/>
      <c r="D163" s="66"/>
      <c r="E163" s="67"/>
      <c r="F163" s="67"/>
      <c r="G163" s="67"/>
      <c r="H163" s="67"/>
      <c r="I163" s="67"/>
      <c r="J163" s="68"/>
      <c r="K163" s="68"/>
      <c r="L163" s="159"/>
      <c r="M163" s="14"/>
      <c r="N163" s="14"/>
      <c r="O163" s="14"/>
    </row>
    <row r="164" spans="1:15" s="44" customFormat="1" ht="66.75" customHeight="1" thickBot="1" x14ac:dyDescent="0.6">
      <c r="A164" s="311"/>
      <c r="B164" s="312"/>
      <c r="C164" s="312"/>
      <c r="D164" s="312"/>
      <c r="E164" s="312"/>
      <c r="F164" s="312"/>
      <c r="G164" s="312"/>
      <c r="H164" s="312"/>
      <c r="I164" s="312"/>
      <c r="J164" s="312"/>
      <c r="K164" s="312"/>
      <c r="L164" s="313"/>
      <c r="M164" s="14"/>
      <c r="N164" s="14"/>
      <c r="O164" s="14"/>
    </row>
    <row r="165" spans="1:15" s="44" customFormat="1" x14ac:dyDescent="0.55000000000000004">
      <c r="A165" s="40"/>
      <c r="B165" s="40"/>
      <c r="C165" s="40"/>
      <c r="D165" s="40"/>
      <c r="E165" s="24"/>
      <c r="F165" s="24"/>
      <c r="G165" s="24"/>
      <c r="H165" s="24"/>
      <c r="I165" s="24"/>
      <c r="J165" s="40"/>
      <c r="K165" s="40"/>
      <c r="L165" s="158"/>
      <c r="M165" s="14"/>
      <c r="N165" s="14"/>
      <c r="O165" s="14"/>
    </row>
    <row r="166" spans="1:15" s="44" customFormat="1" x14ac:dyDescent="0.55000000000000004">
      <c r="A166" s="40"/>
      <c r="B166" s="40"/>
      <c r="C166" s="40"/>
      <c r="D166" s="40"/>
      <c r="E166" s="24"/>
      <c r="F166" s="24"/>
      <c r="G166" s="24"/>
      <c r="H166" s="24"/>
      <c r="I166" s="24"/>
      <c r="J166" s="40"/>
      <c r="K166" s="40"/>
      <c r="L166" s="158"/>
      <c r="M166" s="14"/>
      <c r="N166" s="14"/>
      <c r="O166" s="14"/>
    </row>
    <row r="167" spans="1:15" s="44" customFormat="1" x14ac:dyDescent="0.55000000000000004">
      <c r="A167" s="40"/>
      <c r="B167" s="40"/>
      <c r="C167" s="40"/>
      <c r="D167" s="40"/>
      <c r="E167" s="24"/>
      <c r="F167" s="24"/>
      <c r="G167" s="24"/>
      <c r="H167" s="24"/>
      <c r="I167" s="24"/>
      <c r="J167" s="40"/>
      <c r="K167" s="40"/>
      <c r="L167" s="158"/>
      <c r="M167" s="14"/>
      <c r="N167" s="14"/>
      <c r="O167" s="14"/>
    </row>
    <row r="168" spans="1:15" s="14" customFormat="1" x14ac:dyDescent="0.55000000000000004">
      <c r="A168" s="40"/>
      <c r="B168" s="40"/>
      <c r="C168" s="40"/>
      <c r="D168" s="40"/>
      <c r="E168" s="24"/>
      <c r="F168" s="24"/>
      <c r="G168" s="24"/>
      <c r="H168" s="24"/>
      <c r="I168" s="24"/>
      <c r="J168" s="40"/>
      <c r="K168" s="40"/>
      <c r="L168" s="158"/>
    </row>
    <row r="169" spans="1:15" s="14" customFormat="1" x14ac:dyDescent="0.55000000000000004">
      <c r="A169" s="40"/>
      <c r="B169" s="40"/>
      <c r="C169" s="40"/>
      <c r="D169" s="40"/>
      <c r="E169" s="24"/>
      <c r="F169" s="24"/>
      <c r="G169" s="24"/>
      <c r="H169" s="24"/>
      <c r="I169" s="24"/>
      <c r="J169" s="40"/>
      <c r="K169" s="40"/>
      <c r="L169" s="158"/>
    </row>
    <row r="170" spans="1:15" s="14" customFormat="1" x14ac:dyDescent="0.55000000000000004">
      <c r="A170" s="40"/>
      <c r="B170" s="40"/>
      <c r="C170" s="40"/>
      <c r="D170" s="40"/>
      <c r="E170" s="24"/>
      <c r="F170" s="24"/>
      <c r="G170" s="24"/>
      <c r="H170" s="24"/>
      <c r="I170" s="24"/>
      <c r="J170" s="40"/>
      <c r="K170" s="40"/>
      <c r="L170" s="158"/>
    </row>
    <row r="171" spans="1:15" s="14" customFormat="1" x14ac:dyDescent="0.55000000000000004">
      <c r="A171" s="40"/>
      <c r="B171" s="40"/>
      <c r="C171" s="40"/>
      <c r="D171" s="40"/>
      <c r="E171" s="24"/>
      <c r="F171" s="24"/>
      <c r="G171" s="24"/>
      <c r="H171" s="24"/>
      <c r="I171" s="24"/>
      <c r="J171" s="40"/>
      <c r="K171" s="40"/>
      <c r="L171" s="158"/>
    </row>
    <row r="172" spans="1:15" s="44" customFormat="1" x14ac:dyDescent="0.55000000000000004">
      <c r="A172" s="40"/>
      <c r="B172" s="40"/>
      <c r="C172" s="40"/>
      <c r="D172" s="40"/>
      <c r="E172" s="24"/>
      <c r="F172" s="24"/>
      <c r="G172" s="24"/>
      <c r="H172" s="24"/>
      <c r="I172" s="24"/>
      <c r="J172" s="40"/>
      <c r="K172" s="40"/>
      <c r="L172" s="158"/>
      <c r="M172" s="14"/>
      <c r="N172" s="14"/>
      <c r="O172" s="14"/>
    </row>
    <row r="173" spans="1:15" s="14" customFormat="1" x14ac:dyDescent="0.55000000000000004">
      <c r="A173" s="40"/>
      <c r="B173" s="40"/>
      <c r="C173" s="40"/>
      <c r="D173" s="40"/>
      <c r="E173" s="24"/>
      <c r="F173" s="24"/>
      <c r="G173" s="24"/>
      <c r="H173" s="24"/>
      <c r="I173" s="24"/>
      <c r="J173" s="40"/>
      <c r="K173" s="40"/>
      <c r="L173" s="158"/>
    </row>
    <row r="174" spans="1:15" s="14" customFormat="1" x14ac:dyDescent="0.55000000000000004">
      <c r="A174" s="40"/>
      <c r="B174" s="40"/>
      <c r="C174" s="40"/>
      <c r="D174" s="40"/>
      <c r="E174" s="24"/>
      <c r="F174" s="24"/>
      <c r="G174" s="24"/>
      <c r="H174" s="24"/>
      <c r="I174" s="24"/>
      <c r="J174" s="40"/>
      <c r="K174" s="40"/>
      <c r="L174" s="158"/>
    </row>
    <row r="175" spans="1:15" s="14" customFormat="1" x14ac:dyDescent="0.55000000000000004">
      <c r="A175" s="40"/>
      <c r="B175" s="40"/>
      <c r="C175" s="40"/>
      <c r="D175" s="40"/>
      <c r="E175" s="24"/>
      <c r="F175" s="24"/>
      <c r="G175" s="24"/>
      <c r="H175" s="24"/>
      <c r="I175" s="24"/>
      <c r="J175" s="40"/>
      <c r="K175" s="40"/>
      <c r="L175" s="158"/>
    </row>
    <row r="176" spans="1:15" s="14" customFormat="1" x14ac:dyDescent="0.55000000000000004">
      <c r="A176" s="40"/>
      <c r="B176" s="40"/>
      <c r="C176" s="40"/>
      <c r="D176" s="40"/>
      <c r="E176" s="24"/>
      <c r="F176" s="24"/>
      <c r="G176" s="24"/>
      <c r="H176" s="24"/>
      <c r="I176" s="24"/>
      <c r="J176" s="40"/>
      <c r="K176" s="40"/>
      <c r="L176" s="33"/>
    </row>
    <row r="177" spans="1:15" s="14" customFormat="1" x14ac:dyDescent="0.55000000000000004">
      <c r="A177" s="40"/>
      <c r="B177" s="40"/>
      <c r="C177" s="40"/>
      <c r="D177" s="40"/>
      <c r="E177" s="24"/>
      <c r="F177" s="24"/>
      <c r="G177" s="24"/>
      <c r="H177" s="24"/>
      <c r="I177" s="24"/>
      <c r="J177" s="40"/>
      <c r="K177" s="40"/>
      <c r="L177" s="33"/>
    </row>
    <row r="178" spans="1:15" s="14" customFormat="1" x14ac:dyDescent="0.55000000000000004">
      <c r="A178" s="40"/>
      <c r="B178" s="40"/>
      <c r="C178" s="40"/>
      <c r="D178" s="40"/>
      <c r="E178" s="24"/>
      <c r="F178" s="24"/>
      <c r="G178" s="24"/>
      <c r="H178" s="24"/>
      <c r="I178" s="24"/>
      <c r="J178" s="40"/>
      <c r="K178" s="40"/>
      <c r="L178" s="160"/>
    </row>
    <row r="179" spans="1:15" s="14" customFormat="1" x14ac:dyDescent="0.55000000000000004">
      <c r="A179" s="40"/>
      <c r="B179" s="40"/>
      <c r="C179" s="40"/>
      <c r="D179" s="40"/>
      <c r="E179" s="24"/>
      <c r="F179" s="24"/>
      <c r="G179" s="24"/>
      <c r="H179" s="24"/>
      <c r="I179" s="24"/>
      <c r="J179" s="40"/>
      <c r="K179" s="40"/>
      <c r="L179" s="161"/>
    </row>
    <row r="180" spans="1:15" s="14" customFormat="1" x14ac:dyDescent="0.55000000000000004">
      <c r="A180" s="40"/>
      <c r="B180" s="40"/>
      <c r="C180" s="40"/>
      <c r="D180" s="40"/>
      <c r="E180" s="24"/>
      <c r="F180" s="24"/>
      <c r="G180" s="24"/>
      <c r="H180" s="24"/>
      <c r="I180" s="24"/>
      <c r="J180" s="40"/>
      <c r="K180" s="40"/>
      <c r="L180" s="161"/>
    </row>
    <row r="181" spans="1:15" s="14" customFormat="1" x14ac:dyDescent="0.55000000000000004">
      <c r="A181" s="40"/>
      <c r="B181" s="40"/>
      <c r="C181" s="40"/>
      <c r="D181" s="40"/>
      <c r="E181" s="24"/>
      <c r="F181" s="24"/>
      <c r="G181" s="24"/>
      <c r="H181" s="24"/>
      <c r="I181" s="24"/>
      <c r="J181" s="40"/>
      <c r="K181" s="40"/>
      <c r="L181" s="161"/>
    </row>
    <row r="182" spans="1:15" s="14" customFormat="1" x14ac:dyDescent="0.55000000000000004">
      <c r="A182" s="40"/>
      <c r="B182" s="40"/>
      <c r="C182" s="40"/>
      <c r="D182" s="40"/>
      <c r="E182" s="24"/>
      <c r="F182" s="24"/>
      <c r="G182" s="24"/>
      <c r="H182" s="24"/>
      <c r="I182" s="31"/>
      <c r="J182" s="40"/>
      <c r="K182" s="40"/>
      <c r="L182" s="161"/>
    </row>
    <row r="183" spans="1:15" s="14" customFormat="1" x14ac:dyDescent="0.55000000000000004">
      <c r="A183" s="40"/>
      <c r="B183" s="40"/>
      <c r="C183" s="40"/>
      <c r="D183" s="40"/>
      <c r="E183" s="24"/>
      <c r="F183" s="24"/>
      <c r="G183" s="24"/>
      <c r="H183" s="24"/>
      <c r="I183" s="31"/>
      <c r="J183" s="40"/>
      <c r="K183" s="40"/>
      <c r="L183" s="161"/>
    </row>
    <row r="184" spans="1:15" s="14" customFormat="1" x14ac:dyDescent="0.55000000000000004">
      <c r="A184" s="40"/>
      <c r="B184" s="40"/>
      <c r="C184" s="40"/>
      <c r="D184" s="40"/>
      <c r="E184" s="24"/>
      <c r="F184" s="24"/>
      <c r="G184" s="24"/>
      <c r="H184" s="24"/>
      <c r="I184" s="24"/>
      <c r="J184" s="40"/>
      <c r="K184" s="40"/>
      <c r="L184" s="161"/>
    </row>
    <row r="185" spans="1:15" s="14" customFormat="1" x14ac:dyDescent="0.55000000000000004">
      <c r="A185" s="46"/>
      <c r="B185" s="46"/>
      <c r="C185" s="40"/>
      <c r="D185" s="40"/>
      <c r="E185" s="24"/>
      <c r="F185" s="24"/>
      <c r="G185" s="24"/>
      <c r="H185" s="24"/>
      <c r="I185" s="31"/>
      <c r="J185" s="46"/>
      <c r="K185" s="46"/>
      <c r="L185" s="162"/>
      <c r="M185" s="44"/>
      <c r="N185" s="44"/>
      <c r="O185" s="44"/>
    </row>
    <row r="186" spans="1:15" s="14" customFormat="1" x14ac:dyDescent="0.55000000000000004">
      <c r="A186" s="46"/>
      <c r="B186" s="46"/>
      <c r="C186" s="40"/>
      <c r="D186" s="40"/>
      <c r="E186" s="24"/>
      <c r="F186" s="24"/>
      <c r="G186" s="24"/>
      <c r="H186" s="24"/>
      <c r="I186" s="48"/>
      <c r="J186" s="46"/>
      <c r="K186" s="46"/>
      <c r="L186" s="163"/>
      <c r="M186" s="44"/>
      <c r="N186" s="44"/>
      <c r="O186" s="44"/>
    </row>
    <row r="187" spans="1:15" s="14" customFormat="1" x14ac:dyDescent="0.55000000000000004">
      <c r="A187" s="46"/>
      <c r="B187" s="46"/>
      <c r="C187" s="40"/>
      <c r="D187" s="40"/>
      <c r="E187" s="24"/>
      <c r="F187" s="24"/>
      <c r="G187" s="24"/>
      <c r="H187" s="24"/>
      <c r="I187" s="48"/>
      <c r="J187" s="46"/>
      <c r="K187" s="46"/>
      <c r="L187" s="164"/>
      <c r="M187" s="44"/>
      <c r="N187" s="44"/>
      <c r="O187" s="44"/>
    </row>
    <row r="188" spans="1:15" s="14" customFormat="1" x14ac:dyDescent="0.55000000000000004">
      <c r="A188" s="46"/>
      <c r="B188" s="46"/>
      <c r="C188" s="40"/>
      <c r="D188" s="40"/>
      <c r="E188" s="24"/>
      <c r="F188" s="24"/>
      <c r="G188" s="24"/>
      <c r="H188" s="24"/>
      <c r="I188" s="48"/>
      <c r="J188" s="46"/>
      <c r="K188" s="46"/>
      <c r="L188" s="163"/>
      <c r="M188" s="44"/>
      <c r="N188" s="44"/>
      <c r="O188" s="44"/>
    </row>
    <row r="189" spans="1:15" s="14" customFormat="1" x14ac:dyDescent="0.55000000000000004">
      <c r="A189" s="46"/>
      <c r="B189" s="46"/>
      <c r="C189" s="40"/>
      <c r="D189" s="40"/>
      <c r="E189" s="24"/>
      <c r="F189" s="24"/>
      <c r="G189" s="24"/>
      <c r="H189" s="24"/>
      <c r="I189" s="48"/>
      <c r="J189" s="46"/>
      <c r="K189" s="46"/>
      <c r="L189" s="165"/>
      <c r="M189" s="44"/>
      <c r="N189" s="44"/>
      <c r="O189" s="44"/>
    </row>
    <row r="190" spans="1:15" s="14" customFormat="1" x14ac:dyDescent="0.55000000000000004">
      <c r="A190" s="46"/>
      <c r="B190" s="46"/>
      <c r="C190" s="40"/>
      <c r="D190" s="40"/>
      <c r="E190" s="24"/>
      <c r="F190" s="24"/>
      <c r="G190" s="24"/>
      <c r="H190" s="24"/>
      <c r="I190" s="48"/>
      <c r="J190" s="46"/>
      <c r="K190" s="46"/>
      <c r="L190" s="166"/>
      <c r="M190" s="44"/>
      <c r="N190" s="44"/>
      <c r="O190" s="44"/>
    </row>
    <row r="191" spans="1:15" s="14" customFormat="1" x14ac:dyDescent="0.55000000000000004">
      <c r="A191" s="46"/>
      <c r="B191" s="46"/>
      <c r="C191" s="40"/>
      <c r="D191" s="40"/>
      <c r="E191" s="24"/>
      <c r="F191" s="24"/>
      <c r="G191" s="24"/>
      <c r="H191" s="24"/>
      <c r="I191" s="48"/>
      <c r="J191" s="46"/>
      <c r="K191" s="46"/>
      <c r="L191" s="164"/>
      <c r="M191" s="44"/>
      <c r="N191" s="44"/>
      <c r="O191" s="44"/>
    </row>
    <row r="192" spans="1:15" s="14" customFormat="1" x14ac:dyDescent="0.55000000000000004">
      <c r="A192" s="40"/>
      <c r="B192" s="40"/>
      <c r="C192" s="40"/>
      <c r="D192" s="40"/>
      <c r="E192" s="24"/>
      <c r="F192" s="24"/>
      <c r="G192" s="24"/>
      <c r="H192" s="24"/>
      <c r="I192" s="24"/>
      <c r="J192" s="40"/>
      <c r="K192" s="40"/>
      <c r="L192" s="33"/>
    </row>
    <row r="193" spans="1:15" s="14" customFormat="1" x14ac:dyDescent="0.55000000000000004">
      <c r="A193" s="40"/>
      <c r="B193" s="40"/>
      <c r="C193" s="40"/>
      <c r="D193" s="40"/>
      <c r="E193" s="24"/>
      <c r="F193" s="24"/>
      <c r="G193" s="24"/>
      <c r="H193" s="24"/>
      <c r="I193" s="24"/>
      <c r="J193" s="46"/>
      <c r="K193" s="46"/>
      <c r="L193" s="161"/>
    </row>
    <row r="194" spans="1:15" s="14" customFormat="1" x14ac:dyDescent="0.55000000000000004">
      <c r="A194" s="40"/>
      <c r="B194" s="40"/>
      <c r="C194" s="40"/>
      <c r="D194" s="40"/>
      <c r="E194" s="24"/>
      <c r="F194" s="24"/>
      <c r="G194" s="24"/>
      <c r="H194" s="24"/>
      <c r="I194" s="24"/>
      <c r="J194" s="40"/>
      <c r="K194" s="46"/>
      <c r="L194" s="167"/>
    </row>
    <row r="195" spans="1:15" s="14" customFormat="1" x14ac:dyDescent="0.55000000000000004">
      <c r="A195" s="40"/>
      <c r="B195" s="40"/>
      <c r="C195" s="40"/>
      <c r="D195" s="40"/>
      <c r="E195" s="24"/>
      <c r="F195" s="24"/>
      <c r="G195" s="24"/>
      <c r="H195" s="24"/>
      <c r="I195" s="24"/>
      <c r="J195" s="40"/>
      <c r="K195" s="46"/>
      <c r="L195" s="167"/>
    </row>
    <row r="196" spans="1:15" s="14" customFormat="1" x14ac:dyDescent="0.55000000000000004">
      <c r="A196" s="46"/>
      <c r="B196" s="46"/>
      <c r="C196" s="46"/>
      <c r="D196" s="46"/>
      <c r="E196" s="24"/>
      <c r="F196" s="24"/>
      <c r="G196" s="24"/>
      <c r="H196" s="24"/>
      <c r="I196" s="48"/>
      <c r="J196" s="46"/>
      <c r="K196" s="46"/>
      <c r="L196" s="162"/>
      <c r="M196" s="44"/>
      <c r="N196" s="44"/>
      <c r="O196" s="44"/>
    </row>
    <row r="197" spans="1:15" s="14" customFormat="1" x14ac:dyDescent="0.55000000000000004">
      <c r="A197" s="40"/>
      <c r="B197" s="40"/>
      <c r="C197" s="40"/>
      <c r="D197" s="40"/>
      <c r="E197" s="24"/>
      <c r="F197" s="24"/>
      <c r="G197" s="24"/>
      <c r="H197" s="24"/>
      <c r="I197" s="24"/>
      <c r="J197" s="40"/>
      <c r="K197" s="46"/>
      <c r="L197" s="167"/>
    </row>
    <row r="198" spans="1:15" s="44" customFormat="1" x14ac:dyDescent="0.55000000000000004">
      <c r="A198" s="40"/>
      <c r="B198" s="40"/>
      <c r="C198" s="40"/>
      <c r="D198" s="40"/>
      <c r="E198" s="31"/>
      <c r="F198" s="31"/>
      <c r="G198" s="31"/>
      <c r="H198" s="31"/>
      <c r="I198" s="24"/>
      <c r="J198" s="40"/>
      <c r="K198" s="40"/>
      <c r="L198" s="167"/>
      <c r="M198" s="14"/>
      <c r="N198" s="14"/>
      <c r="O198" s="14"/>
    </row>
    <row r="199" spans="1:15" s="14" customFormat="1" x14ac:dyDescent="0.55000000000000004">
      <c r="A199" s="40"/>
      <c r="B199" s="40"/>
      <c r="C199" s="40"/>
      <c r="D199" s="40"/>
      <c r="E199" s="24"/>
      <c r="F199" s="24"/>
      <c r="G199" s="24"/>
      <c r="H199" s="24"/>
      <c r="I199" s="24"/>
      <c r="J199" s="40"/>
      <c r="K199" s="40"/>
      <c r="L199" s="33"/>
    </row>
    <row r="200" spans="1:15" s="14" customFormat="1" x14ac:dyDescent="0.55000000000000004">
      <c r="A200" s="40"/>
      <c r="B200" s="40"/>
      <c r="C200" s="40"/>
      <c r="D200" s="40"/>
      <c r="E200" s="24"/>
      <c r="F200" s="24"/>
      <c r="G200" s="24"/>
      <c r="H200" s="24"/>
      <c r="I200" s="24"/>
      <c r="J200" s="40"/>
      <c r="K200" s="40"/>
      <c r="L200" s="33"/>
    </row>
    <row r="201" spans="1:15" s="14" customFormat="1" x14ac:dyDescent="0.55000000000000004">
      <c r="A201" s="40"/>
      <c r="B201" s="40"/>
      <c r="C201" s="40"/>
      <c r="D201" s="40"/>
      <c r="E201" s="24"/>
      <c r="F201" s="24"/>
      <c r="G201" s="24"/>
      <c r="H201" s="24"/>
      <c r="I201" s="24"/>
      <c r="J201" s="40"/>
      <c r="K201" s="40"/>
      <c r="L201" s="33"/>
    </row>
    <row r="202" spans="1:15" s="14" customFormat="1" x14ac:dyDescent="0.55000000000000004">
      <c r="A202" s="40"/>
      <c r="B202" s="40"/>
      <c r="C202" s="40"/>
      <c r="D202" s="40"/>
      <c r="E202" s="24"/>
      <c r="F202" s="24"/>
      <c r="G202" s="24"/>
      <c r="H202" s="24"/>
      <c r="I202" s="24"/>
      <c r="J202" s="40"/>
      <c r="K202" s="40"/>
      <c r="L202" s="33"/>
    </row>
    <row r="203" spans="1:15" s="14" customFormat="1" x14ac:dyDescent="0.55000000000000004">
      <c r="A203" s="40"/>
      <c r="B203" s="40"/>
      <c r="C203" s="40"/>
      <c r="D203" s="40"/>
      <c r="E203" s="24"/>
      <c r="F203" s="24"/>
      <c r="G203" s="24"/>
      <c r="H203" s="24"/>
      <c r="I203" s="32"/>
      <c r="J203" s="40"/>
      <c r="K203" s="40"/>
      <c r="L203" s="161"/>
    </row>
    <row r="204" spans="1:15" s="14" customFormat="1" x14ac:dyDescent="0.55000000000000004">
      <c r="A204" s="40"/>
      <c r="B204" s="40"/>
      <c r="C204" s="40"/>
      <c r="D204" s="40"/>
      <c r="E204" s="24"/>
      <c r="F204" s="24"/>
      <c r="G204" s="24"/>
      <c r="H204" s="24"/>
      <c r="I204" s="31"/>
      <c r="J204" s="40"/>
      <c r="K204" s="40"/>
      <c r="L204" s="161"/>
    </row>
    <row r="205" spans="1:15" s="14" customFormat="1" x14ac:dyDescent="0.55000000000000004">
      <c r="A205" s="40"/>
      <c r="B205" s="40"/>
      <c r="C205" s="40"/>
      <c r="D205" s="40"/>
      <c r="E205" s="24"/>
      <c r="F205" s="24"/>
      <c r="G205" s="24"/>
      <c r="H205" s="24"/>
      <c r="I205" s="31"/>
      <c r="J205" s="40"/>
      <c r="K205" s="40"/>
      <c r="L205" s="161"/>
    </row>
    <row r="206" spans="1:15" s="14" customFormat="1" x14ac:dyDescent="0.55000000000000004">
      <c r="A206" s="40"/>
      <c r="B206" s="40"/>
      <c r="C206" s="40"/>
      <c r="D206" s="40"/>
      <c r="E206" s="24"/>
      <c r="F206" s="24"/>
      <c r="G206" s="24"/>
      <c r="H206" s="24"/>
      <c r="I206" s="24"/>
      <c r="J206" s="40"/>
      <c r="K206" s="40"/>
      <c r="L206" s="167"/>
    </row>
    <row r="207" spans="1:15" s="14" customFormat="1" x14ac:dyDescent="0.55000000000000004">
      <c r="A207" s="40"/>
      <c r="B207" s="40"/>
      <c r="C207" s="40"/>
      <c r="D207" s="40"/>
      <c r="E207" s="31"/>
      <c r="F207" s="31"/>
      <c r="G207" s="31"/>
      <c r="H207" s="31"/>
      <c r="I207" s="24"/>
      <c r="J207" s="40"/>
      <c r="K207" s="40"/>
      <c r="L207" s="167"/>
    </row>
    <row r="208" spans="1:15" s="14" customFormat="1" x14ac:dyDescent="0.55000000000000004">
      <c r="A208" s="40"/>
      <c r="B208" s="40"/>
      <c r="C208" s="40"/>
      <c r="D208" s="40"/>
      <c r="E208" s="24"/>
      <c r="F208" s="24"/>
      <c r="G208" s="24"/>
      <c r="H208" s="24"/>
      <c r="I208" s="24"/>
      <c r="J208" s="40"/>
      <c r="K208" s="40"/>
      <c r="L208" s="33"/>
    </row>
    <row r="209" spans="1:15" s="14" customFormat="1" x14ac:dyDescent="0.55000000000000004">
      <c r="A209" s="40"/>
      <c r="B209" s="40"/>
      <c r="C209" s="40"/>
      <c r="D209" s="40"/>
      <c r="E209" s="24"/>
      <c r="F209" s="24"/>
      <c r="G209" s="24"/>
      <c r="H209" s="24"/>
      <c r="I209" s="24"/>
      <c r="J209" s="40"/>
      <c r="K209" s="40"/>
      <c r="L209" s="33"/>
    </row>
    <row r="210" spans="1:15" s="14" customFormat="1" x14ac:dyDescent="0.55000000000000004">
      <c r="A210" s="40"/>
      <c r="B210" s="40"/>
      <c r="C210" s="40"/>
      <c r="D210" s="40"/>
      <c r="E210" s="24"/>
      <c r="F210" s="24"/>
      <c r="G210" s="24"/>
      <c r="H210" s="24"/>
      <c r="I210" s="31"/>
      <c r="J210" s="40"/>
      <c r="K210" s="40"/>
      <c r="L210" s="161"/>
    </row>
    <row r="211" spans="1:15" s="14" customFormat="1" x14ac:dyDescent="0.55000000000000004">
      <c r="A211" s="40"/>
      <c r="B211" s="40"/>
      <c r="C211" s="40"/>
      <c r="D211" s="40"/>
      <c r="E211" s="24"/>
      <c r="F211" s="24"/>
      <c r="G211" s="24"/>
      <c r="H211" s="24"/>
      <c r="I211" s="31"/>
      <c r="J211" s="40"/>
      <c r="K211" s="40"/>
      <c r="L211" s="161"/>
    </row>
    <row r="212" spans="1:15" s="14" customFormat="1" x14ac:dyDescent="0.55000000000000004">
      <c r="A212" s="40"/>
      <c r="B212" s="40"/>
      <c r="C212" s="40"/>
      <c r="D212" s="40"/>
      <c r="E212" s="24"/>
      <c r="F212" s="24"/>
      <c r="G212" s="24"/>
      <c r="H212" s="24"/>
      <c r="I212" s="24"/>
      <c r="J212" s="40"/>
      <c r="K212" s="40"/>
      <c r="L212" s="167"/>
    </row>
    <row r="213" spans="1:15" s="14" customFormat="1" x14ac:dyDescent="0.55000000000000004">
      <c r="A213" s="40"/>
      <c r="B213" s="40"/>
      <c r="C213" s="40"/>
      <c r="D213" s="40"/>
      <c r="E213" s="31"/>
      <c r="F213" s="31"/>
      <c r="G213" s="31"/>
      <c r="H213" s="31"/>
      <c r="I213" s="24"/>
      <c r="J213" s="40"/>
      <c r="K213" s="40"/>
      <c r="L213" s="167"/>
    </row>
    <row r="214" spans="1:15" s="14" customFormat="1" x14ac:dyDescent="0.55000000000000004">
      <c r="A214" s="40"/>
      <c r="B214" s="40"/>
      <c r="C214" s="40"/>
      <c r="D214" s="40"/>
      <c r="E214" s="24"/>
      <c r="F214" s="24"/>
      <c r="G214" s="24"/>
      <c r="H214" s="24"/>
      <c r="I214" s="24"/>
      <c r="J214" s="40"/>
      <c r="K214" s="40"/>
      <c r="L214" s="33"/>
    </row>
    <row r="215" spans="1:15" s="14" customFormat="1" x14ac:dyDescent="0.55000000000000004">
      <c r="A215" s="40"/>
      <c r="B215" s="40"/>
      <c r="C215" s="40"/>
      <c r="D215" s="40"/>
      <c r="E215" s="24"/>
      <c r="F215" s="24"/>
      <c r="G215" s="24"/>
      <c r="H215" s="24"/>
      <c r="I215" s="24"/>
      <c r="J215" s="40"/>
      <c r="K215" s="40"/>
      <c r="L215" s="33"/>
    </row>
    <row r="216" spans="1:15" s="14" customFormat="1" x14ac:dyDescent="0.55000000000000004">
      <c r="A216" s="40"/>
      <c r="B216" s="40"/>
      <c r="C216" s="40"/>
      <c r="D216" s="40"/>
      <c r="E216" s="24"/>
      <c r="F216" s="24"/>
      <c r="G216" s="24"/>
      <c r="H216" s="24"/>
      <c r="I216" s="31"/>
      <c r="J216" s="40"/>
      <c r="K216" s="40"/>
      <c r="L216" s="161"/>
    </row>
    <row r="217" spans="1:15" s="14" customFormat="1" x14ac:dyDescent="0.55000000000000004">
      <c r="A217" s="40"/>
      <c r="B217" s="40"/>
      <c r="C217" s="40"/>
      <c r="D217" s="40"/>
      <c r="E217" s="24"/>
      <c r="F217" s="24"/>
      <c r="G217" s="24"/>
      <c r="H217" s="24"/>
      <c r="I217" s="31"/>
      <c r="J217" s="40"/>
      <c r="K217" s="40"/>
      <c r="L217" s="161"/>
    </row>
    <row r="218" spans="1:15" s="14" customFormat="1" x14ac:dyDescent="0.55000000000000004">
      <c r="A218" s="40"/>
      <c r="B218" s="40"/>
      <c r="C218" s="40"/>
      <c r="D218" s="40"/>
      <c r="E218" s="24"/>
      <c r="F218" s="24"/>
      <c r="G218" s="24"/>
      <c r="H218" s="24"/>
      <c r="I218" s="24"/>
      <c r="J218" s="40"/>
      <c r="K218" s="40"/>
      <c r="L218" s="167"/>
    </row>
    <row r="219" spans="1:15" s="14" customFormat="1" x14ac:dyDescent="0.55000000000000004">
      <c r="A219" s="40"/>
      <c r="B219" s="40"/>
      <c r="C219" s="40"/>
      <c r="D219" s="40"/>
      <c r="E219" s="31"/>
      <c r="F219" s="31"/>
      <c r="G219" s="31"/>
      <c r="H219" s="31"/>
      <c r="I219" s="24"/>
      <c r="J219" s="40"/>
      <c r="K219" s="40"/>
      <c r="L219" s="167"/>
    </row>
    <row r="220" spans="1:15" s="14" customFormat="1" x14ac:dyDescent="0.55000000000000004">
      <c r="A220" s="40"/>
      <c r="B220" s="40"/>
      <c r="C220" s="40"/>
      <c r="D220" s="40"/>
      <c r="E220" s="24"/>
      <c r="F220" s="24"/>
      <c r="G220" s="24"/>
      <c r="H220" s="24"/>
      <c r="I220" s="24"/>
      <c r="J220" s="40"/>
      <c r="K220" s="40"/>
      <c r="L220" s="33"/>
    </row>
    <row r="221" spans="1:15" s="14" customFormat="1" x14ac:dyDescent="0.55000000000000004">
      <c r="A221" s="40"/>
      <c r="B221" s="40"/>
      <c r="C221" s="40"/>
      <c r="D221" s="40"/>
      <c r="E221" s="24"/>
      <c r="F221" s="24"/>
      <c r="G221" s="24"/>
      <c r="H221" s="24"/>
      <c r="I221" s="24"/>
      <c r="J221" s="40"/>
      <c r="K221" s="40"/>
      <c r="L221" s="33"/>
    </row>
    <row r="222" spans="1:15" s="14" customFormat="1" x14ac:dyDescent="0.55000000000000004">
      <c r="A222" s="46"/>
      <c r="B222" s="46"/>
      <c r="C222" s="46"/>
      <c r="D222" s="46"/>
      <c r="E222" s="24"/>
      <c r="F222" s="24"/>
      <c r="G222" s="24"/>
      <c r="H222" s="24"/>
      <c r="I222" s="48"/>
      <c r="J222" s="46"/>
      <c r="K222" s="46"/>
      <c r="L222" s="163"/>
      <c r="M222" s="44"/>
      <c r="N222" s="44"/>
      <c r="O222" s="44"/>
    </row>
    <row r="223" spans="1:15" s="14" customFormat="1" x14ac:dyDescent="0.55000000000000004">
      <c r="A223" s="40"/>
      <c r="B223" s="40"/>
      <c r="C223" s="40"/>
      <c r="D223" s="40"/>
      <c r="E223" s="24"/>
      <c r="F223" s="24"/>
      <c r="G223" s="24"/>
      <c r="H223" s="24"/>
      <c r="I223" s="31"/>
      <c r="J223" s="46"/>
      <c r="K223" s="40"/>
      <c r="L223" s="33"/>
    </row>
    <row r="224" spans="1:15" s="14" customFormat="1" x14ac:dyDescent="0.55000000000000004">
      <c r="A224" s="40"/>
      <c r="B224" s="40"/>
      <c r="C224" s="40"/>
      <c r="D224" s="40"/>
      <c r="E224" s="24"/>
      <c r="F224" s="24"/>
      <c r="G224" s="24"/>
      <c r="H224" s="24"/>
      <c r="I224" s="24"/>
      <c r="J224" s="40"/>
      <c r="K224" s="40"/>
      <c r="L224" s="160"/>
    </row>
    <row r="225" spans="1:12" s="14" customFormat="1" x14ac:dyDescent="0.55000000000000004">
      <c r="A225" s="40"/>
      <c r="B225" s="40"/>
      <c r="C225" s="40"/>
      <c r="D225" s="40"/>
      <c r="E225" s="24"/>
      <c r="F225" s="24"/>
      <c r="G225" s="24"/>
      <c r="H225" s="24"/>
      <c r="I225" s="48"/>
      <c r="J225" s="46"/>
      <c r="K225" s="46"/>
      <c r="L225" s="164"/>
    </row>
    <row r="226" spans="1:12" s="14" customFormat="1" x14ac:dyDescent="0.55000000000000004">
      <c r="A226" s="40"/>
      <c r="B226" s="40"/>
      <c r="C226" s="40"/>
      <c r="D226" s="40"/>
      <c r="E226" s="24"/>
      <c r="F226" s="24"/>
      <c r="G226" s="24"/>
      <c r="H226" s="24"/>
      <c r="I226" s="48"/>
      <c r="J226" s="46"/>
      <c r="K226" s="46"/>
      <c r="L226" s="165"/>
    </row>
    <row r="227" spans="1:12" s="14" customFormat="1" x14ac:dyDescent="0.55000000000000004">
      <c r="A227" s="40"/>
      <c r="B227" s="40"/>
      <c r="C227" s="40"/>
      <c r="D227" s="40"/>
      <c r="E227" s="24"/>
      <c r="F227" s="24"/>
      <c r="G227" s="24"/>
      <c r="H227" s="24"/>
      <c r="I227" s="48"/>
      <c r="J227" s="46"/>
      <c r="K227" s="46"/>
      <c r="L227" s="165"/>
    </row>
    <row r="228" spans="1:12" s="14" customFormat="1" x14ac:dyDescent="0.55000000000000004">
      <c r="A228" s="40"/>
      <c r="B228" s="40"/>
      <c r="C228" s="40"/>
      <c r="D228" s="40"/>
      <c r="E228" s="24"/>
      <c r="F228" s="24"/>
      <c r="G228" s="24"/>
      <c r="H228" s="24"/>
      <c r="I228" s="48"/>
      <c r="J228" s="46"/>
      <c r="K228" s="46"/>
      <c r="L228" s="165"/>
    </row>
    <row r="229" spans="1:12" s="14" customFormat="1" x14ac:dyDescent="0.55000000000000004">
      <c r="A229" s="40"/>
      <c r="B229" s="40"/>
      <c r="C229" s="40"/>
      <c r="D229" s="40"/>
      <c r="E229" s="24"/>
      <c r="F229" s="24"/>
      <c r="G229" s="24"/>
      <c r="H229" s="24"/>
      <c r="I229" s="48"/>
      <c r="J229" s="46"/>
      <c r="K229" s="46"/>
      <c r="L229" s="164"/>
    </row>
    <row r="230" spans="1:12" s="14" customFormat="1" x14ac:dyDescent="0.55000000000000004">
      <c r="A230" s="40"/>
      <c r="B230" s="40"/>
      <c r="C230" s="40"/>
      <c r="D230" s="40"/>
      <c r="E230" s="24"/>
      <c r="F230" s="24"/>
      <c r="G230" s="24"/>
      <c r="H230" s="24"/>
      <c r="I230" s="48"/>
      <c r="J230" s="46"/>
      <c r="K230" s="40"/>
      <c r="L230" s="163"/>
    </row>
    <row r="231" spans="1:12" s="14" customFormat="1" x14ac:dyDescent="0.55000000000000004">
      <c r="A231" s="40"/>
      <c r="B231" s="40"/>
      <c r="C231" s="40"/>
      <c r="D231" s="40"/>
      <c r="E231" s="24"/>
      <c r="F231" s="24"/>
      <c r="G231" s="24"/>
      <c r="H231" s="24"/>
      <c r="I231" s="48"/>
      <c r="J231" s="46"/>
      <c r="K231" s="46"/>
      <c r="L231" s="165"/>
    </row>
    <row r="232" spans="1:12" s="14" customFormat="1" x14ac:dyDescent="0.55000000000000004">
      <c r="A232" s="40"/>
      <c r="B232" s="40"/>
      <c r="C232" s="40"/>
      <c r="D232" s="40"/>
      <c r="E232" s="24"/>
      <c r="F232" s="24"/>
      <c r="G232" s="24"/>
      <c r="H232" s="24"/>
      <c r="I232" s="48"/>
      <c r="J232" s="46"/>
      <c r="K232" s="46"/>
      <c r="L232" s="166"/>
    </row>
    <row r="233" spans="1:12" s="14" customFormat="1" x14ac:dyDescent="0.55000000000000004">
      <c r="A233" s="40"/>
      <c r="B233" s="40"/>
      <c r="C233" s="40"/>
      <c r="D233" s="40"/>
      <c r="E233" s="24"/>
      <c r="F233" s="24"/>
      <c r="G233" s="24"/>
      <c r="H233" s="24"/>
      <c r="I233" s="48"/>
      <c r="J233" s="46"/>
      <c r="K233" s="46"/>
      <c r="L233" s="164"/>
    </row>
    <row r="234" spans="1:12" s="14" customFormat="1" x14ac:dyDescent="0.55000000000000004">
      <c r="A234" s="40"/>
      <c r="B234" s="40"/>
      <c r="C234" s="40"/>
      <c r="D234" s="40"/>
      <c r="E234" s="24"/>
      <c r="F234" s="24"/>
      <c r="G234" s="24"/>
      <c r="H234" s="24"/>
      <c r="I234" s="24"/>
      <c r="J234" s="40"/>
      <c r="K234" s="40"/>
      <c r="L234" s="158"/>
    </row>
    <row r="235" spans="1:12" s="14" customFormat="1" x14ac:dyDescent="0.55000000000000004">
      <c r="A235" s="40"/>
      <c r="B235" s="40"/>
      <c r="C235" s="40"/>
      <c r="D235" s="40"/>
      <c r="E235" s="24"/>
      <c r="F235" s="24"/>
      <c r="G235" s="24"/>
      <c r="H235" s="24"/>
      <c r="I235" s="24"/>
      <c r="J235" s="40"/>
      <c r="K235" s="40"/>
      <c r="L235" s="167"/>
    </row>
    <row r="236" spans="1:12" s="14" customFormat="1" x14ac:dyDescent="0.55000000000000004">
      <c r="A236" s="40"/>
      <c r="B236" s="40"/>
      <c r="C236" s="40"/>
      <c r="D236" s="40"/>
      <c r="E236" s="24"/>
      <c r="F236" s="24"/>
      <c r="G236" s="24"/>
      <c r="H236" s="24"/>
      <c r="I236" s="24"/>
      <c r="J236" s="40"/>
      <c r="K236" s="40"/>
      <c r="L236" s="158"/>
    </row>
    <row r="237" spans="1:12" s="14" customFormat="1" x14ac:dyDescent="0.55000000000000004">
      <c r="A237" s="40"/>
      <c r="B237" s="40"/>
      <c r="C237" s="40"/>
      <c r="D237" s="40"/>
      <c r="E237" s="24"/>
      <c r="F237" s="24"/>
      <c r="G237" s="24"/>
      <c r="H237" s="24"/>
      <c r="I237" s="24"/>
      <c r="J237" s="40"/>
      <c r="K237" s="40"/>
      <c r="L237" s="158"/>
    </row>
    <row r="238" spans="1:12" s="14" customFormat="1" x14ac:dyDescent="0.55000000000000004">
      <c r="A238" s="40"/>
      <c r="B238" s="40"/>
      <c r="C238" s="40"/>
      <c r="D238" s="40"/>
      <c r="E238" s="24"/>
      <c r="F238" s="24"/>
      <c r="G238" s="24"/>
      <c r="H238" s="24"/>
      <c r="I238" s="24"/>
      <c r="J238" s="40"/>
      <c r="K238" s="40"/>
      <c r="L238" s="158"/>
    </row>
    <row r="239" spans="1:12" s="14" customFormat="1" x14ac:dyDescent="0.55000000000000004">
      <c r="A239" s="40"/>
      <c r="B239" s="40"/>
      <c r="C239" s="40"/>
      <c r="D239" s="40"/>
      <c r="E239" s="24"/>
      <c r="F239" s="24"/>
      <c r="G239" s="24"/>
      <c r="H239" s="24"/>
      <c r="I239" s="24"/>
      <c r="J239" s="40"/>
      <c r="K239" s="40"/>
      <c r="L239" s="158"/>
    </row>
    <row r="240" spans="1:12" s="14" customFormat="1" x14ac:dyDescent="0.55000000000000004">
      <c r="A240" s="40"/>
      <c r="B240" s="40"/>
      <c r="C240" s="40"/>
      <c r="D240" s="40"/>
      <c r="E240" s="24"/>
      <c r="F240" s="24"/>
      <c r="G240" s="24"/>
      <c r="H240" s="24"/>
      <c r="I240" s="24"/>
      <c r="J240" s="40"/>
      <c r="K240" s="40"/>
      <c r="L240" s="158"/>
    </row>
    <row r="241" spans="1:15" s="14" customFormat="1" x14ac:dyDescent="0.55000000000000004">
      <c r="A241" s="40"/>
      <c r="B241" s="40"/>
      <c r="C241" s="40"/>
      <c r="D241" s="40"/>
      <c r="E241" s="24"/>
      <c r="F241" s="24"/>
      <c r="G241" s="24"/>
      <c r="H241" s="24"/>
      <c r="I241" s="24"/>
      <c r="J241" s="40"/>
      <c r="K241" s="40"/>
      <c r="L241" s="158"/>
    </row>
    <row r="242" spans="1:15" s="14" customFormat="1" x14ac:dyDescent="0.55000000000000004">
      <c r="A242" s="40"/>
      <c r="B242" s="40"/>
      <c r="C242" s="40"/>
      <c r="D242" s="40"/>
      <c r="E242" s="24"/>
      <c r="F242" s="24"/>
      <c r="G242" s="24"/>
      <c r="H242" s="24"/>
      <c r="I242" s="24"/>
      <c r="J242" s="40"/>
      <c r="K242" s="40"/>
      <c r="L242" s="158"/>
    </row>
    <row r="243" spans="1:15" s="14" customFormat="1" x14ac:dyDescent="0.55000000000000004">
      <c r="A243" s="40"/>
      <c r="B243" s="40"/>
      <c r="C243" s="40"/>
      <c r="D243" s="40"/>
      <c r="E243" s="24"/>
      <c r="F243" s="24"/>
      <c r="G243" s="24"/>
      <c r="H243" s="24"/>
      <c r="I243" s="24"/>
      <c r="J243" s="40"/>
      <c r="K243" s="40"/>
      <c r="L243" s="33"/>
    </row>
    <row r="244" spans="1:15" s="14" customFormat="1" x14ac:dyDescent="0.55000000000000004">
      <c r="A244" s="40"/>
      <c r="B244" s="40"/>
      <c r="C244" s="40"/>
      <c r="D244" s="40"/>
      <c r="E244" s="24"/>
      <c r="F244" s="24"/>
      <c r="G244" s="24"/>
      <c r="H244" s="24"/>
      <c r="I244" s="24"/>
      <c r="J244" s="40"/>
      <c r="K244" s="40"/>
      <c r="L244" s="158"/>
    </row>
    <row r="245" spans="1:15" s="14" customFormat="1" x14ac:dyDescent="0.55000000000000004">
      <c r="A245" s="40"/>
      <c r="B245" s="40"/>
      <c r="C245" s="40"/>
      <c r="D245" s="40"/>
      <c r="E245" s="24"/>
      <c r="F245" s="24"/>
      <c r="G245" s="24"/>
      <c r="H245" s="24"/>
      <c r="I245" s="24"/>
      <c r="J245" s="40"/>
      <c r="K245" s="40"/>
      <c r="L245" s="158"/>
    </row>
    <row r="246" spans="1:15" s="14" customFormat="1" x14ac:dyDescent="0.55000000000000004">
      <c r="A246" s="40"/>
      <c r="B246" s="40"/>
      <c r="C246" s="40"/>
      <c r="D246" s="40"/>
      <c r="E246" s="24"/>
      <c r="F246" s="24"/>
      <c r="G246" s="24"/>
      <c r="H246" s="24"/>
      <c r="I246" s="24"/>
      <c r="J246" s="40"/>
      <c r="K246" s="40"/>
      <c r="L246" s="33"/>
    </row>
    <row r="247" spans="1:15" s="14" customFormat="1" x14ac:dyDescent="0.55000000000000004">
      <c r="A247" s="40"/>
      <c r="B247" s="40"/>
      <c r="C247" s="40"/>
      <c r="D247" s="40"/>
      <c r="E247" s="24"/>
      <c r="F247" s="24"/>
      <c r="G247" s="24"/>
      <c r="H247" s="24"/>
      <c r="I247" s="24"/>
      <c r="J247" s="40"/>
      <c r="K247" s="40"/>
      <c r="L247" s="158"/>
    </row>
    <row r="248" spans="1:15" s="14" customFormat="1" x14ac:dyDescent="0.55000000000000004">
      <c r="A248" s="40"/>
      <c r="B248" s="40"/>
      <c r="C248" s="40"/>
      <c r="D248" s="40"/>
      <c r="E248" s="24"/>
      <c r="F248" s="24"/>
      <c r="G248" s="24"/>
      <c r="H248" s="24"/>
      <c r="I248" s="24"/>
      <c r="J248" s="40"/>
      <c r="K248" s="40"/>
      <c r="L248" s="158"/>
    </row>
    <row r="249" spans="1:15" s="14" customFormat="1" x14ac:dyDescent="0.55000000000000004">
      <c r="A249" s="40"/>
      <c r="B249" s="40"/>
      <c r="C249" s="40"/>
      <c r="D249" s="40"/>
      <c r="E249" s="24"/>
      <c r="F249" s="24"/>
      <c r="G249" s="24"/>
      <c r="H249" s="24"/>
      <c r="I249" s="24"/>
      <c r="J249" s="40"/>
      <c r="K249" s="40"/>
      <c r="L249" s="158"/>
    </row>
    <row r="250" spans="1:15" s="14" customFormat="1" x14ac:dyDescent="0.55000000000000004">
      <c r="A250" s="40"/>
      <c r="B250" s="40"/>
      <c r="C250" s="40"/>
      <c r="D250" s="40"/>
      <c r="E250" s="24"/>
      <c r="F250" s="24"/>
      <c r="G250" s="24"/>
      <c r="H250" s="24"/>
      <c r="I250" s="24"/>
      <c r="J250" s="40"/>
      <c r="K250" s="40"/>
      <c r="L250" s="158"/>
    </row>
    <row r="251" spans="1:15" s="14" customFormat="1" x14ac:dyDescent="0.55000000000000004">
      <c r="A251" s="40"/>
      <c r="B251" s="40"/>
      <c r="C251" s="40"/>
      <c r="D251" s="40"/>
      <c r="E251" s="24"/>
      <c r="F251" s="24"/>
      <c r="G251" s="24"/>
      <c r="H251" s="24"/>
      <c r="I251" s="24"/>
      <c r="J251" s="40"/>
      <c r="K251" s="40"/>
      <c r="L251" s="33"/>
    </row>
    <row r="252" spans="1:15" s="14" customFormat="1" x14ac:dyDescent="0.55000000000000004">
      <c r="A252" s="40"/>
      <c r="B252" s="40"/>
      <c r="C252" s="40"/>
      <c r="D252" s="40"/>
      <c r="E252" s="24"/>
      <c r="F252" s="24"/>
      <c r="G252" s="24"/>
      <c r="H252" s="24"/>
      <c r="I252" s="24"/>
      <c r="J252" s="40"/>
      <c r="K252" s="40"/>
      <c r="L252" s="158"/>
    </row>
    <row r="253" spans="1:15" s="44" customFormat="1" x14ac:dyDescent="0.55000000000000004">
      <c r="A253" s="40"/>
      <c r="B253" s="40"/>
      <c r="C253" s="40"/>
      <c r="D253" s="40"/>
      <c r="E253" s="24"/>
      <c r="F253" s="24"/>
      <c r="G253" s="24"/>
      <c r="H253" s="24"/>
      <c r="I253" s="24"/>
      <c r="J253" s="40"/>
      <c r="K253" s="40"/>
      <c r="L253" s="158"/>
      <c r="M253" s="14"/>
      <c r="N253" s="14"/>
      <c r="O253" s="14"/>
    </row>
    <row r="254" spans="1:15" s="44" customFormat="1" x14ac:dyDescent="0.55000000000000004">
      <c r="A254" s="40"/>
      <c r="B254" s="40"/>
      <c r="C254" s="40"/>
      <c r="D254" s="40"/>
      <c r="E254" s="24"/>
      <c r="F254" s="24"/>
      <c r="G254" s="24"/>
      <c r="H254" s="24"/>
      <c r="I254" s="24"/>
      <c r="J254" s="40"/>
      <c r="K254" s="40"/>
      <c r="L254" s="158"/>
      <c r="M254" s="14"/>
      <c r="N254" s="14"/>
      <c r="O254" s="14"/>
    </row>
    <row r="255" spans="1:15" s="44" customFormat="1" x14ac:dyDescent="0.55000000000000004">
      <c r="A255" s="40"/>
      <c r="B255" s="40"/>
      <c r="C255" s="40"/>
      <c r="D255" s="40"/>
      <c r="E255" s="24"/>
      <c r="F255" s="24"/>
      <c r="G255" s="24"/>
      <c r="H255" s="24"/>
      <c r="I255" s="24"/>
      <c r="J255" s="40"/>
      <c r="K255" s="40"/>
      <c r="L255" s="158"/>
      <c r="M255" s="14"/>
      <c r="N255" s="14"/>
      <c r="O255" s="14"/>
    </row>
    <row r="256" spans="1:15" s="44" customFormat="1" x14ac:dyDescent="0.55000000000000004">
      <c r="A256" s="40"/>
      <c r="B256" s="40"/>
      <c r="C256" s="40"/>
      <c r="D256" s="40"/>
      <c r="E256" s="24"/>
      <c r="F256" s="24"/>
      <c r="G256" s="24"/>
      <c r="H256" s="24"/>
      <c r="I256" s="24"/>
      <c r="J256" s="40"/>
      <c r="K256" s="40"/>
      <c r="L256" s="158"/>
      <c r="M256" s="14"/>
      <c r="N256" s="14"/>
      <c r="O256" s="14"/>
    </row>
    <row r="257" spans="1:15" s="44" customFormat="1" x14ac:dyDescent="0.55000000000000004">
      <c r="A257" s="40"/>
      <c r="B257" s="40"/>
      <c r="C257" s="40"/>
      <c r="D257" s="40"/>
      <c r="E257" s="24"/>
      <c r="F257" s="24"/>
      <c r="G257" s="24"/>
      <c r="H257" s="24"/>
      <c r="I257" s="24"/>
      <c r="J257" s="40"/>
      <c r="K257" s="40"/>
      <c r="L257" s="158"/>
      <c r="M257" s="14"/>
      <c r="N257" s="14"/>
      <c r="O257" s="14"/>
    </row>
    <row r="258" spans="1:15" s="44" customFormat="1" x14ac:dyDescent="0.55000000000000004">
      <c r="A258" s="40"/>
      <c r="B258" s="40"/>
      <c r="C258" s="40"/>
      <c r="D258" s="40"/>
      <c r="E258" s="24"/>
      <c r="F258" s="24"/>
      <c r="G258" s="24"/>
      <c r="H258" s="24"/>
      <c r="I258" s="24"/>
      <c r="J258" s="40"/>
      <c r="K258" s="40"/>
      <c r="L258" s="158"/>
      <c r="M258" s="14"/>
      <c r="N258" s="14"/>
      <c r="O258" s="14"/>
    </row>
    <row r="259" spans="1:15" s="44" customFormat="1" x14ac:dyDescent="0.55000000000000004">
      <c r="A259" s="40"/>
      <c r="B259" s="40"/>
      <c r="C259" s="40"/>
      <c r="D259" s="40"/>
      <c r="E259" s="24"/>
      <c r="F259" s="24"/>
      <c r="G259" s="24"/>
      <c r="H259" s="24"/>
      <c r="I259" s="24"/>
      <c r="J259" s="40"/>
      <c r="K259" s="40"/>
      <c r="L259" s="158"/>
      <c r="M259" s="14"/>
      <c r="N259" s="14"/>
      <c r="O259" s="14"/>
    </row>
    <row r="260" spans="1:15" s="44" customFormat="1" x14ac:dyDescent="0.55000000000000004">
      <c r="A260" s="40"/>
      <c r="B260" s="40"/>
      <c r="C260" s="40"/>
      <c r="D260" s="40"/>
      <c r="E260" s="24"/>
      <c r="F260" s="24"/>
      <c r="G260" s="24"/>
      <c r="H260" s="24"/>
      <c r="I260" s="24"/>
      <c r="J260" s="40"/>
      <c r="K260" s="40"/>
      <c r="L260" s="158"/>
      <c r="M260" s="14"/>
      <c r="N260" s="14"/>
      <c r="O260" s="14"/>
    </row>
    <row r="261" spans="1:15" s="14" customFormat="1" x14ac:dyDescent="0.55000000000000004">
      <c r="A261" s="40"/>
      <c r="B261" s="40"/>
      <c r="C261" s="40"/>
      <c r="D261" s="40"/>
      <c r="E261" s="24"/>
      <c r="F261" s="24"/>
      <c r="G261" s="24"/>
      <c r="H261" s="24"/>
      <c r="I261" s="24"/>
      <c r="J261" s="40"/>
      <c r="K261" s="40"/>
      <c r="L261" s="158"/>
    </row>
    <row r="262" spans="1:15" s="14" customFormat="1" x14ac:dyDescent="0.55000000000000004">
      <c r="A262" s="40"/>
      <c r="B262" s="40"/>
      <c r="C262" s="40"/>
      <c r="D262" s="40"/>
      <c r="E262" s="24"/>
      <c r="F262" s="24"/>
      <c r="G262" s="24"/>
      <c r="H262" s="24"/>
      <c r="I262" s="24"/>
      <c r="J262" s="40"/>
      <c r="K262" s="40"/>
      <c r="L262" s="158"/>
    </row>
    <row r="263" spans="1:15" s="14" customFormat="1" x14ac:dyDescent="0.55000000000000004">
      <c r="A263" s="40"/>
      <c r="B263" s="40"/>
      <c r="C263" s="40"/>
      <c r="D263" s="40"/>
      <c r="E263" s="24"/>
      <c r="F263" s="24"/>
      <c r="G263" s="24"/>
      <c r="H263" s="24"/>
      <c r="I263" s="24"/>
      <c r="J263" s="40"/>
      <c r="K263" s="40"/>
      <c r="L263" s="158"/>
    </row>
    <row r="264" spans="1:15" s="14" customFormat="1" x14ac:dyDescent="0.55000000000000004">
      <c r="A264" s="40"/>
      <c r="B264" s="40"/>
      <c r="C264" s="40"/>
      <c r="D264" s="40"/>
      <c r="E264" s="24"/>
      <c r="F264" s="24"/>
      <c r="G264" s="24"/>
      <c r="H264" s="24"/>
      <c r="I264" s="24"/>
      <c r="J264" s="40"/>
      <c r="K264" s="40"/>
      <c r="L264" s="158"/>
    </row>
    <row r="265" spans="1:15" s="14" customFormat="1" x14ac:dyDescent="0.55000000000000004">
      <c r="A265" s="40"/>
      <c r="B265" s="40"/>
      <c r="C265" s="40"/>
      <c r="D265" s="40"/>
      <c r="E265" s="24"/>
      <c r="F265" s="24"/>
      <c r="G265" s="24"/>
      <c r="H265" s="24"/>
      <c r="I265" s="24"/>
      <c r="J265" s="40"/>
      <c r="K265" s="40"/>
      <c r="L265" s="158"/>
    </row>
    <row r="266" spans="1:15" s="44" customFormat="1" x14ac:dyDescent="0.55000000000000004">
      <c r="A266" s="40"/>
      <c r="B266" s="40"/>
      <c r="C266" s="40"/>
      <c r="D266" s="40"/>
      <c r="E266" s="24"/>
      <c r="F266" s="24"/>
      <c r="G266" s="24"/>
      <c r="H266" s="24"/>
      <c r="I266" s="24"/>
      <c r="J266" s="40"/>
      <c r="K266" s="40"/>
      <c r="L266" s="158"/>
      <c r="M266" s="14"/>
      <c r="N266" s="14"/>
      <c r="O266" s="14"/>
    </row>
    <row r="267" spans="1:15" s="14" customFormat="1" x14ac:dyDescent="0.55000000000000004">
      <c r="A267" s="40"/>
      <c r="B267" s="40"/>
      <c r="C267" s="40"/>
      <c r="D267" s="40"/>
      <c r="E267" s="24"/>
      <c r="F267" s="24"/>
      <c r="G267" s="24"/>
      <c r="H267" s="24"/>
      <c r="I267" s="24"/>
      <c r="J267" s="40"/>
      <c r="K267" s="40"/>
      <c r="L267" s="158"/>
    </row>
    <row r="268" spans="1:15" s="14" customFormat="1" x14ac:dyDescent="0.55000000000000004">
      <c r="A268" s="40"/>
      <c r="B268" s="40"/>
      <c r="C268" s="40"/>
      <c r="D268" s="40"/>
      <c r="E268" s="24"/>
      <c r="F268" s="24"/>
      <c r="G268" s="24"/>
      <c r="H268" s="24"/>
      <c r="I268" s="24"/>
      <c r="J268" s="40"/>
      <c r="K268" s="40"/>
      <c r="L268" s="158"/>
    </row>
    <row r="269" spans="1:15" s="14" customFormat="1" x14ac:dyDescent="0.55000000000000004">
      <c r="A269" s="40"/>
      <c r="B269" s="40"/>
      <c r="C269" s="40"/>
      <c r="D269" s="40"/>
      <c r="E269" s="24"/>
      <c r="F269" s="24"/>
      <c r="G269" s="24"/>
      <c r="H269" s="24"/>
      <c r="I269" s="24"/>
      <c r="J269" s="40"/>
      <c r="K269" s="40"/>
      <c r="L269" s="158"/>
    </row>
    <row r="270" spans="1:15" s="14" customFormat="1" x14ac:dyDescent="0.55000000000000004">
      <c r="A270" s="40"/>
      <c r="B270" s="40"/>
      <c r="C270" s="40"/>
      <c r="D270" s="40"/>
      <c r="E270" s="24"/>
      <c r="F270" s="24"/>
      <c r="G270" s="24"/>
      <c r="H270" s="24"/>
      <c r="I270" s="24"/>
      <c r="J270" s="40"/>
      <c r="K270" s="40"/>
      <c r="L270" s="158"/>
    </row>
    <row r="271" spans="1:15" s="14" customFormat="1" x14ac:dyDescent="0.55000000000000004">
      <c r="A271" s="40"/>
      <c r="B271" s="40"/>
      <c r="C271" s="40"/>
      <c r="D271" s="40"/>
      <c r="E271" s="24"/>
      <c r="F271" s="24"/>
      <c r="G271" s="24"/>
      <c r="H271" s="24"/>
      <c r="I271" s="24"/>
      <c r="J271" s="40"/>
      <c r="K271" s="40"/>
      <c r="L271" s="158"/>
    </row>
    <row r="272" spans="1:15" s="14" customFormat="1" x14ac:dyDescent="0.55000000000000004">
      <c r="A272" s="40"/>
      <c r="B272" s="40"/>
      <c r="C272" s="40"/>
      <c r="D272" s="40"/>
      <c r="E272" s="24"/>
      <c r="F272" s="24"/>
      <c r="G272" s="24"/>
      <c r="H272" s="24"/>
      <c r="I272" s="24"/>
      <c r="J272" s="40"/>
      <c r="K272" s="40"/>
      <c r="L272" s="158"/>
    </row>
    <row r="273" spans="1:15" s="14" customFormat="1" x14ac:dyDescent="0.55000000000000004">
      <c r="A273" s="40"/>
      <c r="B273" s="40"/>
      <c r="C273" s="40"/>
      <c r="D273" s="40"/>
      <c r="E273" s="24"/>
      <c r="F273" s="24"/>
      <c r="G273" s="24"/>
      <c r="H273" s="24"/>
      <c r="I273" s="24"/>
      <c r="J273" s="40"/>
      <c r="K273" s="40"/>
      <c r="L273" s="158"/>
    </row>
    <row r="274" spans="1:15" s="14" customFormat="1" x14ac:dyDescent="0.55000000000000004">
      <c r="A274" s="40"/>
      <c r="B274" s="40"/>
      <c r="C274" s="40"/>
      <c r="D274" s="40"/>
      <c r="E274" s="24"/>
      <c r="F274" s="24"/>
      <c r="G274" s="24"/>
      <c r="H274" s="24"/>
      <c r="I274" s="24"/>
      <c r="J274" s="40"/>
      <c r="K274" s="40"/>
      <c r="L274" s="158"/>
    </row>
    <row r="275" spans="1:15" s="14" customFormat="1" x14ac:dyDescent="0.55000000000000004">
      <c r="A275" s="40"/>
      <c r="B275" s="40"/>
      <c r="C275" s="40"/>
      <c r="D275" s="40"/>
      <c r="E275" s="24"/>
      <c r="F275" s="24"/>
      <c r="G275" s="24"/>
      <c r="H275" s="24"/>
      <c r="I275" s="24"/>
      <c r="J275" s="40"/>
      <c r="K275" s="40"/>
      <c r="L275" s="158"/>
    </row>
    <row r="276" spans="1:15" s="14" customFormat="1" x14ac:dyDescent="0.55000000000000004">
      <c r="A276" s="40"/>
      <c r="B276" s="40"/>
      <c r="C276" s="40"/>
      <c r="D276" s="40"/>
      <c r="E276" s="24"/>
      <c r="F276" s="24"/>
      <c r="G276" s="24"/>
      <c r="H276" s="24"/>
      <c r="I276" s="24"/>
      <c r="J276" s="40"/>
      <c r="K276" s="40"/>
      <c r="L276" s="158"/>
    </row>
    <row r="277" spans="1:15" s="14" customFormat="1" x14ac:dyDescent="0.55000000000000004">
      <c r="A277" s="46"/>
      <c r="B277" s="40"/>
      <c r="C277" s="36"/>
      <c r="D277" s="36"/>
      <c r="E277" s="23"/>
      <c r="F277" s="23"/>
      <c r="G277" s="23"/>
      <c r="H277" s="23"/>
      <c r="I277" s="24"/>
      <c r="J277" s="40"/>
      <c r="K277" s="40"/>
      <c r="L277" s="168"/>
      <c r="M277" s="44"/>
      <c r="N277" s="44"/>
      <c r="O277" s="44"/>
    </row>
    <row r="278" spans="1:15" s="14" customFormat="1" x14ac:dyDescent="0.55000000000000004">
      <c r="A278" s="46"/>
      <c r="B278" s="40"/>
      <c r="C278" s="36"/>
      <c r="D278" s="36"/>
      <c r="E278" s="24"/>
      <c r="F278" s="24"/>
      <c r="G278" s="24"/>
      <c r="H278" s="24"/>
      <c r="I278" s="31"/>
      <c r="J278" s="40"/>
      <c r="K278" s="40"/>
      <c r="L278" s="167"/>
      <c r="M278" s="44"/>
      <c r="N278" s="44"/>
      <c r="O278" s="44"/>
    </row>
    <row r="279" spans="1:15" s="14" customFormat="1" x14ac:dyDescent="0.55000000000000004">
      <c r="A279" s="46"/>
      <c r="B279" s="40"/>
      <c r="C279" s="36"/>
      <c r="D279" s="36"/>
      <c r="E279" s="24"/>
      <c r="F279" s="24"/>
      <c r="G279" s="24"/>
      <c r="H279" s="24"/>
      <c r="I279" s="24"/>
      <c r="J279" s="40"/>
      <c r="K279" s="40"/>
      <c r="L279" s="161"/>
      <c r="M279" s="44"/>
      <c r="N279" s="44"/>
      <c r="O279" s="44"/>
    </row>
    <row r="280" spans="1:15" s="14" customFormat="1" x14ac:dyDescent="0.55000000000000004">
      <c r="A280" s="46"/>
      <c r="B280" s="40"/>
      <c r="C280" s="36"/>
      <c r="D280" s="36"/>
      <c r="E280" s="24"/>
      <c r="F280" s="24"/>
      <c r="G280" s="24"/>
      <c r="H280" s="24"/>
      <c r="I280" s="24"/>
      <c r="J280" s="40"/>
      <c r="K280" s="40"/>
      <c r="L280" s="160"/>
      <c r="M280" s="44"/>
      <c r="N280" s="44"/>
      <c r="O280" s="44"/>
    </row>
    <row r="281" spans="1:15" s="14" customFormat="1" x14ac:dyDescent="0.55000000000000004">
      <c r="A281" s="46"/>
      <c r="B281" s="40"/>
      <c r="C281" s="36"/>
      <c r="D281" s="36"/>
      <c r="E281" s="24"/>
      <c r="F281" s="24"/>
      <c r="G281" s="24"/>
      <c r="H281" s="24"/>
      <c r="I281" s="24"/>
      <c r="J281" s="40"/>
      <c r="K281" s="40"/>
      <c r="L281" s="161"/>
      <c r="M281" s="44"/>
      <c r="N281" s="44"/>
      <c r="O281" s="44"/>
    </row>
    <row r="282" spans="1:15" s="14" customFormat="1" x14ac:dyDescent="0.55000000000000004">
      <c r="A282" s="46"/>
      <c r="B282" s="40"/>
      <c r="C282" s="36"/>
      <c r="D282" s="36"/>
      <c r="E282" s="24"/>
      <c r="F282" s="24"/>
      <c r="G282" s="24"/>
      <c r="H282" s="24"/>
      <c r="I282" s="24"/>
      <c r="J282" s="40"/>
      <c r="K282" s="40"/>
      <c r="L282" s="158"/>
      <c r="M282" s="44"/>
      <c r="N282" s="44"/>
      <c r="O282" s="44"/>
    </row>
    <row r="283" spans="1:15" s="14" customFormat="1" x14ac:dyDescent="0.55000000000000004">
      <c r="A283" s="46"/>
      <c r="B283" s="40"/>
      <c r="C283" s="36"/>
      <c r="D283" s="36"/>
      <c r="E283" s="24"/>
      <c r="F283" s="24"/>
      <c r="G283" s="24"/>
      <c r="H283" s="24"/>
      <c r="I283" s="24"/>
      <c r="J283" s="40"/>
      <c r="K283" s="40"/>
      <c r="L283" s="33"/>
      <c r="M283" s="44"/>
      <c r="N283" s="44"/>
      <c r="O283" s="44"/>
    </row>
    <row r="284" spans="1:15" s="14" customFormat="1" x14ac:dyDescent="0.55000000000000004">
      <c r="A284" s="46"/>
      <c r="B284" s="40"/>
      <c r="C284" s="36"/>
      <c r="D284" s="36"/>
      <c r="E284" s="24"/>
      <c r="F284" s="24"/>
      <c r="G284" s="24"/>
      <c r="H284" s="24"/>
      <c r="I284" s="24"/>
      <c r="J284" s="40"/>
      <c r="K284" s="40"/>
      <c r="L284" s="160"/>
      <c r="M284" s="44"/>
      <c r="N284" s="44"/>
      <c r="O284" s="44"/>
    </row>
    <row r="285" spans="1:15" s="14" customFormat="1" x14ac:dyDescent="0.55000000000000004">
      <c r="A285" s="40"/>
      <c r="B285" s="40"/>
      <c r="C285" s="36"/>
      <c r="D285" s="36"/>
      <c r="E285" s="24"/>
      <c r="F285" s="24"/>
      <c r="G285" s="24"/>
      <c r="H285" s="24"/>
      <c r="I285" s="24"/>
      <c r="J285" s="40"/>
      <c r="K285" s="40"/>
      <c r="L285" s="33"/>
    </row>
    <row r="286" spans="1:15" s="14" customFormat="1" x14ac:dyDescent="0.55000000000000004">
      <c r="A286" s="40"/>
      <c r="B286" s="40"/>
      <c r="C286" s="36"/>
      <c r="D286" s="36"/>
      <c r="E286" s="24"/>
      <c r="F286" s="24"/>
      <c r="G286" s="24"/>
      <c r="H286" s="24"/>
      <c r="I286" s="24"/>
      <c r="J286" s="40"/>
      <c r="K286" s="40"/>
      <c r="L286" s="161"/>
    </row>
    <row r="287" spans="1:15" s="14" customFormat="1" x14ac:dyDescent="0.55000000000000004">
      <c r="A287" s="40"/>
      <c r="B287" s="40"/>
      <c r="C287" s="36"/>
      <c r="D287" s="36"/>
      <c r="E287" s="24"/>
      <c r="F287" s="24"/>
      <c r="G287" s="24"/>
      <c r="H287" s="24"/>
      <c r="I287" s="24"/>
      <c r="J287" s="40"/>
      <c r="K287" s="40"/>
      <c r="L287" s="161"/>
    </row>
    <row r="288" spans="1:15" s="14" customFormat="1" x14ac:dyDescent="0.55000000000000004">
      <c r="A288" s="40"/>
      <c r="B288" s="40"/>
      <c r="C288" s="36"/>
      <c r="D288" s="36"/>
      <c r="E288" s="24"/>
      <c r="F288" s="24"/>
      <c r="G288" s="24"/>
      <c r="H288" s="24"/>
      <c r="I288" s="24"/>
      <c r="J288" s="40"/>
      <c r="K288" s="40"/>
      <c r="L288" s="167"/>
    </row>
    <row r="289" spans="1:15" s="14" customFormat="1" x14ac:dyDescent="0.55000000000000004">
      <c r="A289" s="40"/>
      <c r="B289" s="40"/>
      <c r="C289" s="36"/>
      <c r="D289" s="36"/>
      <c r="E289" s="24"/>
      <c r="F289" s="24"/>
      <c r="G289" s="24"/>
      <c r="H289" s="24"/>
      <c r="I289" s="24"/>
      <c r="J289" s="40"/>
      <c r="K289" s="40"/>
      <c r="L289" s="167"/>
    </row>
    <row r="290" spans="1:15" s="14" customFormat="1" x14ac:dyDescent="0.55000000000000004">
      <c r="A290" s="46"/>
      <c r="B290" s="40"/>
      <c r="C290" s="36"/>
      <c r="D290" s="36"/>
      <c r="E290" s="24"/>
      <c r="F290" s="24"/>
      <c r="G290" s="24"/>
      <c r="H290" s="24"/>
      <c r="I290" s="24"/>
      <c r="J290" s="40"/>
      <c r="K290" s="40"/>
      <c r="L290" s="158"/>
      <c r="M290" s="44"/>
      <c r="N290" s="44"/>
      <c r="O290" s="44"/>
    </row>
    <row r="291" spans="1:15" s="14" customFormat="1" x14ac:dyDescent="0.55000000000000004">
      <c r="A291" s="40"/>
      <c r="B291" s="40"/>
      <c r="C291" s="36"/>
      <c r="D291" s="36"/>
      <c r="E291" s="24"/>
      <c r="F291" s="24"/>
      <c r="G291" s="24"/>
      <c r="H291" s="24"/>
      <c r="I291" s="24"/>
      <c r="J291" s="40"/>
      <c r="K291" s="40"/>
      <c r="L291" s="158"/>
    </row>
    <row r="292" spans="1:15" s="14" customFormat="1" x14ac:dyDescent="0.55000000000000004">
      <c r="A292" s="40"/>
      <c r="B292" s="40"/>
      <c r="C292" s="36"/>
      <c r="D292" s="36"/>
      <c r="E292" s="24"/>
      <c r="F292" s="24"/>
      <c r="G292" s="24"/>
      <c r="H292" s="24"/>
      <c r="I292" s="24"/>
      <c r="J292" s="40"/>
      <c r="K292" s="40"/>
      <c r="L292" s="158"/>
    </row>
    <row r="293" spans="1:15" s="14" customFormat="1" x14ac:dyDescent="0.55000000000000004">
      <c r="A293" s="40"/>
      <c r="B293" s="40"/>
      <c r="C293" s="36"/>
      <c r="D293" s="36"/>
      <c r="E293" s="24"/>
      <c r="F293" s="24"/>
      <c r="G293" s="24"/>
      <c r="H293" s="24"/>
      <c r="I293" s="24"/>
      <c r="J293" s="40"/>
      <c r="K293" s="40"/>
      <c r="L293" s="158"/>
    </row>
    <row r="294" spans="1:15" s="14" customFormat="1" x14ac:dyDescent="0.55000000000000004">
      <c r="A294" s="40"/>
      <c r="B294" s="40"/>
      <c r="C294" s="36"/>
      <c r="D294" s="36"/>
      <c r="E294" s="24"/>
      <c r="F294" s="24"/>
      <c r="G294" s="24"/>
      <c r="H294" s="24"/>
      <c r="I294" s="24"/>
      <c r="J294" s="40"/>
      <c r="K294" s="40"/>
      <c r="L294" s="158"/>
    </row>
    <row r="295" spans="1:15" s="14" customFormat="1" x14ac:dyDescent="0.55000000000000004">
      <c r="A295" s="40"/>
      <c r="B295" s="40"/>
      <c r="C295" s="36"/>
      <c r="D295" s="36"/>
      <c r="E295" s="24"/>
      <c r="F295" s="24"/>
      <c r="G295" s="24"/>
      <c r="H295" s="24"/>
      <c r="I295" s="24"/>
      <c r="J295" s="40"/>
      <c r="K295" s="40"/>
      <c r="L295" s="158"/>
    </row>
    <row r="296" spans="1:15" s="14" customFormat="1" x14ac:dyDescent="0.55000000000000004">
      <c r="A296" s="40"/>
      <c r="B296" s="40"/>
      <c r="C296" s="36"/>
      <c r="D296" s="36"/>
      <c r="E296" s="24"/>
      <c r="F296" s="24"/>
      <c r="G296" s="24"/>
      <c r="H296" s="24"/>
      <c r="I296" s="24"/>
      <c r="J296" s="40"/>
      <c r="K296" s="40"/>
      <c r="L296" s="158"/>
    </row>
    <row r="297" spans="1:15" s="14" customFormat="1" x14ac:dyDescent="0.55000000000000004">
      <c r="A297" s="40"/>
      <c r="B297" s="40"/>
      <c r="C297" s="36"/>
      <c r="D297" s="36"/>
      <c r="E297" s="24"/>
      <c r="F297" s="24"/>
      <c r="G297" s="24"/>
      <c r="H297" s="24"/>
      <c r="I297" s="24"/>
      <c r="J297" s="40"/>
      <c r="K297" s="40"/>
      <c r="L297" s="158"/>
    </row>
    <row r="298" spans="1:15" s="14" customFormat="1" x14ac:dyDescent="0.55000000000000004">
      <c r="A298" s="40"/>
      <c r="B298" s="40"/>
      <c r="C298" s="36"/>
      <c r="D298" s="36"/>
      <c r="E298" s="24"/>
      <c r="F298" s="24"/>
      <c r="G298" s="24"/>
      <c r="H298" s="24"/>
      <c r="I298" s="24"/>
      <c r="J298" s="40"/>
      <c r="K298" s="40"/>
      <c r="L298" s="158"/>
    </row>
    <row r="299" spans="1:15" s="14" customFormat="1" x14ac:dyDescent="0.55000000000000004">
      <c r="A299" s="40"/>
      <c r="B299" s="40"/>
      <c r="C299" s="36"/>
      <c r="D299" s="36"/>
      <c r="E299" s="24"/>
      <c r="F299" s="24"/>
      <c r="G299" s="24"/>
      <c r="H299" s="24"/>
      <c r="I299" s="24"/>
      <c r="J299" s="40"/>
      <c r="K299" s="40"/>
      <c r="L299" s="158"/>
    </row>
    <row r="300" spans="1:15" s="14" customFormat="1" x14ac:dyDescent="0.55000000000000004">
      <c r="A300" s="40"/>
      <c r="B300" s="40"/>
      <c r="C300" s="36"/>
      <c r="D300" s="36"/>
      <c r="E300" s="24"/>
      <c r="F300" s="24"/>
      <c r="G300" s="24"/>
      <c r="H300" s="24"/>
      <c r="I300" s="24"/>
      <c r="J300" s="40"/>
      <c r="K300" s="40"/>
      <c r="L300" s="158"/>
    </row>
    <row r="301" spans="1:15" s="14" customFormat="1" x14ac:dyDescent="0.55000000000000004">
      <c r="A301" s="40"/>
      <c r="B301" s="40"/>
      <c r="C301" s="36"/>
      <c r="D301" s="36"/>
      <c r="E301" s="24"/>
      <c r="F301" s="24"/>
      <c r="G301" s="24"/>
      <c r="H301" s="24"/>
      <c r="I301" s="24"/>
      <c r="J301" s="40"/>
      <c r="K301" s="40"/>
      <c r="L301" s="158"/>
    </row>
    <row r="302" spans="1:15" s="14" customFormat="1" x14ac:dyDescent="0.55000000000000004">
      <c r="A302" s="40"/>
      <c r="B302" s="40"/>
      <c r="C302" s="36"/>
      <c r="D302" s="36"/>
      <c r="E302" s="24"/>
      <c r="F302" s="24"/>
      <c r="G302" s="24"/>
      <c r="H302" s="24"/>
      <c r="I302" s="24"/>
      <c r="J302" s="40"/>
      <c r="K302" s="40"/>
      <c r="L302" s="158"/>
    </row>
    <row r="303" spans="1:15" s="14" customFormat="1" x14ac:dyDescent="0.55000000000000004">
      <c r="A303" s="40"/>
      <c r="B303" s="40"/>
      <c r="C303" s="36"/>
      <c r="D303" s="36"/>
      <c r="E303" s="24"/>
      <c r="F303" s="24"/>
      <c r="G303" s="24"/>
      <c r="H303" s="24"/>
      <c r="I303" s="24"/>
      <c r="J303" s="40"/>
      <c r="K303" s="40"/>
      <c r="L303" s="158"/>
    </row>
    <row r="304" spans="1:15" s="14" customFormat="1" x14ac:dyDescent="0.55000000000000004">
      <c r="A304" s="40"/>
      <c r="B304" s="40"/>
      <c r="C304" s="36"/>
      <c r="D304" s="36"/>
      <c r="E304" s="24"/>
      <c r="F304" s="24"/>
      <c r="G304" s="24"/>
      <c r="H304" s="24"/>
      <c r="I304" s="24"/>
      <c r="J304" s="40"/>
      <c r="K304" s="40"/>
      <c r="L304" s="158"/>
    </row>
    <row r="305" spans="1:12" s="14" customFormat="1" x14ac:dyDescent="0.55000000000000004">
      <c r="A305" s="40"/>
      <c r="B305" s="40"/>
      <c r="C305" s="36"/>
      <c r="D305" s="36"/>
      <c r="E305" s="24"/>
      <c r="F305" s="24"/>
      <c r="G305" s="24"/>
      <c r="H305" s="24"/>
      <c r="I305" s="24"/>
      <c r="J305" s="40"/>
      <c r="K305" s="40"/>
      <c r="L305" s="158"/>
    </row>
    <row r="306" spans="1:12" s="14" customFormat="1" x14ac:dyDescent="0.55000000000000004">
      <c r="A306" s="40"/>
      <c r="B306" s="40"/>
      <c r="C306" s="36"/>
      <c r="D306" s="36"/>
      <c r="E306" s="24"/>
      <c r="F306" s="24"/>
      <c r="G306" s="24"/>
      <c r="H306" s="24"/>
      <c r="I306" s="24"/>
      <c r="J306" s="40"/>
      <c r="K306" s="40"/>
      <c r="L306" s="158"/>
    </row>
    <row r="307" spans="1:12" s="14" customFormat="1" x14ac:dyDescent="0.55000000000000004">
      <c r="A307" s="40"/>
      <c r="B307" s="40"/>
      <c r="C307" s="36"/>
      <c r="D307" s="36"/>
      <c r="E307" s="24"/>
      <c r="F307" s="24"/>
      <c r="G307" s="24"/>
      <c r="H307" s="24"/>
      <c r="I307" s="24"/>
      <c r="J307" s="40"/>
      <c r="K307" s="40"/>
      <c r="L307" s="158"/>
    </row>
    <row r="308" spans="1:12" s="14" customFormat="1" x14ac:dyDescent="0.55000000000000004">
      <c r="A308" s="40"/>
      <c r="B308" s="40"/>
      <c r="C308" s="36"/>
      <c r="D308" s="36"/>
      <c r="E308" s="24"/>
      <c r="F308" s="24"/>
      <c r="G308" s="24"/>
      <c r="H308" s="24"/>
      <c r="I308" s="24"/>
      <c r="J308" s="40"/>
      <c r="K308" s="40"/>
      <c r="L308" s="158"/>
    </row>
    <row r="309" spans="1:12" s="14" customFormat="1" x14ac:dyDescent="0.55000000000000004">
      <c r="A309" s="40"/>
      <c r="B309" s="40"/>
      <c r="C309" s="36"/>
      <c r="D309" s="36"/>
      <c r="E309" s="24"/>
      <c r="F309" s="24"/>
      <c r="G309" s="24"/>
      <c r="H309" s="24"/>
      <c r="I309" s="24"/>
      <c r="J309" s="40"/>
      <c r="K309" s="40"/>
      <c r="L309" s="158"/>
    </row>
    <row r="310" spans="1:12" s="14" customFormat="1" x14ac:dyDescent="0.55000000000000004">
      <c r="A310" s="40"/>
      <c r="B310" s="40"/>
      <c r="C310" s="36"/>
      <c r="D310" s="36"/>
      <c r="E310" s="24"/>
      <c r="F310" s="24"/>
      <c r="G310" s="24"/>
      <c r="H310" s="24"/>
      <c r="I310" s="24"/>
      <c r="J310" s="40"/>
      <c r="K310" s="40"/>
      <c r="L310" s="158"/>
    </row>
    <row r="311" spans="1:12" s="14" customFormat="1" x14ac:dyDescent="0.55000000000000004">
      <c r="A311" s="40"/>
      <c r="B311" s="40"/>
      <c r="C311" s="36"/>
      <c r="D311" s="36"/>
      <c r="E311" s="24"/>
      <c r="F311" s="24"/>
      <c r="G311" s="24"/>
      <c r="H311" s="24"/>
      <c r="I311" s="24"/>
      <c r="J311" s="40"/>
      <c r="K311" s="40"/>
      <c r="L311" s="158"/>
    </row>
    <row r="312" spans="1:12" s="14" customFormat="1" x14ac:dyDescent="0.55000000000000004">
      <c r="A312" s="40"/>
      <c r="B312" s="40"/>
      <c r="C312" s="36"/>
      <c r="D312" s="36"/>
      <c r="E312" s="24"/>
      <c r="F312" s="24"/>
      <c r="G312" s="24"/>
      <c r="H312" s="24"/>
      <c r="I312" s="24"/>
      <c r="J312" s="40"/>
      <c r="K312" s="40"/>
      <c r="L312" s="158"/>
    </row>
    <row r="313" spans="1:12" s="14" customFormat="1" x14ac:dyDescent="0.55000000000000004">
      <c r="A313" s="40"/>
      <c r="B313" s="40"/>
      <c r="C313" s="36"/>
      <c r="D313" s="36"/>
      <c r="E313" s="24"/>
      <c r="F313" s="24"/>
      <c r="G313" s="24"/>
      <c r="H313" s="24"/>
      <c r="I313" s="24"/>
      <c r="J313" s="40"/>
      <c r="K313" s="40"/>
      <c r="L313" s="158"/>
    </row>
    <row r="314" spans="1:12" s="14" customFormat="1" x14ac:dyDescent="0.55000000000000004">
      <c r="A314" s="40"/>
      <c r="B314" s="40"/>
      <c r="C314" s="36"/>
      <c r="D314" s="36"/>
      <c r="E314" s="24"/>
      <c r="F314" s="24"/>
      <c r="G314" s="24"/>
      <c r="H314" s="24"/>
      <c r="I314" s="24"/>
      <c r="J314" s="40"/>
      <c r="K314" s="40"/>
      <c r="L314" s="158"/>
    </row>
    <row r="315" spans="1:12" s="14" customFormat="1" x14ac:dyDescent="0.55000000000000004">
      <c r="A315" s="40"/>
      <c r="B315" s="40"/>
      <c r="C315" s="36"/>
      <c r="D315" s="36"/>
      <c r="E315" s="24"/>
      <c r="F315" s="24"/>
      <c r="G315" s="24"/>
      <c r="H315" s="24"/>
      <c r="I315" s="24"/>
      <c r="J315" s="40"/>
      <c r="K315" s="40"/>
      <c r="L315" s="158"/>
    </row>
    <row r="316" spans="1:12" s="14" customFormat="1" x14ac:dyDescent="0.55000000000000004">
      <c r="A316" s="40"/>
      <c r="B316" s="40"/>
      <c r="C316" s="36"/>
      <c r="D316" s="36"/>
      <c r="E316" s="24"/>
      <c r="F316" s="24"/>
      <c r="G316" s="24"/>
      <c r="H316" s="24"/>
      <c r="I316" s="24"/>
      <c r="J316" s="40"/>
      <c r="K316" s="40"/>
      <c r="L316" s="158"/>
    </row>
    <row r="317" spans="1:12" s="14" customFormat="1" x14ac:dyDescent="0.55000000000000004">
      <c r="A317" s="40"/>
      <c r="B317" s="40"/>
      <c r="C317" s="36"/>
      <c r="D317" s="36"/>
      <c r="E317" s="24"/>
      <c r="F317" s="24"/>
      <c r="G317" s="24"/>
      <c r="H317" s="24"/>
      <c r="I317" s="24"/>
      <c r="J317" s="40"/>
      <c r="K317" s="40"/>
      <c r="L317" s="158"/>
    </row>
    <row r="318" spans="1:12" s="14" customFormat="1" x14ac:dyDescent="0.55000000000000004">
      <c r="A318" s="40"/>
      <c r="B318" s="40"/>
      <c r="C318" s="36"/>
      <c r="D318" s="36"/>
      <c r="E318" s="24"/>
      <c r="F318" s="24"/>
      <c r="G318" s="24"/>
      <c r="H318" s="24"/>
      <c r="I318" s="24"/>
      <c r="J318" s="40"/>
      <c r="K318" s="40"/>
      <c r="L318" s="158"/>
    </row>
    <row r="319" spans="1:12" s="14" customFormat="1" x14ac:dyDescent="0.55000000000000004">
      <c r="A319" s="40"/>
      <c r="B319" s="40"/>
      <c r="C319" s="36"/>
      <c r="D319" s="36"/>
      <c r="E319" s="24"/>
      <c r="F319" s="24"/>
      <c r="G319" s="24"/>
      <c r="H319" s="24"/>
      <c r="I319" s="24"/>
      <c r="J319" s="40"/>
      <c r="K319" s="40"/>
      <c r="L319" s="158"/>
    </row>
    <row r="320" spans="1:12" s="14" customFormat="1" x14ac:dyDescent="0.55000000000000004">
      <c r="A320" s="40"/>
      <c r="B320" s="40"/>
      <c r="C320" s="36"/>
      <c r="D320" s="36"/>
      <c r="E320" s="24"/>
      <c r="F320" s="24"/>
      <c r="G320" s="24"/>
      <c r="H320" s="24"/>
      <c r="I320" s="24"/>
      <c r="J320" s="40"/>
      <c r="K320" s="40"/>
      <c r="L320" s="158"/>
    </row>
    <row r="321" spans="1:12" s="14" customFormat="1" x14ac:dyDescent="0.55000000000000004">
      <c r="A321" s="40"/>
      <c r="B321" s="40"/>
      <c r="C321" s="36"/>
      <c r="D321" s="36"/>
      <c r="E321" s="24"/>
      <c r="F321" s="24"/>
      <c r="G321" s="24"/>
      <c r="H321" s="24"/>
      <c r="I321" s="24"/>
      <c r="J321" s="40"/>
      <c r="K321" s="40"/>
      <c r="L321" s="158"/>
    </row>
    <row r="322" spans="1:12" s="14" customFormat="1" x14ac:dyDescent="0.55000000000000004">
      <c r="A322" s="40"/>
      <c r="B322" s="40"/>
      <c r="C322" s="36"/>
      <c r="D322" s="36"/>
      <c r="E322" s="24"/>
      <c r="F322" s="24"/>
      <c r="G322" s="24"/>
      <c r="H322" s="24"/>
      <c r="I322" s="24"/>
      <c r="J322" s="40"/>
      <c r="K322" s="40"/>
      <c r="L322" s="158"/>
    </row>
    <row r="323" spans="1:12" s="14" customFormat="1" x14ac:dyDescent="0.55000000000000004">
      <c r="A323" s="40"/>
      <c r="B323" s="40"/>
      <c r="C323" s="36"/>
      <c r="D323" s="36"/>
      <c r="E323" s="24"/>
      <c r="F323" s="24"/>
      <c r="G323" s="24"/>
      <c r="H323" s="24"/>
      <c r="I323" s="24"/>
      <c r="J323" s="40"/>
      <c r="K323" s="40"/>
      <c r="L323" s="158"/>
    </row>
    <row r="324" spans="1:12" s="14" customFormat="1" x14ac:dyDescent="0.55000000000000004">
      <c r="A324" s="40"/>
      <c r="B324" s="40"/>
      <c r="C324" s="36"/>
      <c r="D324" s="36"/>
      <c r="E324" s="24"/>
      <c r="F324" s="24"/>
      <c r="G324" s="24"/>
      <c r="H324" s="24"/>
      <c r="I324" s="24"/>
      <c r="J324" s="40"/>
      <c r="K324" s="40"/>
      <c r="L324" s="158"/>
    </row>
    <row r="325" spans="1:12" s="14" customFormat="1" x14ac:dyDescent="0.55000000000000004">
      <c r="A325" s="40"/>
      <c r="B325" s="40"/>
      <c r="C325" s="36"/>
      <c r="D325" s="36"/>
      <c r="E325" s="24"/>
      <c r="F325" s="24"/>
      <c r="G325" s="24"/>
      <c r="H325" s="24"/>
      <c r="I325" s="24"/>
      <c r="J325" s="40"/>
      <c r="K325" s="40"/>
      <c r="L325" s="158"/>
    </row>
    <row r="326" spans="1:12" s="14" customFormat="1" x14ac:dyDescent="0.55000000000000004">
      <c r="A326" s="40"/>
      <c r="B326" s="40"/>
      <c r="C326" s="36"/>
      <c r="D326" s="36"/>
      <c r="E326" s="24"/>
      <c r="F326" s="24"/>
      <c r="G326" s="24"/>
      <c r="H326" s="24"/>
      <c r="I326" s="24"/>
      <c r="J326" s="40"/>
      <c r="K326" s="40"/>
      <c r="L326" s="158"/>
    </row>
    <row r="327" spans="1:12" s="14" customFormat="1" x14ac:dyDescent="0.55000000000000004">
      <c r="A327" s="40"/>
      <c r="B327" s="40"/>
      <c r="C327" s="36"/>
      <c r="D327" s="36"/>
      <c r="E327" s="24"/>
      <c r="F327" s="24"/>
      <c r="G327" s="24"/>
      <c r="H327" s="24"/>
      <c r="I327" s="24"/>
      <c r="J327" s="40"/>
      <c r="K327" s="40"/>
      <c r="L327" s="158"/>
    </row>
    <row r="328" spans="1:12" s="14" customFormat="1" x14ac:dyDescent="0.55000000000000004">
      <c r="A328" s="40"/>
      <c r="B328" s="40"/>
      <c r="C328" s="36"/>
      <c r="D328" s="36"/>
      <c r="E328" s="24"/>
      <c r="F328" s="24"/>
      <c r="G328" s="24"/>
      <c r="H328" s="24"/>
      <c r="I328" s="24"/>
      <c r="J328" s="40"/>
      <c r="K328" s="40"/>
      <c r="L328" s="158"/>
    </row>
    <row r="329" spans="1:12" s="14" customFormat="1" x14ac:dyDescent="0.55000000000000004">
      <c r="A329" s="40"/>
      <c r="B329" s="40"/>
      <c r="C329" s="36"/>
      <c r="D329" s="36"/>
      <c r="E329" s="24"/>
      <c r="F329" s="24"/>
      <c r="G329" s="24"/>
      <c r="H329" s="24"/>
      <c r="I329" s="24"/>
      <c r="J329" s="40"/>
      <c r="K329" s="40"/>
      <c r="L329" s="158"/>
    </row>
    <row r="330" spans="1:12" s="14" customFormat="1" x14ac:dyDescent="0.55000000000000004">
      <c r="A330" s="40"/>
      <c r="B330" s="40"/>
      <c r="C330" s="36"/>
      <c r="D330" s="36"/>
      <c r="E330" s="24"/>
      <c r="F330" s="24"/>
      <c r="G330" s="24"/>
      <c r="H330" s="24"/>
      <c r="I330" s="24"/>
      <c r="J330" s="40"/>
      <c r="K330" s="40"/>
      <c r="L330" s="158"/>
    </row>
    <row r="331" spans="1:12" s="14" customFormat="1" x14ac:dyDescent="0.55000000000000004">
      <c r="A331" s="40"/>
      <c r="B331" s="40"/>
      <c r="C331" s="36"/>
      <c r="D331" s="36"/>
      <c r="E331" s="24"/>
      <c r="F331" s="24"/>
      <c r="G331" s="24"/>
      <c r="H331" s="24"/>
      <c r="I331" s="24"/>
      <c r="J331" s="40"/>
      <c r="K331" s="40"/>
      <c r="L331" s="158"/>
    </row>
    <row r="332" spans="1:12" s="14" customFormat="1" x14ac:dyDescent="0.55000000000000004">
      <c r="A332" s="40"/>
      <c r="B332" s="40"/>
      <c r="C332" s="36"/>
      <c r="D332" s="36"/>
      <c r="E332" s="24"/>
      <c r="F332" s="24"/>
      <c r="G332" s="24"/>
      <c r="H332" s="24"/>
      <c r="I332" s="24"/>
      <c r="J332" s="40"/>
      <c r="K332" s="40"/>
      <c r="L332" s="158"/>
    </row>
    <row r="333" spans="1:12" s="14" customFormat="1" x14ac:dyDescent="0.55000000000000004">
      <c r="A333" s="40"/>
      <c r="B333" s="40"/>
      <c r="C333" s="36"/>
      <c r="D333" s="36"/>
      <c r="E333" s="24"/>
      <c r="F333" s="24"/>
      <c r="G333" s="24"/>
      <c r="H333" s="24"/>
      <c r="I333" s="24"/>
      <c r="J333" s="40"/>
      <c r="K333" s="40"/>
      <c r="L333" s="158"/>
    </row>
    <row r="334" spans="1:12" s="14" customFormat="1" x14ac:dyDescent="0.55000000000000004">
      <c r="A334" s="40"/>
      <c r="B334" s="40"/>
      <c r="C334" s="36"/>
      <c r="D334" s="36"/>
      <c r="E334" s="24"/>
      <c r="F334" s="24"/>
      <c r="G334" s="24"/>
      <c r="H334" s="24"/>
      <c r="I334" s="24"/>
      <c r="J334" s="40"/>
      <c r="K334" s="40"/>
      <c r="L334" s="158"/>
    </row>
    <row r="335" spans="1:12" s="14" customFormat="1" x14ac:dyDescent="0.55000000000000004">
      <c r="A335" s="40"/>
      <c r="B335" s="40"/>
      <c r="C335" s="36"/>
      <c r="D335" s="36"/>
      <c r="E335" s="24"/>
      <c r="F335" s="24"/>
      <c r="G335" s="24"/>
      <c r="H335" s="24"/>
      <c r="I335" s="24"/>
      <c r="J335" s="40"/>
      <c r="K335" s="40"/>
      <c r="L335" s="158"/>
    </row>
    <row r="336" spans="1:12" s="14" customFormat="1" x14ac:dyDescent="0.55000000000000004">
      <c r="A336" s="40"/>
      <c r="B336" s="40"/>
      <c r="C336" s="36"/>
      <c r="D336" s="36"/>
      <c r="E336" s="24"/>
      <c r="F336" s="24"/>
      <c r="G336" s="24"/>
      <c r="H336" s="24"/>
      <c r="I336" s="24"/>
      <c r="J336" s="40"/>
      <c r="K336" s="40"/>
      <c r="L336" s="167"/>
    </row>
    <row r="337" spans="1:15" s="44" customFormat="1" x14ac:dyDescent="0.55000000000000004">
      <c r="A337" s="40"/>
      <c r="B337" s="40"/>
      <c r="C337" s="36"/>
      <c r="D337" s="36"/>
      <c r="E337" s="24"/>
      <c r="F337" s="24"/>
      <c r="G337" s="24"/>
      <c r="H337" s="24"/>
      <c r="I337" s="24"/>
      <c r="J337" s="40"/>
      <c r="K337" s="40"/>
      <c r="L337" s="158"/>
      <c r="M337" s="14"/>
      <c r="N337" s="14"/>
      <c r="O337" s="14"/>
    </row>
    <row r="338" spans="1:15" s="44" customFormat="1" x14ac:dyDescent="0.55000000000000004">
      <c r="A338" s="40"/>
      <c r="B338" s="40"/>
      <c r="C338" s="36"/>
      <c r="D338" s="36"/>
      <c r="E338" s="24"/>
      <c r="F338" s="24"/>
      <c r="G338" s="24"/>
      <c r="H338" s="24"/>
      <c r="I338" s="24"/>
      <c r="J338" s="40"/>
      <c r="K338" s="40"/>
      <c r="L338" s="158"/>
      <c r="M338" s="14"/>
      <c r="N338" s="14"/>
      <c r="O338" s="14"/>
    </row>
    <row r="339" spans="1:15" s="44" customFormat="1" x14ac:dyDescent="0.55000000000000004">
      <c r="A339" s="40"/>
      <c r="B339" s="40"/>
      <c r="C339" s="36"/>
      <c r="D339" s="36"/>
      <c r="E339" s="24"/>
      <c r="F339" s="24"/>
      <c r="G339" s="24"/>
      <c r="H339" s="24"/>
      <c r="I339" s="24"/>
      <c r="J339" s="40"/>
      <c r="K339" s="40"/>
      <c r="L339" s="158"/>
      <c r="M339" s="14"/>
      <c r="N339" s="14"/>
      <c r="O339" s="14"/>
    </row>
    <row r="340" spans="1:15" s="44" customFormat="1" x14ac:dyDescent="0.55000000000000004">
      <c r="A340" s="40"/>
      <c r="B340" s="40"/>
      <c r="C340" s="36"/>
      <c r="D340" s="36"/>
      <c r="E340" s="24"/>
      <c r="F340" s="24"/>
      <c r="G340" s="24"/>
      <c r="H340" s="24"/>
      <c r="I340" s="24"/>
      <c r="J340" s="40"/>
      <c r="K340" s="40"/>
      <c r="L340" s="158"/>
      <c r="M340" s="14"/>
      <c r="N340" s="14"/>
      <c r="O340" s="14"/>
    </row>
    <row r="341" spans="1:15" s="44" customFormat="1" x14ac:dyDescent="0.55000000000000004">
      <c r="A341" s="40"/>
      <c r="B341" s="40"/>
      <c r="C341" s="36"/>
      <c r="D341" s="36"/>
      <c r="E341" s="24"/>
      <c r="F341" s="24"/>
      <c r="G341" s="24"/>
      <c r="H341" s="24"/>
      <c r="I341" s="24"/>
      <c r="J341" s="40"/>
      <c r="K341" s="40"/>
      <c r="L341" s="158"/>
      <c r="M341" s="14"/>
      <c r="N341" s="14"/>
      <c r="O341" s="14"/>
    </row>
    <row r="342" spans="1:15" s="44" customFormat="1" x14ac:dyDescent="0.55000000000000004">
      <c r="A342" s="40"/>
      <c r="B342" s="40"/>
      <c r="C342" s="36"/>
      <c r="D342" s="36"/>
      <c r="E342" s="24"/>
      <c r="F342" s="24"/>
      <c r="G342" s="24"/>
      <c r="H342" s="24"/>
      <c r="I342" s="24"/>
      <c r="J342" s="40"/>
      <c r="K342" s="40"/>
      <c r="L342" s="158"/>
      <c r="M342" s="14"/>
      <c r="N342" s="14"/>
      <c r="O342" s="14"/>
    </row>
    <row r="343" spans="1:15" s="44" customFormat="1" x14ac:dyDescent="0.55000000000000004">
      <c r="A343" s="40"/>
      <c r="B343" s="40"/>
      <c r="C343" s="36"/>
      <c r="D343" s="36"/>
      <c r="E343" s="24"/>
      <c r="F343" s="24"/>
      <c r="G343" s="24"/>
      <c r="H343" s="24"/>
      <c r="I343" s="24"/>
      <c r="J343" s="40"/>
      <c r="K343" s="40"/>
      <c r="L343" s="158"/>
      <c r="M343" s="14"/>
      <c r="N343" s="14"/>
      <c r="O343" s="14"/>
    </row>
    <row r="344" spans="1:15" s="44" customFormat="1" x14ac:dyDescent="0.55000000000000004">
      <c r="A344" s="40"/>
      <c r="B344" s="40"/>
      <c r="C344" s="36"/>
      <c r="D344" s="36"/>
      <c r="E344" s="24"/>
      <c r="F344" s="24"/>
      <c r="G344" s="24"/>
      <c r="H344" s="24"/>
      <c r="I344" s="24"/>
      <c r="J344" s="40"/>
      <c r="K344" s="40"/>
      <c r="L344" s="158"/>
      <c r="M344" s="14"/>
      <c r="N344" s="14"/>
      <c r="O344" s="14"/>
    </row>
    <row r="345" spans="1:15" s="14" customFormat="1" x14ac:dyDescent="0.55000000000000004">
      <c r="A345" s="40"/>
      <c r="B345" s="40"/>
      <c r="C345" s="36"/>
      <c r="D345" s="36"/>
      <c r="E345" s="24"/>
      <c r="F345" s="24"/>
      <c r="G345" s="24"/>
      <c r="H345" s="24"/>
      <c r="I345" s="24"/>
      <c r="J345" s="40"/>
      <c r="K345" s="40"/>
      <c r="L345" s="158"/>
    </row>
    <row r="346" spans="1:15" s="14" customFormat="1" x14ac:dyDescent="0.55000000000000004">
      <c r="A346" s="40"/>
      <c r="B346" s="40"/>
      <c r="C346" s="36"/>
      <c r="D346" s="36"/>
      <c r="E346" s="24"/>
      <c r="F346" s="24"/>
      <c r="G346" s="24"/>
      <c r="H346" s="24"/>
      <c r="I346" s="24"/>
      <c r="J346" s="40"/>
      <c r="K346" s="40"/>
      <c r="L346" s="167"/>
    </row>
    <row r="347" spans="1:15" s="14" customFormat="1" x14ac:dyDescent="0.55000000000000004">
      <c r="A347" s="40"/>
      <c r="B347" s="40"/>
      <c r="C347" s="36"/>
      <c r="D347" s="36"/>
      <c r="E347" s="24"/>
      <c r="F347" s="24"/>
      <c r="G347" s="24"/>
      <c r="H347" s="24"/>
      <c r="I347" s="24"/>
      <c r="J347" s="40"/>
      <c r="K347" s="40"/>
      <c r="L347" s="158"/>
    </row>
    <row r="348" spans="1:15" s="14" customFormat="1" x14ac:dyDescent="0.55000000000000004">
      <c r="A348" s="40"/>
      <c r="B348" s="40"/>
      <c r="C348" s="36"/>
      <c r="D348" s="36"/>
      <c r="E348" s="24"/>
      <c r="F348" s="24"/>
      <c r="G348" s="24"/>
      <c r="H348" s="24"/>
      <c r="I348" s="24"/>
      <c r="J348" s="40"/>
      <c r="K348" s="40"/>
      <c r="L348" s="158"/>
    </row>
    <row r="349" spans="1:15" s="14" customFormat="1" x14ac:dyDescent="0.55000000000000004">
      <c r="A349" s="40"/>
      <c r="B349" s="40"/>
      <c r="C349" s="36"/>
      <c r="D349" s="36"/>
      <c r="E349" s="24"/>
      <c r="F349" s="24"/>
      <c r="G349" s="24"/>
      <c r="H349" s="24"/>
      <c r="I349" s="24"/>
      <c r="J349" s="40"/>
      <c r="K349" s="40"/>
      <c r="L349" s="158"/>
    </row>
    <row r="350" spans="1:15" s="44" customFormat="1" x14ac:dyDescent="0.55000000000000004">
      <c r="A350" s="40"/>
      <c r="B350" s="40"/>
      <c r="C350" s="36"/>
      <c r="D350" s="36"/>
      <c r="E350" s="24"/>
      <c r="F350" s="24"/>
      <c r="G350" s="24"/>
      <c r="H350" s="24"/>
      <c r="I350" s="24"/>
      <c r="J350" s="40"/>
      <c r="K350" s="40"/>
      <c r="L350" s="158"/>
      <c r="M350" s="14"/>
      <c r="N350" s="14"/>
      <c r="O350" s="14"/>
    </row>
    <row r="351" spans="1:15" s="14" customFormat="1" x14ac:dyDescent="0.55000000000000004">
      <c r="A351" s="40"/>
      <c r="B351" s="40"/>
      <c r="C351" s="36"/>
      <c r="D351" s="36"/>
      <c r="E351" s="24"/>
      <c r="F351" s="24"/>
      <c r="G351" s="24"/>
      <c r="H351" s="24"/>
      <c r="I351" s="24"/>
      <c r="J351" s="40"/>
      <c r="K351" s="40"/>
      <c r="L351" s="158"/>
    </row>
    <row r="352" spans="1:15" s="14" customFormat="1" x14ac:dyDescent="0.55000000000000004">
      <c r="A352" s="40"/>
      <c r="B352" s="40"/>
      <c r="C352" s="36"/>
      <c r="D352" s="36"/>
      <c r="E352" s="24"/>
      <c r="F352" s="24"/>
      <c r="G352" s="24"/>
      <c r="H352" s="24"/>
      <c r="I352" s="24"/>
      <c r="J352" s="40"/>
      <c r="K352" s="40"/>
      <c r="L352" s="158"/>
    </row>
    <row r="353" spans="1:15" s="14" customFormat="1" x14ac:dyDescent="0.55000000000000004">
      <c r="A353" s="40"/>
      <c r="B353" s="40"/>
      <c r="C353" s="36"/>
      <c r="D353" s="36"/>
      <c r="E353" s="24"/>
      <c r="F353" s="24"/>
      <c r="G353" s="24"/>
      <c r="H353" s="24"/>
      <c r="I353" s="24"/>
      <c r="J353" s="40"/>
      <c r="K353" s="40"/>
      <c r="L353" s="158"/>
    </row>
    <row r="354" spans="1:15" s="14" customFormat="1" x14ac:dyDescent="0.55000000000000004">
      <c r="A354" s="40"/>
      <c r="B354" s="40"/>
      <c r="C354" s="36"/>
      <c r="D354" s="36"/>
      <c r="E354" s="24"/>
      <c r="F354" s="24"/>
      <c r="G354" s="24"/>
      <c r="H354" s="24"/>
      <c r="I354" s="24"/>
      <c r="J354" s="40"/>
      <c r="K354" s="40"/>
      <c r="L354" s="158"/>
    </row>
    <row r="355" spans="1:15" s="14" customFormat="1" x14ac:dyDescent="0.55000000000000004">
      <c r="A355" s="40"/>
      <c r="B355" s="40"/>
      <c r="C355" s="36"/>
      <c r="D355" s="36"/>
      <c r="E355" s="24"/>
      <c r="F355" s="24"/>
      <c r="G355" s="24"/>
      <c r="H355" s="24"/>
      <c r="I355" s="24"/>
      <c r="J355" s="40"/>
      <c r="K355" s="40"/>
      <c r="L355" s="158"/>
    </row>
    <row r="356" spans="1:15" s="14" customFormat="1" x14ac:dyDescent="0.55000000000000004">
      <c r="A356" s="40"/>
      <c r="B356" s="40"/>
      <c r="C356" s="36"/>
      <c r="D356" s="36"/>
      <c r="E356" s="24"/>
      <c r="F356" s="24"/>
      <c r="G356" s="24"/>
      <c r="H356" s="24"/>
      <c r="I356" s="24"/>
      <c r="J356" s="40"/>
      <c r="K356" s="40"/>
      <c r="L356" s="167"/>
    </row>
    <row r="357" spans="1:15" s="14" customFormat="1" x14ac:dyDescent="0.55000000000000004">
      <c r="A357" s="40"/>
      <c r="B357" s="40"/>
      <c r="C357" s="36"/>
      <c r="D357" s="36"/>
      <c r="E357" s="24"/>
      <c r="F357" s="24"/>
      <c r="G357" s="24"/>
      <c r="H357" s="24"/>
      <c r="I357" s="24"/>
      <c r="J357" s="40"/>
      <c r="K357" s="40"/>
      <c r="L357" s="158"/>
    </row>
    <row r="358" spans="1:15" s="14" customFormat="1" x14ac:dyDescent="0.55000000000000004">
      <c r="A358" s="40"/>
      <c r="B358" s="40"/>
      <c r="C358" s="40"/>
      <c r="D358" s="40"/>
      <c r="E358" s="24"/>
      <c r="F358" s="24"/>
      <c r="G358" s="24"/>
      <c r="H358" s="24"/>
      <c r="I358" s="24"/>
      <c r="J358" s="40"/>
      <c r="K358" s="40"/>
      <c r="L358" s="158"/>
    </row>
    <row r="359" spans="1:15" s="14" customFormat="1" x14ac:dyDescent="0.55000000000000004">
      <c r="A359" s="40"/>
      <c r="B359" s="40"/>
      <c r="C359" s="40"/>
      <c r="D359" s="40"/>
      <c r="E359" s="24"/>
      <c r="F359" s="24"/>
      <c r="G359" s="24"/>
      <c r="H359" s="24"/>
      <c r="I359" s="24"/>
      <c r="J359" s="40"/>
      <c r="K359" s="40"/>
      <c r="L359" s="158"/>
    </row>
    <row r="360" spans="1:15" s="14" customFormat="1" x14ac:dyDescent="0.55000000000000004">
      <c r="A360" s="40"/>
      <c r="B360" s="40"/>
      <c r="C360" s="40"/>
      <c r="D360" s="40"/>
      <c r="E360" s="24"/>
      <c r="F360" s="24"/>
      <c r="G360" s="24"/>
      <c r="H360" s="24"/>
      <c r="I360" s="24"/>
      <c r="J360" s="40"/>
      <c r="K360" s="40"/>
      <c r="L360" s="158"/>
    </row>
    <row r="361" spans="1:15" s="14" customFormat="1" x14ac:dyDescent="0.55000000000000004">
      <c r="A361" s="46"/>
      <c r="B361" s="40"/>
      <c r="C361" s="36"/>
      <c r="D361" s="36"/>
      <c r="E361" s="23"/>
      <c r="F361" s="23"/>
      <c r="G361" s="23"/>
      <c r="H361" s="23"/>
      <c r="I361" s="24"/>
      <c r="J361" s="40"/>
      <c r="K361" s="40"/>
      <c r="L361" s="168"/>
      <c r="M361" s="44"/>
      <c r="N361" s="44"/>
      <c r="O361" s="44"/>
    </row>
    <row r="362" spans="1:15" s="14" customFormat="1" x14ac:dyDescent="0.55000000000000004">
      <c r="A362" s="46"/>
      <c r="B362" s="40"/>
      <c r="C362" s="36"/>
      <c r="D362" s="36"/>
      <c r="E362" s="24"/>
      <c r="F362" s="24"/>
      <c r="G362" s="24"/>
      <c r="H362" s="24"/>
      <c r="I362" s="31"/>
      <c r="J362" s="40"/>
      <c r="K362" s="40"/>
      <c r="L362" s="167"/>
      <c r="M362" s="44"/>
      <c r="N362" s="44"/>
      <c r="O362" s="44"/>
    </row>
    <row r="363" spans="1:15" s="14" customFormat="1" x14ac:dyDescent="0.55000000000000004">
      <c r="A363" s="46"/>
      <c r="B363" s="40"/>
      <c r="C363" s="36"/>
      <c r="D363" s="36"/>
      <c r="E363" s="24"/>
      <c r="F363" s="24"/>
      <c r="G363" s="24"/>
      <c r="H363" s="24"/>
      <c r="I363" s="24"/>
      <c r="J363" s="40"/>
      <c r="K363" s="40"/>
      <c r="L363" s="161"/>
      <c r="M363" s="44"/>
      <c r="N363" s="44"/>
      <c r="O363" s="44"/>
    </row>
    <row r="364" spans="1:15" s="14" customFormat="1" x14ac:dyDescent="0.55000000000000004">
      <c r="A364" s="46"/>
      <c r="B364" s="40"/>
      <c r="C364" s="36"/>
      <c r="D364" s="36"/>
      <c r="E364" s="24"/>
      <c r="F364" s="24"/>
      <c r="G364" s="24"/>
      <c r="H364" s="24"/>
      <c r="I364" s="24"/>
      <c r="J364" s="40"/>
      <c r="K364" s="40"/>
      <c r="L364" s="160"/>
      <c r="M364" s="44"/>
      <c r="N364" s="44"/>
      <c r="O364" s="44"/>
    </row>
    <row r="365" spans="1:15" s="14" customFormat="1" x14ac:dyDescent="0.55000000000000004">
      <c r="A365" s="46"/>
      <c r="B365" s="40"/>
      <c r="C365" s="36"/>
      <c r="D365" s="36"/>
      <c r="E365" s="24"/>
      <c r="F365" s="24"/>
      <c r="G365" s="24"/>
      <c r="H365" s="24"/>
      <c r="I365" s="24"/>
      <c r="J365" s="40"/>
      <c r="K365" s="40"/>
      <c r="L365" s="161"/>
      <c r="M365" s="44"/>
      <c r="N365" s="44"/>
      <c r="O365" s="44"/>
    </row>
    <row r="366" spans="1:15" s="14" customFormat="1" x14ac:dyDescent="0.55000000000000004">
      <c r="A366" s="46"/>
      <c r="B366" s="40"/>
      <c r="C366" s="36"/>
      <c r="D366" s="36"/>
      <c r="E366" s="24"/>
      <c r="F366" s="24"/>
      <c r="G366" s="24"/>
      <c r="H366" s="24"/>
      <c r="I366" s="24"/>
      <c r="J366" s="40"/>
      <c r="K366" s="40"/>
      <c r="L366" s="158"/>
      <c r="M366" s="44"/>
      <c r="N366" s="44"/>
      <c r="O366" s="44"/>
    </row>
    <row r="367" spans="1:15" s="14" customFormat="1" x14ac:dyDescent="0.55000000000000004">
      <c r="A367" s="46"/>
      <c r="B367" s="40"/>
      <c r="C367" s="36"/>
      <c r="D367" s="36"/>
      <c r="E367" s="24"/>
      <c r="F367" s="24"/>
      <c r="G367" s="24"/>
      <c r="H367" s="24"/>
      <c r="I367" s="24"/>
      <c r="J367" s="40"/>
      <c r="K367" s="40"/>
      <c r="L367" s="33"/>
      <c r="M367" s="44"/>
      <c r="N367" s="44"/>
      <c r="O367" s="44"/>
    </row>
    <row r="368" spans="1:15" s="14" customFormat="1" x14ac:dyDescent="0.55000000000000004">
      <c r="A368" s="46"/>
      <c r="B368" s="40"/>
      <c r="C368" s="36"/>
      <c r="D368" s="36"/>
      <c r="E368" s="24"/>
      <c r="F368" s="24"/>
      <c r="G368" s="24"/>
      <c r="H368" s="24"/>
      <c r="I368" s="24"/>
      <c r="J368" s="40"/>
      <c r="K368" s="40"/>
      <c r="L368" s="160"/>
      <c r="M368" s="44"/>
      <c r="N368" s="44"/>
      <c r="O368" s="44"/>
    </row>
    <row r="369" spans="1:15" s="14" customFormat="1" x14ac:dyDescent="0.55000000000000004">
      <c r="A369" s="40"/>
      <c r="B369" s="40"/>
      <c r="C369" s="36"/>
      <c r="D369" s="36"/>
      <c r="E369" s="24"/>
      <c r="F369" s="24"/>
      <c r="G369" s="24"/>
      <c r="H369" s="24"/>
      <c r="I369" s="24"/>
      <c r="J369" s="40"/>
      <c r="K369" s="40"/>
      <c r="L369" s="33"/>
    </row>
    <row r="370" spans="1:15" s="14" customFormat="1" x14ac:dyDescent="0.55000000000000004">
      <c r="A370" s="40"/>
      <c r="B370" s="40"/>
      <c r="C370" s="36"/>
      <c r="D370" s="36"/>
      <c r="E370" s="24"/>
      <c r="F370" s="24"/>
      <c r="G370" s="24"/>
      <c r="H370" s="24"/>
      <c r="I370" s="24"/>
      <c r="J370" s="40"/>
      <c r="K370" s="40"/>
      <c r="L370" s="161"/>
    </row>
    <row r="371" spans="1:15" s="14" customFormat="1" x14ac:dyDescent="0.55000000000000004">
      <c r="A371" s="40"/>
      <c r="B371" s="40"/>
      <c r="C371" s="36"/>
      <c r="D371" s="36"/>
      <c r="E371" s="24"/>
      <c r="F371" s="24"/>
      <c r="G371" s="24"/>
      <c r="H371" s="24"/>
      <c r="I371" s="24"/>
      <c r="J371" s="40"/>
      <c r="K371" s="40"/>
      <c r="L371" s="161"/>
    </row>
    <row r="372" spans="1:15" s="14" customFormat="1" x14ac:dyDescent="0.55000000000000004">
      <c r="A372" s="40"/>
      <c r="B372" s="40"/>
      <c r="C372" s="36"/>
      <c r="D372" s="36"/>
      <c r="E372" s="24"/>
      <c r="F372" s="24"/>
      <c r="G372" s="24"/>
      <c r="H372" s="24"/>
      <c r="I372" s="24"/>
      <c r="J372" s="40"/>
      <c r="K372" s="40"/>
      <c r="L372" s="167"/>
    </row>
    <row r="373" spans="1:15" s="14" customFormat="1" x14ac:dyDescent="0.55000000000000004">
      <c r="A373" s="40"/>
      <c r="B373" s="40"/>
      <c r="C373" s="36"/>
      <c r="D373" s="36"/>
      <c r="E373" s="24"/>
      <c r="F373" s="24"/>
      <c r="G373" s="24"/>
      <c r="H373" s="24"/>
      <c r="I373" s="24"/>
      <c r="J373" s="40"/>
      <c r="K373" s="40"/>
      <c r="L373" s="167"/>
    </row>
    <row r="374" spans="1:15" s="14" customFormat="1" x14ac:dyDescent="0.55000000000000004">
      <c r="A374" s="46"/>
      <c r="B374" s="40"/>
      <c r="C374" s="36"/>
      <c r="D374" s="36"/>
      <c r="E374" s="24"/>
      <c r="F374" s="24"/>
      <c r="G374" s="24"/>
      <c r="H374" s="24"/>
      <c r="I374" s="24"/>
      <c r="J374" s="40"/>
      <c r="K374" s="40"/>
      <c r="L374" s="158"/>
      <c r="M374" s="44"/>
      <c r="N374" s="44"/>
      <c r="O374" s="44"/>
    </row>
    <row r="375" spans="1:15" s="14" customFormat="1" x14ac:dyDescent="0.55000000000000004">
      <c r="A375" s="40"/>
      <c r="B375" s="40"/>
      <c r="C375" s="36"/>
      <c r="D375" s="36"/>
      <c r="E375" s="24"/>
      <c r="F375" s="24"/>
      <c r="G375" s="24"/>
      <c r="H375" s="24"/>
      <c r="I375" s="24"/>
      <c r="J375" s="40"/>
      <c r="K375" s="40"/>
      <c r="L375" s="158"/>
    </row>
    <row r="376" spans="1:15" s="14" customFormat="1" x14ac:dyDescent="0.55000000000000004">
      <c r="A376" s="40"/>
      <c r="B376" s="40"/>
      <c r="C376" s="36"/>
      <c r="D376" s="36"/>
      <c r="E376" s="24"/>
      <c r="F376" s="24"/>
      <c r="G376" s="24"/>
      <c r="H376" s="24"/>
      <c r="I376" s="24"/>
      <c r="J376" s="40"/>
      <c r="K376" s="40"/>
      <c r="L376" s="158"/>
    </row>
    <row r="377" spans="1:15" s="14" customFormat="1" x14ac:dyDescent="0.55000000000000004">
      <c r="A377" s="40"/>
      <c r="B377" s="40"/>
      <c r="C377" s="36"/>
      <c r="D377" s="36"/>
      <c r="E377" s="24"/>
      <c r="F377" s="24"/>
      <c r="G377" s="24"/>
      <c r="H377" s="24"/>
      <c r="I377" s="24"/>
      <c r="J377" s="40"/>
      <c r="K377" s="40"/>
      <c r="L377" s="158"/>
    </row>
    <row r="378" spans="1:15" s="14" customFormat="1" x14ac:dyDescent="0.55000000000000004">
      <c r="A378" s="40"/>
      <c r="B378" s="40"/>
      <c r="C378" s="36"/>
      <c r="D378" s="36"/>
      <c r="E378" s="24"/>
      <c r="F378" s="24"/>
      <c r="G378" s="24"/>
      <c r="H378" s="24"/>
      <c r="I378" s="24"/>
      <c r="J378" s="40"/>
      <c r="K378" s="40"/>
      <c r="L378" s="158"/>
    </row>
    <row r="379" spans="1:15" s="14" customFormat="1" x14ac:dyDescent="0.55000000000000004">
      <c r="A379" s="40"/>
      <c r="B379" s="40"/>
      <c r="C379" s="36"/>
      <c r="D379" s="36"/>
      <c r="E379" s="24"/>
      <c r="F379" s="24"/>
      <c r="G379" s="24"/>
      <c r="H379" s="24"/>
      <c r="I379" s="24"/>
      <c r="J379" s="40"/>
      <c r="K379" s="40"/>
      <c r="L379" s="158"/>
    </row>
    <row r="380" spans="1:15" s="14" customFormat="1" x14ac:dyDescent="0.55000000000000004">
      <c r="A380" s="40"/>
      <c r="B380" s="40"/>
      <c r="C380" s="36"/>
      <c r="D380" s="36"/>
      <c r="E380" s="24"/>
      <c r="F380" s="24"/>
      <c r="G380" s="24"/>
      <c r="H380" s="24"/>
      <c r="I380" s="24"/>
      <c r="J380" s="40"/>
      <c r="K380" s="40"/>
      <c r="L380" s="158"/>
    </row>
    <row r="381" spans="1:15" s="14" customFormat="1" x14ac:dyDescent="0.55000000000000004">
      <c r="A381" s="40"/>
      <c r="B381" s="40"/>
      <c r="C381" s="36"/>
      <c r="D381" s="36"/>
      <c r="E381" s="24"/>
      <c r="F381" s="24"/>
      <c r="G381" s="24"/>
      <c r="H381" s="24"/>
      <c r="I381" s="24"/>
      <c r="J381" s="40"/>
      <c r="K381" s="40"/>
      <c r="L381" s="158"/>
    </row>
    <row r="382" spans="1:15" s="14" customFormat="1" x14ac:dyDescent="0.55000000000000004">
      <c r="A382" s="40"/>
      <c r="B382" s="40"/>
      <c r="C382" s="36"/>
      <c r="D382" s="36"/>
      <c r="E382" s="24"/>
      <c r="F382" s="24"/>
      <c r="G382" s="24"/>
      <c r="H382" s="24"/>
      <c r="I382" s="24"/>
      <c r="J382" s="40"/>
      <c r="K382" s="40"/>
      <c r="L382" s="158"/>
    </row>
    <row r="383" spans="1:15" s="14" customFormat="1" x14ac:dyDescent="0.55000000000000004">
      <c r="A383" s="40"/>
      <c r="B383" s="40"/>
      <c r="C383" s="36"/>
      <c r="D383" s="36"/>
      <c r="E383" s="24"/>
      <c r="F383" s="24"/>
      <c r="G383" s="24"/>
      <c r="H383" s="24"/>
      <c r="I383" s="24"/>
      <c r="J383" s="40"/>
      <c r="K383" s="40"/>
      <c r="L383" s="167"/>
    </row>
    <row r="384" spans="1:15" s="44" customFormat="1" x14ac:dyDescent="0.55000000000000004">
      <c r="A384" s="40"/>
      <c r="B384" s="40"/>
      <c r="C384" s="36"/>
      <c r="D384" s="36"/>
      <c r="E384" s="24"/>
      <c r="F384" s="24"/>
      <c r="G384" s="24"/>
      <c r="H384" s="24"/>
      <c r="I384" s="24"/>
      <c r="J384" s="40"/>
      <c r="K384" s="40"/>
      <c r="L384" s="158"/>
      <c r="M384" s="14"/>
      <c r="N384" s="14"/>
      <c r="O384" s="14"/>
    </row>
    <row r="385" spans="1:15" s="44" customFormat="1" x14ac:dyDescent="0.55000000000000004">
      <c r="A385" s="40"/>
      <c r="B385" s="40"/>
      <c r="C385" s="36"/>
      <c r="D385" s="36"/>
      <c r="E385" s="24"/>
      <c r="F385" s="24"/>
      <c r="G385" s="24"/>
      <c r="H385" s="24"/>
      <c r="I385" s="24"/>
      <c r="J385" s="40"/>
      <c r="K385" s="40"/>
      <c r="L385" s="158"/>
      <c r="M385" s="14"/>
      <c r="N385" s="14"/>
      <c r="O385" s="14"/>
    </row>
    <row r="386" spans="1:15" s="44" customFormat="1" x14ac:dyDescent="0.55000000000000004">
      <c r="A386" s="40"/>
      <c r="B386" s="40"/>
      <c r="C386" s="36"/>
      <c r="D386" s="36"/>
      <c r="E386" s="24"/>
      <c r="F386" s="24"/>
      <c r="G386" s="24"/>
      <c r="H386" s="24"/>
      <c r="I386" s="24"/>
      <c r="J386" s="40"/>
      <c r="K386" s="40"/>
      <c r="L386" s="158"/>
      <c r="M386" s="14"/>
      <c r="N386" s="14"/>
      <c r="O386" s="14"/>
    </row>
    <row r="387" spans="1:15" s="44" customFormat="1" x14ac:dyDescent="0.55000000000000004">
      <c r="A387" s="40"/>
      <c r="B387" s="40"/>
      <c r="C387" s="36"/>
      <c r="D387" s="36"/>
      <c r="E387" s="24"/>
      <c r="F387" s="24"/>
      <c r="G387" s="24"/>
      <c r="H387" s="24"/>
      <c r="I387" s="24"/>
      <c r="J387" s="40"/>
      <c r="K387" s="40"/>
      <c r="L387" s="158"/>
      <c r="M387" s="14"/>
      <c r="N387" s="14"/>
      <c r="O387" s="14"/>
    </row>
    <row r="388" spans="1:15" s="44" customFormat="1" x14ac:dyDescent="0.55000000000000004">
      <c r="A388" s="40"/>
      <c r="B388" s="40"/>
      <c r="C388" s="36"/>
      <c r="D388" s="36"/>
      <c r="E388" s="24"/>
      <c r="F388" s="24"/>
      <c r="G388" s="24"/>
      <c r="H388" s="24"/>
      <c r="I388" s="24"/>
      <c r="J388" s="40"/>
      <c r="K388" s="40"/>
      <c r="L388" s="158"/>
      <c r="M388" s="14"/>
      <c r="N388" s="14"/>
      <c r="O388" s="14"/>
    </row>
    <row r="389" spans="1:15" s="44" customFormat="1" x14ac:dyDescent="0.55000000000000004">
      <c r="A389" s="40"/>
      <c r="B389" s="40"/>
      <c r="C389" s="36"/>
      <c r="D389" s="36"/>
      <c r="E389" s="24"/>
      <c r="F389" s="24"/>
      <c r="G389" s="24"/>
      <c r="H389" s="24"/>
      <c r="I389" s="24"/>
      <c r="J389" s="40"/>
      <c r="K389" s="40"/>
      <c r="L389" s="158"/>
      <c r="M389" s="14"/>
      <c r="N389" s="14"/>
      <c r="O389" s="14"/>
    </row>
    <row r="390" spans="1:15" s="44" customFormat="1" x14ac:dyDescent="0.55000000000000004">
      <c r="A390" s="40"/>
      <c r="B390" s="40"/>
      <c r="C390" s="36"/>
      <c r="D390" s="36"/>
      <c r="E390" s="24"/>
      <c r="F390" s="24"/>
      <c r="G390" s="24"/>
      <c r="H390" s="24"/>
      <c r="I390" s="24"/>
      <c r="J390" s="40"/>
      <c r="K390" s="40"/>
      <c r="L390" s="158"/>
      <c r="M390" s="14"/>
      <c r="N390" s="14"/>
      <c r="O390" s="14"/>
    </row>
    <row r="391" spans="1:15" s="44" customFormat="1" x14ac:dyDescent="0.55000000000000004">
      <c r="A391" s="40"/>
      <c r="B391" s="40"/>
      <c r="C391" s="36"/>
      <c r="D391" s="36"/>
      <c r="E391" s="24"/>
      <c r="F391" s="24"/>
      <c r="G391" s="24"/>
      <c r="H391" s="24"/>
      <c r="I391" s="24"/>
      <c r="J391" s="40"/>
      <c r="K391" s="40"/>
      <c r="L391" s="158"/>
      <c r="M391" s="14"/>
      <c r="N391" s="14"/>
      <c r="O391" s="14"/>
    </row>
    <row r="392" spans="1:15" s="14" customFormat="1" x14ac:dyDescent="0.55000000000000004">
      <c r="A392" s="40"/>
      <c r="B392" s="40"/>
      <c r="C392" s="36"/>
      <c r="D392" s="36"/>
      <c r="E392" s="24"/>
      <c r="F392" s="24"/>
      <c r="G392" s="24"/>
      <c r="H392" s="24"/>
      <c r="I392" s="24"/>
      <c r="J392" s="40"/>
      <c r="K392" s="40"/>
      <c r="L392" s="158"/>
    </row>
    <row r="393" spans="1:15" s="14" customFormat="1" x14ac:dyDescent="0.55000000000000004">
      <c r="A393" s="40"/>
      <c r="B393" s="40"/>
      <c r="C393" s="36"/>
      <c r="D393" s="36"/>
      <c r="E393" s="24"/>
      <c r="F393" s="24"/>
      <c r="G393" s="24"/>
      <c r="H393" s="24"/>
      <c r="I393" s="24"/>
      <c r="J393" s="40"/>
      <c r="K393" s="40"/>
      <c r="L393" s="167"/>
    </row>
    <row r="394" spans="1:15" s="14" customFormat="1" x14ac:dyDescent="0.55000000000000004">
      <c r="A394" s="40"/>
      <c r="B394" s="40"/>
      <c r="C394" s="36"/>
      <c r="D394" s="36"/>
      <c r="E394" s="24"/>
      <c r="F394" s="24"/>
      <c r="G394" s="24"/>
      <c r="H394" s="24"/>
      <c r="I394" s="24"/>
      <c r="J394" s="40"/>
      <c r="K394" s="40"/>
      <c r="L394" s="158"/>
    </row>
    <row r="395" spans="1:15" s="14" customFormat="1" x14ac:dyDescent="0.55000000000000004">
      <c r="A395" s="40"/>
      <c r="B395" s="40"/>
      <c r="C395" s="36"/>
      <c r="D395" s="36"/>
      <c r="E395" s="24"/>
      <c r="F395" s="24"/>
      <c r="G395" s="24"/>
      <c r="H395" s="24"/>
      <c r="I395" s="24"/>
      <c r="J395" s="40"/>
      <c r="K395" s="40"/>
      <c r="L395" s="158"/>
    </row>
    <row r="396" spans="1:15" s="14" customFormat="1" x14ac:dyDescent="0.55000000000000004">
      <c r="A396" s="40"/>
      <c r="B396" s="40"/>
      <c r="C396" s="36"/>
      <c r="D396" s="36"/>
      <c r="E396" s="24"/>
      <c r="F396" s="24"/>
      <c r="G396" s="24"/>
      <c r="H396" s="24"/>
      <c r="I396" s="24"/>
      <c r="J396" s="40"/>
      <c r="K396" s="40"/>
      <c r="L396" s="158"/>
    </row>
    <row r="397" spans="1:15" s="44" customFormat="1" x14ac:dyDescent="0.55000000000000004">
      <c r="A397" s="40"/>
      <c r="B397" s="40"/>
      <c r="C397" s="36"/>
      <c r="D397" s="36"/>
      <c r="E397" s="24"/>
      <c r="F397" s="24"/>
      <c r="G397" s="24"/>
      <c r="H397" s="24"/>
      <c r="I397" s="24"/>
      <c r="J397" s="40"/>
      <c r="K397" s="40"/>
      <c r="L397" s="158"/>
      <c r="M397" s="14"/>
      <c r="N397" s="14"/>
      <c r="O397" s="14"/>
    </row>
    <row r="398" spans="1:15" s="14" customFormat="1" x14ac:dyDescent="0.55000000000000004">
      <c r="A398" s="40"/>
      <c r="B398" s="40"/>
      <c r="C398" s="36"/>
      <c r="D398" s="36"/>
      <c r="E398" s="24"/>
      <c r="F398" s="24"/>
      <c r="G398" s="24"/>
      <c r="H398" s="24"/>
      <c r="I398" s="24"/>
      <c r="J398" s="40"/>
      <c r="K398" s="40"/>
      <c r="L398" s="158"/>
    </row>
    <row r="399" spans="1:15" s="14" customFormat="1" x14ac:dyDescent="0.55000000000000004">
      <c r="A399" s="40"/>
      <c r="B399" s="40"/>
      <c r="C399" s="36"/>
      <c r="D399" s="36"/>
      <c r="E399" s="24"/>
      <c r="F399" s="24"/>
      <c r="G399" s="24"/>
      <c r="H399" s="24"/>
      <c r="I399" s="24"/>
      <c r="J399" s="40"/>
      <c r="K399" s="40"/>
      <c r="L399" s="158"/>
    </row>
    <row r="400" spans="1:15" s="14" customFormat="1" x14ac:dyDescent="0.55000000000000004">
      <c r="A400" s="40"/>
      <c r="B400" s="40"/>
      <c r="C400" s="36"/>
      <c r="D400" s="36"/>
      <c r="E400" s="24"/>
      <c r="F400" s="24"/>
      <c r="G400" s="24"/>
      <c r="H400" s="24"/>
      <c r="I400" s="24"/>
      <c r="J400" s="40"/>
      <c r="K400" s="40"/>
      <c r="L400" s="158"/>
    </row>
    <row r="401" spans="1:15" s="14" customFormat="1" x14ac:dyDescent="0.55000000000000004">
      <c r="A401" s="40"/>
      <c r="B401" s="40"/>
      <c r="C401" s="36"/>
      <c r="D401" s="36"/>
      <c r="E401" s="24"/>
      <c r="F401" s="24"/>
      <c r="G401" s="24"/>
      <c r="H401" s="24"/>
      <c r="I401" s="24"/>
      <c r="J401" s="40"/>
      <c r="K401" s="40"/>
      <c r="L401" s="158"/>
    </row>
    <row r="402" spans="1:15" s="14" customFormat="1" x14ac:dyDescent="0.55000000000000004">
      <c r="A402" s="40"/>
      <c r="B402" s="40"/>
      <c r="C402" s="36"/>
      <c r="D402" s="36"/>
      <c r="E402" s="24"/>
      <c r="F402" s="24"/>
      <c r="G402" s="24"/>
      <c r="H402" s="24"/>
      <c r="I402" s="24"/>
      <c r="J402" s="40"/>
      <c r="K402" s="40"/>
      <c r="L402" s="158"/>
    </row>
    <row r="403" spans="1:15" s="14" customFormat="1" x14ac:dyDescent="0.55000000000000004">
      <c r="A403" s="40"/>
      <c r="B403" s="40"/>
      <c r="C403" s="36"/>
      <c r="D403" s="36"/>
      <c r="E403" s="24"/>
      <c r="F403" s="24"/>
      <c r="G403" s="24"/>
      <c r="H403" s="24"/>
      <c r="I403" s="24"/>
      <c r="J403" s="40"/>
      <c r="K403" s="40"/>
      <c r="L403" s="167"/>
    </row>
    <row r="404" spans="1:15" s="14" customFormat="1" x14ac:dyDescent="0.55000000000000004">
      <c r="A404" s="40"/>
      <c r="B404" s="40"/>
      <c r="C404" s="36"/>
      <c r="D404" s="36"/>
      <c r="E404" s="24"/>
      <c r="F404" s="24"/>
      <c r="G404" s="24"/>
      <c r="H404" s="24"/>
      <c r="I404" s="24"/>
      <c r="J404" s="40"/>
      <c r="K404" s="40"/>
      <c r="L404" s="158"/>
    </row>
    <row r="405" spans="1:15" s="14" customFormat="1" x14ac:dyDescent="0.55000000000000004">
      <c r="A405" s="40"/>
      <c r="B405" s="40"/>
      <c r="C405" s="40"/>
      <c r="D405" s="40"/>
      <c r="E405" s="24"/>
      <c r="F405" s="24"/>
      <c r="G405" s="24"/>
      <c r="H405" s="24"/>
      <c r="I405" s="24"/>
      <c r="J405" s="40"/>
      <c r="K405" s="40"/>
      <c r="L405" s="158"/>
    </row>
    <row r="406" spans="1:15" s="14" customFormat="1" x14ac:dyDescent="0.55000000000000004">
      <c r="A406" s="40"/>
      <c r="B406" s="40"/>
      <c r="C406" s="40"/>
      <c r="D406" s="40"/>
      <c r="E406" s="24"/>
      <c r="F406" s="24"/>
      <c r="G406" s="24"/>
      <c r="H406" s="24"/>
      <c r="I406" s="24"/>
      <c r="J406" s="40"/>
      <c r="K406" s="40"/>
      <c r="L406" s="158"/>
    </row>
    <row r="407" spans="1:15" s="14" customFormat="1" x14ac:dyDescent="0.55000000000000004">
      <c r="A407" s="40"/>
      <c r="B407" s="40"/>
      <c r="C407" s="40"/>
      <c r="D407" s="40"/>
      <c r="E407" s="24"/>
      <c r="F407" s="24"/>
      <c r="G407" s="24"/>
      <c r="H407" s="24"/>
      <c r="I407" s="24"/>
      <c r="J407" s="40"/>
      <c r="K407" s="40"/>
      <c r="L407" s="158"/>
    </row>
    <row r="408" spans="1:15" s="14" customFormat="1" x14ac:dyDescent="0.55000000000000004">
      <c r="A408" s="46"/>
      <c r="B408" s="40"/>
      <c r="C408" s="36"/>
      <c r="D408" s="36"/>
      <c r="E408" s="23"/>
      <c r="F408" s="23"/>
      <c r="G408" s="23"/>
      <c r="H408" s="23"/>
      <c r="I408" s="24"/>
      <c r="J408" s="40"/>
      <c r="K408" s="40"/>
      <c r="L408" s="168"/>
      <c r="M408" s="44"/>
      <c r="N408" s="44"/>
      <c r="O408" s="44"/>
    </row>
    <row r="409" spans="1:15" s="14" customFormat="1" x14ac:dyDescent="0.55000000000000004">
      <c r="A409" s="46"/>
      <c r="B409" s="40"/>
      <c r="C409" s="36"/>
      <c r="D409" s="36"/>
      <c r="E409" s="24"/>
      <c r="F409" s="24"/>
      <c r="G409" s="24"/>
      <c r="H409" s="24"/>
      <c r="I409" s="31"/>
      <c r="J409" s="40"/>
      <c r="K409" s="40"/>
      <c r="L409" s="167"/>
      <c r="M409" s="44"/>
      <c r="N409" s="44"/>
      <c r="O409" s="44"/>
    </row>
    <row r="410" spans="1:15" s="14" customFormat="1" x14ac:dyDescent="0.55000000000000004">
      <c r="A410" s="46"/>
      <c r="B410" s="40"/>
      <c r="C410" s="36"/>
      <c r="D410" s="36"/>
      <c r="E410" s="24"/>
      <c r="F410" s="24"/>
      <c r="G410" s="24"/>
      <c r="H410" s="24"/>
      <c r="I410" s="24"/>
      <c r="J410" s="40"/>
      <c r="K410" s="40"/>
      <c r="L410" s="161"/>
      <c r="M410" s="44"/>
      <c r="N410" s="44"/>
      <c r="O410" s="44"/>
    </row>
    <row r="411" spans="1:15" s="14" customFormat="1" x14ac:dyDescent="0.55000000000000004">
      <c r="A411" s="46"/>
      <c r="B411" s="40"/>
      <c r="C411" s="36"/>
      <c r="D411" s="36"/>
      <c r="E411" s="24"/>
      <c r="F411" s="24"/>
      <c r="G411" s="24"/>
      <c r="H411" s="24"/>
      <c r="I411" s="24"/>
      <c r="J411" s="40"/>
      <c r="K411" s="40"/>
      <c r="L411" s="160"/>
      <c r="M411" s="44"/>
      <c r="N411" s="44"/>
      <c r="O411" s="44"/>
    </row>
    <row r="412" spans="1:15" s="14" customFormat="1" x14ac:dyDescent="0.55000000000000004">
      <c r="A412" s="46"/>
      <c r="B412" s="40"/>
      <c r="C412" s="36"/>
      <c r="D412" s="36"/>
      <c r="E412" s="24"/>
      <c r="F412" s="24"/>
      <c r="G412" s="24"/>
      <c r="H412" s="24"/>
      <c r="I412" s="24"/>
      <c r="J412" s="40"/>
      <c r="K412" s="40"/>
      <c r="L412" s="161"/>
      <c r="M412" s="44"/>
      <c r="N412" s="44"/>
      <c r="O412" s="44"/>
    </row>
    <row r="413" spans="1:15" s="14" customFormat="1" x14ac:dyDescent="0.55000000000000004">
      <c r="A413" s="46"/>
      <c r="B413" s="40"/>
      <c r="C413" s="36"/>
      <c r="D413" s="36"/>
      <c r="E413" s="24"/>
      <c r="F413" s="24"/>
      <c r="G413" s="24"/>
      <c r="H413" s="24"/>
      <c r="I413" s="24"/>
      <c r="J413" s="40"/>
      <c r="K413" s="40"/>
      <c r="L413" s="158"/>
      <c r="M413" s="44"/>
      <c r="N413" s="44"/>
      <c r="O413" s="44"/>
    </row>
    <row r="414" spans="1:15" s="14" customFormat="1" x14ac:dyDescent="0.55000000000000004">
      <c r="A414" s="46"/>
      <c r="B414" s="40"/>
      <c r="C414" s="36"/>
      <c r="D414" s="36"/>
      <c r="E414" s="24"/>
      <c r="F414" s="24"/>
      <c r="G414" s="24"/>
      <c r="H414" s="24"/>
      <c r="I414" s="24"/>
      <c r="J414" s="40"/>
      <c r="K414" s="40"/>
      <c r="L414" s="33"/>
      <c r="M414" s="44"/>
      <c r="N414" s="44"/>
      <c r="O414" s="44"/>
    </row>
    <row r="415" spans="1:15" s="14" customFormat="1" x14ac:dyDescent="0.55000000000000004">
      <c r="A415" s="46"/>
      <c r="B415" s="40"/>
      <c r="C415" s="36"/>
      <c r="D415" s="36"/>
      <c r="E415" s="24"/>
      <c r="F415" s="24"/>
      <c r="G415" s="24"/>
      <c r="H415" s="24"/>
      <c r="I415" s="24"/>
      <c r="J415" s="40"/>
      <c r="K415" s="40"/>
      <c r="L415" s="160"/>
      <c r="M415" s="44"/>
      <c r="N415" s="44"/>
      <c r="O415" s="44"/>
    </row>
    <row r="416" spans="1:15" s="14" customFormat="1" x14ac:dyDescent="0.55000000000000004">
      <c r="A416" s="40"/>
      <c r="B416" s="40"/>
      <c r="C416" s="36"/>
      <c r="D416" s="36"/>
      <c r="E416" s="24"/>
      <c r="F416" s="24"/>
      <c r="G416" s="24"/>
      <c r="H416" s="24"/>
      <c r="I416" s="24"/>
      <c r="J416" s="40"/>
      <c r="K416" s="40"/>
      <c r="L416" s="33"/>
    </row>
    <row r="417" spans="1:15" s="14" customFormat="1" x14ac:dyDescent="0.55000000000000004">
      <c r="A417" s="40"/>
      <c r="B417" s="40"/>
      <c r="C417" s="36"/>
      <c r="D417" s="36"/>
      <c r="E417" s="24"/>
      <c r="F417" s="24"/>
      <c r="G417" s="24"/>
      <c r="H417" s="24"/>
      <c r="I417" s="24"/>
      <c r="J417" s="40"/>
      <c r="K417" s="40"/>
      <c r="L417" s="161"/>
    </row>
    <row r="418" spans="1:15" s="14" customFormat="1" x14ac:dyDescent="0.55000000000000004">
      <c r="A418" s="40"/>
      <c r="B418" s="40"/>
      <c r="C418" s="36"/>
      <c r="D418" s="36"/>
      <c r="E418" s="24"/>
      <c r="F418" s="24"/>
      <c r="G418" s="24"/>
      <c r="H418" s="24"/>
      <c r="I418" s="24"/>
      <c r="J418" s="40"/>
      <c r="K418" s="40"/>
      <c r="L418" s="161"/>
    </row>
    <row r="419" spans="1:15" s="14" customFormat="1" x14ac:dyDescent="0.55000000000000004">
      <c r="A419" s="40"/>
      <c r="B419" s="40"/>
      <c r="C419" s="36"/>
      <c r="D419" s="36"/>
      <c r="E419" s="24"/>
      <c r="F419" s="24"/>
      <c r="G419" s="24"/>
      <c r="H419" s="24"/>
      <c r="I419" s="24"/>
      <c r="J419" s="40"/>
      <c r="K419" s="40"/>
      <c r="L419" s="167"/>
    </row>
    <row r="420" spans="1:15" s="14" customFormat="1" x14ac:dyDescent="0.55000000000000004">
      <c r="A420" s="40"/>
      <c r="B420" s="40"/>
      <c r="C420" s="36"/>
      <c r="D420" s="36"/>
      <c r="E420" s="24"/>
      <c r="F420" s="24"/>
      <c r="G420" s="24"/>
      <c r="H420" s="24"/>
      <c r="I420" s="24"/>
      <c r="J420" s="40"/>
      <c r="K420" s="40"/>
      <c r="L420" s="167"/>
    </row>
    <row r="421" spans="1:15" s="14" customFormat="1" x14ac:dyDescent="0.55000000000000004">
      <c r="A421" s="46"/>
      <c r="B421" s="40"/>
      <c r="C421" s="36"/>
      <c r="D421" s="36"/>
      <c r="E421" s="24"/>
      <c r="F421" s="24"/>
      <c r="G421" s="24"/>
      <c r="H421" s="24"/>
      <c r="I421" s="24"/>
      <c r="J421" s="40"/>
      <c r="K421" s="40"/>
      <c r="L421" s="158"/>
      <c r="M421" s="44"/>
      <c r="N421" s="44"/>
      <c r="O421" s="44"/>
    </row>
    <row r="422" spans="1:15" s="14" customFormat="1" x14ac:dyDescent="0.55000000000000004">
      <c r="A422" s="40"/>
      <c r="B422" s="40"/>
      <c r="C422" s="36"/>
      <c r="D422" s="36"/>
      <c r="E422" s="24"/>
      <c r="F422" s="24"/>
      <c r="G422" s="24"/>
      <c r="H422" s="24"/>
      <c r="I422" s="24"/>
      <c r="J422" s="40"/>
      <c r="K422" s="40"/>
      <c r="L422" s="158"/>
    </row>
    <row r="423" spans="1:15" s="14" customFormat="1" x14ac:dyDescent="0.55000000000000004">
      <c r="A423" s="40"/>
      <c r="B423" s="40"/>
      <c r="C423" s="36"/>
      <c r="D423" s="36"/>
      <c r="E423" s="24"/>
      <c r="F423" s="24"/>
      <c r="G423" s="24"/>
      <c r="H423" s="24"/>
      <c r="I423" s="24"/>
      <c r="J423" s="40"/>
      <c r="K423" s="40"/>
      <c r="L423" s="158"/>
    </row>
    <row r="424" spans="1:15" s="14" customFormat="1" x14ac:dyDescent="0.55000000000000004">
      <c r="A424" s="40"/>
      <c r="B424" s="40"/>
      <c r="C424" s="36"/>
      <c r="D424" s="36"/>
      <c r="E424" s="24"/>
      <c r="F424" s="24"/>
      <c r="G424" s="24"/>
      <c r="H424" s="24"/>
      <c r="I424" s="24"/>
      <c r="J424" s="40"/>
      <c r="K424" s="40"/>
      <c r="L424" s="158"/>
    </row>
    <row r="425" spans="1:15" s="14" customFormat="1" x14ac:dyDescent="0.55000000000000004">
      <c r="A425" s="40"/>
      <c r="B425" s="40"/>
      <c r="C425" s="36"/>
      <c r="D425" s="36"/>
      <c r="E425" s="24"/>
      <c r="F425" s="24"/>
      <c r="G425" s="24"/>
      <c r="H425" s="24"/>
      <c r="I425" s="24"/>
      <c r="J425" s="40"/>
      <c r="K425" s="40"/>
      <c r="L425" s="158"/>
    </row>
    <row r="426" spans="1:15" s="14" customFormat="1" x14ac:dyDescent="0.55000000000000004">
      <c r="A426" s="40"/>
      <c r="B426" s="40"/>
      <c r="C426" s="36"/>
      <c r="D426" s="36"/>
      <c r="E426" s="24"/>
      <c r="F426" s="24"/>
      <c r="G426" s="24"/>
      <c r="H426" s="24"/>
      <c r="I426" s="24"/>
      <c r="J426" s="40"/>
      <c r="K426" s="40"/>
      <c r="L426" s="158"/>
    </row>
    <row r="427" spans="1:15" s="14" customFormat="1" x14ac:dyDescent="0.55000000000000004">
      <c r="A427" s="40"/>
      <c r="B427" s="40"/>
      <c r="C427" s="36"/>
      <c r="D427" s="36"/>
      <c r="E427" s="24"/>
      <c r="F427" s="24"/>
      <c r="G427" s="24"/>
      <c r="H427" s="24"/>
      <c r="I427" s="24"/>
      <c r="J427" s="40"/>
      <c r="K427" s="40"/>
      <c r="L427" s="158"/>
    </row>
    <row r="428" spans="1:15" s="14" customFormat="1" x14ac:dyDescent="0.55000000000000004">
      <c r="A428" s="40"/>
      <c r="B428" s="40"/>
      <c r="C428" s="36"/>
      <c r="D428" s="36"/>
      <c r="E428" s="24"/>
      <c r="F428" s="24"/>
      <c r="G428" s="24"/>
      <c r="H428" s="24"/>
      <c r="I428" s="24"/>
      <c r="J428" s="40"/>
      <c r="K428" s="40"/>
      <c r="L428" s="158"/>
    </row>
    <row r="429" spans="1:15" s="44" customFormat="1" x14ac:dyDescent="0.55000000000000004">
      <c r="A429" s="40"/>
      <c r="B429" s="40"/>
      <c r="C429" s="36"/>
      <c r="D429" s="36"/>
      <c r="E429" s="24"/>
      <c r="F429" s="24"/>
      <c r="G429" s="24"/>
      <c r="H429" s="24"/>
      <c r="I429" s="24"/>
      <c r="J429" s="40"/>
      <c r="K429" s="40"/>
      <c r="L429" s="167"/>
      <c r="M429" s="14"/>
      <c r="N429" s="14"/>
      <c r="O429" s="14"/>
    </row>
    <row r="430" spans="1:15" s="44" customFormat="1" x14ac:dyDescent="0.55000000000000004">
      <c r="A430" s="40"/>
      <c r="B430" s="40"/>
      <c r="C430" s="36"/>
      <c r="D430" s="36"/>
      <c r="E430" s="24"/>
      <c r="F430" s="24"/>
      <c r="G430" s="24"/>
      <c r="H430" s="24"/>
      <c r="I430" s="24"/>
      <c r="J430" s="40"/>
      <c r="K430" s="40"/>
      <c r="L430" s="158"/>
      <c r="M430" s="14"/>
      <c r="N430" s="14"/>
      <c r="O430" s="14"/>
    </row>
    <row r="431" spans="1:15" s="44" customFormat="1" x14ac:dyDescent="0.55000000000000004">
      <c r="A431" s="40"/>
      <c r="B431" s="40"/>
      <c r="C431" s="36"/>
      <c r="D431" s="36"/>
      <c r="E431" s="24"/>
      <c r="F431" s="24"/>
      <c r="G431" s="24"/>
      <c r="H431" s="24"/>
      <c r="I431" s="24"/>
      <c r="J431" s="40"/>
      <c r="K431" s="40"/>
      <c r="L431" s="158"/>
      <c r="M431" s="14"/>
      <c r="N431" s="14"/>
      <c r="O431" s="14"/>
    </row>
    <row r="432" spans="1:15" s="44" customFormat="1" x14ac:dyDescent="0.55000000000000004">
      <c r="A432" s="40"/>
      <c r="B432" s="40"/>
      <c r="C432" s="36"/>
      <c r="D432" s="36"/>
      <c r="E432" s="24"/>
      <c r="F432" s="24"/>
      <c r="G432" s="24"/>
      <c r="H432" s="24"/>
      <c r="I432" s="24"/>
      <c r="J432" s="40"/>
      <c r="K432" s="40"/>
      <c r="L432" s="158"/>
      <c r="M432" s="14"/>
      <c r="N432" s="14"/>
      <c r="O432" s="14"/>
    </row>
    <row r="433" spans="1:15" s="44" customFormat="1" x14ac:dyDescent="0.55000000000000004">
      <c r="A433" s="40"/>
      <c r="B433" s="40"/>
      <c r="C433" s="36"/>
      <c r="D433" s="36"/>
      <c r="E433" s="24"/>
      <c r="F433" s="24"/>
      <c r="G433" s="24"/>
      <c r="H433" s="24"/>
      <c r="I433" s="24"/>
      <c r="J433" s="40"/>
      <c r="K433" s="40"/>
      <c r="L433" s="158"/>
      <c r="M433" s="14"/>
      <c r="N433" s="14"/>
      <c r="O433" s="14"/>
    </row>
    <row r="434" spans="1:15" s="44" customFormat="1" x14ac:dyDescent="0.55000000000000004">
      <c r="A434" s="40"/>
      <c r="B434" s="40"/>
      <c r="C434" s="36"/>
      <c r="D434" s="36"/>
      <c r="E434" s="24"/>
      <c r="F434" s="24"/>
      <c r="G434" s="24"/>
      <c r="H434" s="24"/>
      <c r="I434" s="24"/>
      <c r="J434" s="40"/>
      <c r="K434" s="40"/>
      <c r="L434" s="158"/>
      <c r="M434" s="14"/>
      <c r="N434" s="14"/>
      <c r="O434" s="14"/>
    </row>
    <row r="435" spans="1:15" s="44" customFormat="1" x14ac:dyDescent="0.55000000000000004">
      <c r="A435" s="40"/>
      <c r="B435" s="40"/>
      <c r="C435" s="36"/>
      <c r="D435" s="36"/>
      <c r="E435" s="24"/>
      <c r="F435" s="24"/>
      <c r="G435" s="24"/>
      <c r="H435" s="24"/>
      <c r="I435" s="24"/>
      <c r="J435" s="40"/>
      <c r="K435" s="40"/>
      <c r="L435" s="158"/>
      <c r="M435" s="14"/>
      <c r="N435" s="14"/>
      <c r="O435" s="14"/>
    </row>
    <row r="436" spans="1:15" s="44" customFormat="1" x14ac:dyDescent="0.55000000000000004">
      <c r="A436" s="40"/>
      <c r="B436" s="40"/>
      <c r="C436" s="36"/>
      <c r="D436" s="36"/>
      <c r="E436" s="24"/>
      <c r="F436" s="24"/>
      <c r="G436" s="24"/>
      <c r="H436" s="24"/>
      <c r="I436" s="24"/>
      <c r="J436" s="40"/>
      <c r="K436" s="40"/>
      <c r="L436" s="158"/>
      <c r="M436" s="14"/>
      <c r="N436" s="14"/>
      <c r="O436" s="14"/>
    </row>
    <row r="437" spans="1:15" s="44" customFormat="1" x14ac:dyDescent="0.55000000000000004">
      <c r="A437" s="40"/>
      <c r="B437" s="40"/>
      <c r="C437" s="36"/>
      <c r="D437" s="36"/>
      <c r="E437" s="24"/>
      <c r="F437" s="24"/>
      <c r="G437" s="24"/>
      <c r="H437" s="24"/>
      <c r="I437" s="24"/>
      <c r="J437" s="40"/>
      <c r="K437" s="40"/>
      <c r="L437" s="158"/>
      <c r="M437" s="14"/>
      <c r="N437" s="14"/>
      <c r="O437" s="14"/>
    </row>
    <row r="438" spans="1:15" s="44" customFormat="1" x14ac:dyDescent="0.55000000000000004">
      <c r="A438" s="40"/>
      <c r="B438" s="40"/>
      <c r="C438" s="36"/>
      <c r="D438" s="36"/>
      <c r="E438" s="24"/>
      <c r="F438" s="24"/>
      <c r="G438" s="24"/>
      <c r="H438" s="24"/>
      <c r="I438" s="24"/>
      <c r="J438" s="40"/>
      <c r="K438" s="40"/>
      <c r="L438" s="158"/>
      <c r="M438" s="14"/>
      <c r="N438" s="14"/>
      <c r="O438" s="14"/>
    </row>
    <row r="439" spans="1:15" s="44" customFormat="1" x14ac:dyDescent="0.55000000000000004">
      <c r="A439" s="40"/>
      <c r="B439" s="40"/>
      <c r="C439" s="36"/>
      <c r="D439" s="36"/>
      <c r="E439" s="24"/>
      <c r="F439" s="24"/>
      <c r="G439" s="24"/>
      <c r="H439" s="24"/>
      <c r="I439" s="24"/>
      <c r="J439" s="40"/>
      <c r="K439" s="40"/>
      <c r="L439" s="167"/>
      <c r="M439" s="14"/>
      <c r="N439" s="14"/>
      <c r="O439" s="14"/>
    </row>
    <row r="440" spans="1:15" s="44" customFormat="1" x14ac:dyDescent="0.55000000000000004">
      <c r="A440" s="40"/>
      <c r="B440" s="40"/>
      <c r="C440" s="36"/>
      <c r="D440" s="36"/>
      <c r="E440" s="24"/>
      <c r="F440" s="24"/>
      <c r="G440" s="24"/>
      <c r="H440" s="24"/>
      <c r="I440" s="24"/>
      <c r="J440" s="40"/>
      <c r="K440" s="40"/>
      <c r="L440" s="158"/>
      <c r="M440" s="14"/>
      <c r="N440" s="14"/>
      <c r="O440" s="14"/>
    </row>
    <row r="441" spans="1:15" s="44" customFormat="1" x14ac:dyDescent="0.55000000000000004">
      <c r="A441" s="40"/>
      <c r="B441" s="40"/>
      <c r="C441" s="36"/>
      <c r="D441" s="36"/>
      <c r="E441" s="24"/>
      <c r="F441" s="24"/>
      <c r="G441" s="24"/>
      <c r="H441" s="24"/>
      <c r="I441" s="24"/>
      <c r="J441" s="40"/>
      <c r="K441" s="40"/>
      <c r="L441" s="158"/>
      <c r="M441" s="14"/>
      <c r="N441" s="14"/>
      <c r="O441" s="14"/>
    </row>
    <row r="442" spans="1:15" s="44" customFormat="1" x14ac:dyDescent="0.55000000000000004">
      <c r="A442" s="40"/>
      <c r="B442" s="40"/>
      <c r="C442" s="36"/>
      <c r="D442" s="36"/>
      <c r="E442" s="24"/>
      <c r="F442" s="24"/>
      <c r="G442" s="24"/>
      <c r="H442" s="24"/>
      <c r="I442" s="24"/>
      <c r="J442" s="40"/>
      <c r="K442" s="40"/>
      <c r="L442" s="158"/>
      <c r="M442" s="14"/>
      <c r="N442" s="14"/>
      <c r="O442" s="14"/>
    </row>
    <row r="443" spans="1:15" s="44" customFormat="1" x14ac:dyDescent="0.55000000000000004">
      <c r="A443" s="40"/>
      <c r="B443" s="40"/>
      <c r="C443" s="36"/>
      <c r="D443" s="36"/>
      <c r="E443" s="24"/>
      <c r="F443" s="24"/>
      <c r="G443" s="24"/>
      <c r="H443" s="24"/>
      <c r="I443" s="24"/>
      <c r="J443" s="40"/>
      <c r="K443" s="40"/>
      <c r="L443" s="158"/>
      <c r="M443" s="14"/>
      <c r="N443" s="14"/>
      <c r="O443" s="14"/>
    </row>
    <row r="444" spans="1:15" s="44" customFormat="1" x14ac:dyDescent="0.55000000000000004">
      <c r="A444" s="40"/>
      <c r="B444" s="40"/>
      <c r="C444" s="36"/>
      <c r="D444" s="36"/>
      <c r="E444" s="24"/>
      <c r="F444" s="24"/>
      <c r="G444" s="24"/>
      <c r="H444" s="24"/>
      <c r="I444" s="24"/>
      <c r="J444" s="40"/>
      <c r="K444" s="40"/>
      <c r="L444" s="158"/>
      <c r="M444" s="14"/>
      <c r="N444" s="14"/>
      <c r="O444" s="14"/>
    </row>
    <row r="445" spans="1:15" s="44" customFormat="1" x14ac:dyDescent="0.55000000000000004">
      <c r="A445" s="40"/>
      <c r="B445" s="40"/>
      <c r="C445" s="36"/>
      <c r="D445" s="36"/>
      <c r="E445" s="24"/>
      <c r="F445" s="24"/>
      <c r="G445" s="24"/>
      <c r="H445" s="24"/>
      <c r="I445" s="24"/>
      <c r="J445" s="40"/>
      <c r="K445" s="40"/>
      <c r="L445" s="158"/>
      <c r="M445" s="14"/>
      <c r="N445" s="14"/>
      <c r="O445" s="14"/>
    </row>
    <row r="446" spans="1:15" s="44" customFormat="1" x14ac:dyDescent="0.55000000000000004">
      <c r="A446" s="40"/>
      <c r="B446" s="40"/>
      <c r="C446" s="36"/>
      <c r="D446" s="36"/>
      <c r="E446" s="24"/>
      <c r="F446" s="24"/>
      <c r="G446" s="24"/>
      <c r="H446" s="24"/>
      <c r="I446" s="24"/>
      <c r="J446" s="40"/>
      <c r="K446" s="40"/>
      <c r="L446" s="158"/>
      <c r="M446" s="14"/>
      <c r="N446" s="14"/>
      <c r="O446" s="14"/>
    </row>
    <row r="447" spans="1:15" s="44" customFormat="1" x14ac:dyDescent="0.55000000000000004">
      <c r="A447" s="40"/>
      <c r="B447" s="40"/>
      <c r="C447" s="36"/>
      <c r="D447" s="36"/>
      <c r="E447" s="24"/>
      <c r="F447" s="24"/>
      <c r="G447" s="24"/>
      <c r="H447" s="24"/>
      <c r="I447" s="24"/>
      <c r="J447" s="40"/>
      <c r="K447" s="40"/>
      <c r="L447" s="158"/>
      <c r="M447" s="14"/>
      <c r="N447" s="14"/>
      <c r="O447" s="14"/>
    </row>
    <row r="448" spans="1:15" s="44" customFormat="1" x14ac:dyDescent="0.55000000000000004">
      <c r="A448" s="40"/>
      <c r="B448" s="40"/>
      <c r="C448" s="36"/>
      <c r="D448" s="36"/>
      <c r="E448" s="24"/>
      <c r="F448" s="24"/>
      <c r="G448" s="24"/>
      <c r="H448" s="24"/>
      <c r="I448" s="24"/>
      <c r="J448" s="40"/>
      <c r="K448" s="40"/>
      <c r="L448" s="158"/>
      <c r="M448" s="14"/>
      <c r="N448" s="14"/>
      <c r="O448" s="14"/>
    </row>
    <row r="449" spans="1:15" s="44" customFormat="1" x14ac:dyDescent="0.55000000000000004">
      <c r="A449" s="40"/>
      <c r="B449" s="40"/>
      <c r="C449" s="36"/>
      <c r="D449" s="36"/>
      <c r="E449" s="24"/>
      <c r="F449" s="24"/>
      <c r="G449" s="24"/>
      <c r="H449" s="24"/>
      <c r="I449" s="24"/>
      <c r="J449" s="40"/>
      <c r="K449" s="40"/>
      <c r="L449" s="167"/>
      <c r="M449" s="14"/>
      <c r="N449" s="14"/>
      <c r="O449" s="14"/>
    </row>
    <row r="450" spans="1:15" s="44" customFormat="1" x14ac:dyDescent="0.55000000000000004">
      <c r="A450" s="40"/>
      <c r="B450" s="40"/>
      <c r="C450" s="36"/>
      <c r="D450" s="36"/>
      <c r="E450" s="24"/>
      <c r="F450" s="24"/>
      <c r="G450" s="24"/>
      <c r="H450" s="24"/>
      <c r="I450" s="24"/>
      <c r="J450" s="40"/>
      <c r="K450" s="40"/>
      <c r="L450" s="158"/>
      <c r="M450" s="14"/>
      <c r="N450" s="14"/>
      <c r="O450" s="14"/>
    </row>
    <row r="451" spans="1:15" s="44" customFormat="1" x14ac:dyDescent="0.55000000000000004">
      <c r="A451" s="40"/>
      <c r="B451" s="40"/>
      <c r="C451" s="40"/>
      <c r="D451" s="40"/>
      <c r="E451" s="24"/>
      <c r="F451" s="24"/>
      <c r="G451" s="24"/>
      <c r="H451" s="24"/>
      <c r="I451" s="24"/>
      <c r="J451" s="40"/>
      <c r="K451" s="40"/>
      <c r="L451" s="33"/>
      <c r="M451" s="14"/>
      <c r="N451" s="14"/>
      <c r="O451" s="14"/>
    </row>
    <row r="452" spans="1:15" s="44" customFormat="1" x14ac:dyDescent="0.55000000000000004">
      <c r="A452" s="40"/>
      <c r="B452" s="40"/>
      <c r="C452" s="40"/>
      <c r="D452" s="40"/>
      <c r="E452" s="24"/>
      <c r="F452" s="24"/>
      <c r="G452" s="24"/>
      <c r="H452" s="24"/>
      <c r="I452" s="24"/>
      <c r="J452" s="40"/>
      <c r="K452" s="40"/>
      <c r="L452" s="33"/>
      <c r="M452" s="14"/>
      <c r="N452" s="14"/>
      <c r="O452" s="14"/>
    </row>
    <row r="453" spans="1:15" s="44" customFormat="1" x14ac:dyDescent="0.55000000000000004">
      <c r="A453" s="46"/>
      <c r="B453" s="40"/>
      <c r="C453" s="40"/>
      <c r="D453" s="40"/>
      <c r="E453" s="24"/>
      <c r="F453" s="24"/>
      <c r="G453" s="24"/>
      <c r="H453" s="24"/>
      <c r="I453" s="24"/>
      <c r="J453" s="40"/>
      <c r="K453" s="40"/>
      <c r="L453" s="160"/>
    </row>
    <row r="454" spans="1:15" s="44" customFormat="1" x14ac:dyDescent="0.55000000000000004">
      <c r="A454" s="46"/>
      <c r="B454" s="46"/>
      <c r="C454" s="40"/>
      <c r="D454" s="40"/>
      <c r="E454" s="24"/>
      <c r="F454" s="24"/>
      <c r="G454" s="24"/>
      <c r="H454" s="24"/>
      <c r="I454" s="48"/>
      <c r="J454" s="46"/>
      <c r="K454" s="46"/>
      <c r="L454" s="163"/>
    </row>
    <row r="455" spans="1:15" s="44" customFormat="1" x14ac:dyDescent="0.55000000000000004">
      <c r="A455" s="46"/>
      <c r="B455" s="46"/>
      <c r="C455" s="46"/>
      <c r="D455" s="46"/>
      <c r="E455" s="48"/>
      <c r="F455" s="48"/>
      <c r="G455" s="48"/>
      <c r="H455" s="48"/>
      <c r="I455" s="48"/>
      <c r="J455" s="46"/>
      <c r="K455" s="46"/>
      <c r="L455" s="163"/>
    </row>
    <row r="456" spans="1:15" s="44" customFormat="1" x14ac:dyDescent="0.55000000000000004">
      <c r="A456" s="46"/>
      <c r="B456" s="46"/>
      <c r="C456" s="46"/>
      <c r="D456" s="46"/>
      <c r="E456" s="48"/>
      <c r="F456" s="48"/>
      <c r="G456" s="48"/>
      <c r="H456" s="48"/>
      <c r="I456" s="48"/>
      <c r="J456" s="46"/>
      <c r="K456" s="46"/>
      <c r="L456" s="163"/>
    </row>
    <row r="457" spans="1:15" s="44" customFormat="1" x14ac:dyDescent="0.55000000000000004">
      <c r="A457" s="46"/>
      <c r="B457" s="46"/>
      <c r="C457" s="46"/>
      <c r="D457" s="46"/>
      <c r="E457" s="48"/>
      <c r="F457" s="48"/>
      <c r="G457" s="48"/>
      <c r="H457" s="48"/>
      <c r="I457" s="48"/>
      <c r="J457" s="46"/>
      <c r="K457" s="46"/>
      <c r="L457" s="169"/>
    </row>
    <row r="458" spans="1:15" s="44" customFormat="1" x14ac:dyDescent="0.55000000000000004">
      <c r="A458" s="46"/>
      <c r="B458" s="46"/>
      <c r="C458" s="46"/>
      <c r="D458" s="46"/>
      <c r="E458" s="48"/>
      <c r="F458" s="48"/>
      <c r="G458" s="48"/>
      <c r="H458" s="48"/>
      <c r="I458" s="48"/>
      <c r="J458" s="46"/>
      <c r="K458" s="46"/>
      <c r="L458" s="163"/>
    </row>
    <row r="459" spans="1:15" s="44" customFormat="1" x14ac:dyDescent="0.55000000000000004">
      <c r="A459" s="46"/>
      <c r="B459" s="46"/>
      <c r="C459" s="46"/>
      <c r="D459" s="46"/>
      <c r="E459" s="48"/>
      <c r="F459" s="48"/>
      <c r="G459" s="48"/>
      <c r="H459" s="48"/>
      <c r="I459" s="48"/>
      <c r="J459" s="46"/>
      <c r="K459" s="46"/>
      <c r="L459" s="163"/>
    </row>
    <row r="460" spans="1:15" s="44" customFormat="1" x14ac:dyDescent="0.55000000000000004">
      <c r="A460" s="46"/>
      <c r="B460" s="46"/>
      <c r="C460" s="46"/>
      <c r="D460" s="46"/>
      <c r="E460" s="48"/>
      <c r="F460" s="48"/>
      <c r="G460" s="48"/>
      <c r="H460" s="48"/>
      <c r="I460" s="48"/>
      <c r="J460" s="46"/>
      <c r="K460" s="46"/>
      <c r="L460" s="163"/>
    </row>
    <row r="461" spans="1:15" s="44" customFormat="1" x14ac:dyDescent="0.55000000000000004">
      <c r="A461" s="46"/>
      <c r="B461" s="46"/>
      <c r="C461" s="46"/>
      <c r="D461" s="46"/>
      <c r="E461" s="48"/>
      <c r="F461" s="48"/>
      <c r="G461" s="48"/>
      <c r="H461" s="48"/>
      <c r="I461" s="48"/>
      <c r="J461" s="46"/>
      <c r="K461" s="46"/>
      <c r="L461" s="163"/>
    </row>
    <row r="462" spans="1:15" s="44" customFormat="1" x14ac:dyDescent="0.55000000000000004">
      <c r="A462" s="46"/>
      <c r="B462" s="46"/>
      <c r="C462" s="46"/>
      <c r="D462" s="46"/>
      <c r="E462" s="48"/>
      <c r="F462" s="48"/>
      <c r="G462" s="48"/>
      <c r="H462" s="48"/>
      <c r="I462" s="27"/>
      <c r="J462" s="46"/>
      <c r="K462" s="46"/>
      <c r="L462" s="163"/>
    </row>
    <row r="463" spans="1:15" s="44" customFormat="1" x14ac:dyDescent="0.55000000000000004">
      <c r="A463" s="46"/>
      <c r="B463" s="46"/>
      <c r="C463" s="46"/>
      <c r="D463" s="46"/>
      <c r="E463" s="48"/>
      <c r="F463" s="48"/>
      <c r="G463" s="48"/>
      <c r="H463" s="48"/>
      <c r="I463" s="27"/>
      <c r="J463" s="46"/>
      <c r="K463" s="46"/>
      <c r="L463" s="163"/>
    </row>
    <row r="464" spans="1:15" s="44" customFormat="1" x14ac:dyDescent="0.55000000000000004">
      <c r="A464" s="46"/>
      <c r="B464" s="46"/>
      <c r="C464" s="46"/>
      <c r="D464" s="46"/>
      <c r="E464" s="48"/>
      <c r="F464" s="48"/>
      <c r="G464" s="48"/>
      <c r="H464" s="48"/>
      <c r="I464" s="27"/>
      <c r="J464" s="46"/>
      <c r="K464" s="46"/>
      <c r="L464" s="163"/>
    </row>
    <row r="465" spans="1:13" s="44" customFormat="1" x14ac:dyDescent="0.55000000000000004">
      <c r="A465" s="46"/>
      <c r="B465" s="46"/>
      <c r="C465" s="46"/>
      <c r="D465" s="46"/>
      <c r="E465" s="48"/>
      <c r="F465" s="48"/>
      <c r="G465" s="48"/>
      <c r="H465" s="48"/>
      <c r="I465" s="24"/>
      <c r="J465" s="40"/>
      <c r="K465" s="40"/>
      <c r="L465" s="33"/>
      <c r="M465" s="14"/>
    </row>
    <row r="466" spans="1:13" s="44" customFormat="1" x14ac:dyDescent="0.55000000000000004">
      <c r="A466" s="46"/>
      <c r="B466" s="46"/>
      <c r="C466" s="46"/>
      <c r="D466" s="46"/>
      <c r="E466" s="48"/>
      <c r="F466" s="48"/>
      <c r="G466" s="48"/>
      <c r="H466" s="48"/>
      <c r="I466" s="24"/>
      <c r="J466" s="40"/>
      <c r="K466" s="40"/>
      <c r="L466" s="33"/>
      <c r="M466" s="14"/>
    </row>
    <row r="467" spans="1:13" s="44" customFormat="1" x14ac:dyDescent="0.55000000000000004">
      <c r="A467" s="46"/>
      <c r="B467" s="46"/>
      <c r="C467" s="46"/>
      <c r="D467" s="46"/>
      <c r="E467" s="48"/>
      <c r="F467" s="48"/>
      <c r="G467" s="48"/>
      <c r="H467" s="48"/>
      <c r="I467" s="24"/>
      <c r="J467" s="40"/>
      <c r="K467" s="40"/>
      <c r="L467" s="161"/>
      <c r="M467" s="14"/>
    </row>
    <row r="468" spans="1:13" s="44" customFormat="1" x14ac:dyDescent="0.55000000000000004">
      <c r="A468" s="46"/>
      <c r="B468" s="46"/>
      <c r="C468" s="46"/>
      <c r="D468" s="46"/>
      <c r="E468" s="48"/>
      <c r="F468" s="48"/>
      <c r="G468" s="48"/>
      <c r="H468" s="48"/>
      <c r="I468" s="24"/>
      <c r="J468" s="40"/>
      <c r="K468" s="40"/>
      <c r="L468" s="161"/>
      <c r="M468" s="14"/>
    </row>
    <row r="469" spans="1:13" s="44" customFormat="1" x14ac:dyDescent="0.55000000000000004">
      <c r="A469" s="46"/>
      <c r="B469" s="46"/>
      <c r="C469" s="46"/>
      <c r="D469" s="46"/>
      <c r="E469" s="48"/>
      <c r="F469" s="48"/>
      <c r="G469" s="48"/>
      <c r="H469" s="48"/>
      <c r="I469" s="24"/>
      <c r="J469" s="40"/>
      <c r="K469" s="40"/>
      <c r="L469" s="33"/>
      <c r="M469" s="14"/>
    </row>
    <row r="470" spans="1:13" s="44" customFormat="1" x14ac:dyDescent="0.55000000000000004">
      <c r="A470" s="46"/>
      <c r="B470" s="46"/>
      <c r="C470" s="46"/>
      <c r="D470" s="46"/>
      <c r="E470" s="48"/>
      <c r="F470" s="48"/>
      <c r="G470" s="48"/>
      <c r="H470" s="48"/>
      <c r="I470" s="24"/>
      <c r="J470" s="40"/>
      <c r="K470" s="40"/>
      <c r="L470" s="161"/>
      <c r="M470" s="14"/>
    </row>
    <row r="471" spans="1:13" s="44" customFormat="1" x14ac:dyDescent="0.55000000000000004">
      <c r="A471" s="46"/>
      <c r="B471" s="46"/>
      <c r="C471" s="46"/>
      <c r="D471" s="46"/>
      <c r="E471" s="48"/>
      <c r="F471" s="48"/>
      <c r="G471" s="48"/>
      <c r="H471" s="48"/>
      <c r="I471" s="24"/>
      <c r="J471" s="40"/>
      <c r="K471" s="40"/>
      <c r="L471" s="161"/>
      <c r="M471" s="14"/>
    </row>
    <row r="472" spans="1:13" s="44" customFormat="1" x14ac:dyDescent="0.55000000000000004">
      <c r="A472" s="46"/>
      <c r="B472" s="46"/>
      <c r="C472" s="46"/>
      <c r="D472" s="46"/>
      <c r="E472" s="27"/>
      <c r="F472" s="27"/>
      <c r="G472" s="27"/>
      <c r="H472" s="27"/>
      <c r="I472" s="24"/>
      <c r="J472" s="40"/>
      <c r="K472" s="40"/>
      <c r="L472" s="160"/>
      <c r="M472" s="14"/>
    </row>
    <row r="473" spans="1:13" s="44" customFormat="1" x14ac:dyDescent="0.55000000000000004">
      <c r="A473" s="46"/>
      <c r="B473" s="46"/>
      <c r="C473" s="46"/>
      <c r="D473" s="46"/>
      <c r="E473" s="48"/>
      <c r="F473" s="48"/>
      <c r="G473" s="48"/>
      <c r="H473" s="48"/>
      <c r="I473" s="24"/>
      <c r="J473" s="40"/>
      <c r="K473" s="40"/>
      <c r="L473" s="161"/>
      <c r="M473" s="14"/>
    </row>
    <row r="474" spans="1:13" s="44" customFormat="1" x14ac:dyDescent="0.55000000000000004">
      <c r="A474" s="46"/>
      <c r="B474" s="46"/>
      <c r="C474" s="46"/>
      <c r="D474" s="46"/>
      <c r="E474" s="48"/>
      <c r="F474" s="48"/>
      <c r="G474" s="48"/>
      <c r="H474" s="48"/>
      <c r="I474" s="24"/>
      <c r="J474" s="40"/>
      <c r="K474" s="40"/>
      <c r="L474" s="161"/>
      <c r="M474" s="14"/>
    </row>
    <row r="475" spans="1:13" s="44" customFormat="1" x14ac:dyDescent="0.55000000000000004">
      <c r="A475" s="46"/>
      <c r="B475" s="46"/>
      <c r="C475" s="46"/>
      <c r="D475" s="46"/>
      <c r="E475" s="48"/>
      <c r="F475" s="48"/>
      <c r="G475" s="48"/>
      <c r="H475" s="48"/>
      <c r="I475" s="24"/>
      <c r="J475" s="40"/>
      <c r="K475" s="40"/>
      <c r="L475" s="161"/>
      <c r="M475" s="14"/>
    </row>
    <row r="476" spans="1:13" s="44" customFormat="1" x14ac:dyDescent="0.55000000000000004">
      <c r="A476" s="46"/>
      <c r="B476" s="46"/>
      <c r="C476" s="46"/>
      <c r="D476" s="46"/>
      <c r="E476" s="48"/>
      <c r="F476" s="48"/>
      <c r="G476" s="48"/>
      <c r="H476" s="48"/>
      <c r="I476" s="24"/>
      <c r="J476" s="40"/>
      <c r="K476" s="40"/>
      <c r="L476" s="33"/>
      <c r="M476" s="14"/>
    </row>
    <row r="477" spans="1:13" s="44" customFormat="1" x14ac:dyDescent="0.55000000000000004">
      <c r="A477" s="46"/>
      <c r="B477" s="46"/>
      <c r="C477" s="46"/>
      <c r="D477" s="46"/>
      <c r="E477" s="48"/>
      <c r="F477" s="48"/>
      <c r="G477" s="48"/>
      <c r="H477" s="48"/>
      <c r="I477" s="37"/>
      <c r="J477" s="40"/>
      <c r="K477" s="40"/>
      <c r="L477" s="161"/>
      <c r="M477" s="14"/>
    </row>
    <row r="478" spans="1:13" s="44" customFormat="1" x14ac:dyDescent="0.55000000000000004">
      <c r="A478" s="46"/>
      <c r="B478" s="46"/>
      <c r="C478" s="46"/>
      <c r="D478" s="46"/>
      <c r="E478" s="48"/>
      <c r="F478" s="48"/>
      <c r="G478" s="48"/>
      <c r="H478" s="48"/>
      <c r="I478" s="48"/>
      <c r="J478" s="46"/>
      <c r="K478" s="46"/>
      <c r="L478" s="163"/>
    </row>
    <row r="479" spans="1:13" s="44" customFormat="1" x14ac:dyDescent="0.55000000000000004">
      <c r="A479" s="46"/>
      <c r="B479" s="46"/>
      <c r="C479" s="46"/>
      <c r="D479" s="46"/>
      <c r="E479" s="48"/>
      <c r="F479" s="48"/>
      <c r="G479" s="48"/>
      <c r="H479" s="48"/>
      <c r="I479" s="48"/>
      <c r="J479" s="46"/>
      <c r="K479" s="46"/>
      <c r="L479" s="166"/>
    </row>
    <row r="480" spans="1:13" s="44" customFormat="1" x14ac:dyDescent="0.55000000000000004">
      <c r="A480" s="46"/>
      <c r="B480" s="46"/>
      <c r="C480" s="46"/>
      <c r="D480" s="46"/>
      <c r="E480" s="48"/>
      <c r="F480" s="48"/>
      <c r="G480" s="48"/>
      <c r="H480" s="48"/>
      <c r="I480" s="48"/>
      <c r="J480" s="46"/>
      <c r="K480" s="46"/>
      <c r="L480" s="163"/>
    </row>
    <row r="481" spans="1:12" s="44" customFormat="1" x14ac:dyDescent="0.55000000000000004">
      <c r="A481" s="46"/>
      <c r="B481" s="46"/>
      <c r="C481" s="46"/>
      <c r="D481" s="46"/>
      <c r="E481" s="48"/>
      <c r="F481" s="48"/>
      <c r="G481" s="48"/>
      <c r="H481" s="48"/>
      <c r="I481" s="48"/>
      <c r="J481" s="46"/>
      <c r="K481" s="46"/>
      <c r="L481" s="166"/>
    </row>
    <row r="482" spans="1:12" s="44" customFormat="1" x14ac:dyDescent="0.55000000000000004">
      <c r="A482" s="46"/>
      <c r="B482" s="46"/>
      <c r="C482" s="46"/>
      <c r="D482" s="46"/>
      <c r="E482" s="48"/>
      <c r="F482" s="48"/>
      <c r="G482" s="48"/>
      <c r="H482" s="48"/>
      <c r="I482" s="48"/>
      <c r="J482" s="46"/>
      <c r="K482" s="46"/>
      <c r="L482" s="164"/>
    </row>
    <row r="483" spans="1:12" s="44" customFormat="1" x14ac:dyDescent="0.55000000000000004">
      <c r="A483" s="46"/>
      <c r="B483" s="46"/>
      <c r="C483" s="46"/>
      <c r="D483" s="46"/>
      <c r="E483" s="48"/>
      <c r="F483" s="48"/>
      <c r="G483" s="48"/>
      <c r="H483" s="48"/>
      <c r="I483" s="48"/>
      <c r="J483" s="46"/>
      <c r="K483" s="46"/>
      <c r="L483" s="169"/>
    </row>
    <row r="484" spans="1:12" s="44" customFormat="1" x14ac:dyDescent="0.55000000000000004">
      <c r="A484" s="46"/>
      <c r="B484" s="46"/>
      <c r="C484" s="46"/>
      <c r="D484" s="46"/>
      <c r="E484" s="48"/>
      <c r="F484" s="48"/>
      <c r="G484" s="48"/>
      <c r="H484" s="48"/>
      <c r="I484" s="48"/>
      <c r="J484" s="46"/>
      <c r="K484" s="46"/>
      <c r="L484" s="163"/>
    </row>
    <row r="485" spans="1:12" s="44" customFormat="1" x14ac:dyDescent="0.55000000000000004">
      <c r="A485" s="46"/>
      <c r="B485" s="46"/>
      <c r="C485" s="46"/>
      <c r="D485" s="46"/>
      <c r="E485" s="48"/>
      <c r="F485" s="48"/>
      <c r="G485" s="48"/>
      <c r="H485" s="48"/>
      <c r="I485" s="48"/>
      <c r="J485" s="46"/>
      <c r="K485" s="46"/>
      <c r="L485" s="163"/>
    </row>
    <row r="486" spans="1:12" s="44" customFormat="1" x14ac:dyDescent="0.55000000000000004">
      <c r="A486" s="46"/>
      <c r="B486" s="46"/>
      <c r="C486" s="46"/>
      <c r="D486" s="46"/>
      <c r="E486" s="48"/>
      <c r="F486" s="48"/>
      <c r="G486" s="48"/>
      <c r="H486" s="48"/>
      <c r="I486" s="48"/>
      <c r="J486" s="46"/>
      <c r="K486" s="46"/>
      <c r="L486" s="164"/>
    </row>
    <row r="487" spans="1:12" s="44" customFormat="1" x14ac:dyDescent="0.55000000000000004">
      <c r="A487" s="46"/>
      <c r="B487" s="46"/>
      <c r="C487" s="46"/>
      <c r="D487" s="46"/>
      <c r="E487" s="48"/>
      <c r="F487" s="48"/>
      <c r="G487" s="48"/>
      <c r="H487" s="48"/>
      <c r="I487" s="48"/>
      <c r="J487" s="46"/>
      <c r="K487" s="46"/>
      <c r="L487" s="163"/>
    </row>
    <row r="488" spans="1:12" s="44" customFormat="1" x14ac:dyDescent="0.55000000000000004">
      <c r="A488" s="46"/>
      <c r="B488" s="46"/>
      <c r="C488" s="46"/>
      <c r="D488" s="46"/>
      <c r="E488" s="48"/>
      <c r="F488" s="48"/>
      <c r="G488" s="48"/>
      <c r="H488" s="48"/>
      <c r="I488" s="48"/>
      <c r="J488" s="46"/>
      <c r="K488" s="46"/>
      <c r="L488" s="163"/>
    </row>
    <row r="489" spans="1:12" s="44" customFormat="1" x14ac:dyDescent="0.55000000000000004">
      <c r="A489" s="46"/>
      <c r="B489" s="46"/>
      <c r="C489" s="46"/>
      <c r="D489" s="46"/>
      <c r="E489" s="48"/>
      <c r="F489" s="48"/>
      <c r="G489" s="48"/>
      <c r="H489" s="48"/>
      <c r="I489" s="27"/>
      <c r="J489" s="46"/>
      <c r="K489" s="46"/>
      <c r="L489" s="163"/>
    </row>
    <row r="490" spans="1:12" s="44" customFormat="1" x14ac:dyDescent="0.55000000000000004">
      <c r="A490" s="46"/>
      <c r="B490" s="46"/>
      <c r="C490" s="46"/>
      <c r="D490" s="46"/>
      <c r="E490" s="48"/>
      <c r="F490" s="48"/>
      <c r="G490" s="48"/>
      <c r="H490" s="48"/>
      <c r="I490" s="27"/>
      <c r="J490" s="46"/>
      <c r="K490" s="46"/>
      <c r="L490" s="163"/>
    </row>
    <row r="491" spans="1:12" s="44" customFormat="1" x14ac:dyDescent="0.55000000000000004">
      <c r="A491" s="46"/>
      <c r="B491" s="46"/>
      <c r="C491" s="46"/>
      <c r="D491" s="46"/>
      <c r="E491" s="48"/>
      <c r="F491" s="48"/>
      <c r="G491" s="48"/>
      <c r="H491" s="48"/>
      <c r="I491" s="27"/>
      <c r="J491" s="46"/>
      <c r="K491" s="46"/>
      <c r="L491" s="164"/>
    </row>
    <row r="492" spans="1:12" s="44" customFormat="1" x14ac:dyDescent="0.55000000000000004">
      <c r="A492" s="46"/>
      <c r="B492" s="46"/>
      <c r="C492" s="46"/>
      <c r="D492" s="46"/>
      <c r="E492" s="48"/>
      <c r="F492" s="48"/>
      <c r="G492" s="48"/>
      <c r="H492" s="48"/>
      <c r="I492" s="27"/>
      <c r="J492" s="46"/>
      <c r="K492" s="46"/>
      <c r="L492" s="163"/>
    </row>
    <row r="493" spans="1:12" s="44" customFormat="1" x14ac:dyDescent="0.55000000000000004">
      <c r="A493" s="46"/>
      <c r="B493" s="46"/>
      <c r="C493" s="46"/>
      <c r="D493" s="46"/>
      <c r="E493" s="48"/>
      <c r="F493" s="48"/>
      <c r="G493" s="48"/>
      <c r="H493" s="48"/>
      <c r="I493" s="27"/>
      <c r="J493" s="46"/>
      <c r="K493" s="46"/>
      <c r="L493" s="163"/>
    </row>
    <row r="494" spans="1:12" s="44" customFormat="1" x14ac:dyDescent="0.55000000000000004">
      <c r="A494" s="46"/>
      <c r="B494" s="46"/>
      <c r="C494" s="46"/>
      <c r="D494" s="46"/>
      <c r="E494" s="48"/>
      <c r="F494" s="48"/>
      <c r="G494" s="48"/>
      <c r="H494" s="48"/>
      <c r="I494" s="26"/>
      <c r="J494" s="46"/>
      <c r="K494" s="46"/>
      <c r="L494" s="163"/>
    </row>
    <row r="495" spans="1:12" s="44" customFormat="1" x14ac:dyDescent="0.55000000000000004">
      <c r="A495" s="46"/>
      <c r="B495" s="46"/>
      <c r="C495" s="46"/>
      <c r="D495" s="46"/>
      <c r="E495" s="48"/>
      <c r="F495" s="48"/>
      <c r="G495" s="48"/>
      <c r="H495" s="48"/>
      <c r="I495" s="26"/>
      <c r="J495" s="46"/>
      <c r="K495" s="46"/>
      <c r="L495" s="163"/>
    </row>
    <row r="496" spans="1:12" s="44" customFormat="1" x14ac:dyDescent="0.55000000000000004">
      <c r="A496" s="46"/>
      <c r="B496" s="46"/>
      <c r="C496" s="46"/>
      <c r="D496" s="46"/>
      <c r="E496" s="48"/>
      <c r="F496" s="48"/>
      <c r="G496" s="48"/>
      <c r="H496" s="48"/>
      <c r="I496" s="27"/>
      <c r="J496" s="46"/>
      <c r="K496" s="46"/>
      <c r="L496" s="164"/>
    </row>
    <row r="497" spans="1:13" s="44" customFormat="1" x14ac:dyDescent="0.55000000000000004">
      <c r="A497" s="46"/>
      <c r="B497" s="46"/>
      <c r="C497" s="46"/>
      <c r="D497" s="46"/>
      <c r="E497" s="48"/>
      <c r="F497" s="48"/>
      <c r="G497" s="48"/>
      <c r="H497" s="48"/>
      <c r="I497" s="26"/>
      <c r="J497" s="46"/>
      <c r="K497" s="46"/>
      <c r="L497" s="163"/>
    </row>
    <row r="498" spans="1:13" s="44" customFormat="1" x14ac:dyDescent="0.55000000000000004">
      <c r="A498" s="46"/>
      <c r="B498" s="46"/>
      <c r="C498" s="46"/>
      <c r="D498" s="46"/>
      <c r="E498" s="48"/>
      <c r="F498" s="48"/>
      <c r="G498" s="48"/>
      <c r="H498" s="48"/>
      <c r="I498" s="38"/>
      <c r="J498" s="40"/>
      <c r="K498" s="40"/>
      <c r="L498" s="161"/>
      <c r="M498" s="14"/>
    </row>
    <row r="499" spans="1:13" s="44" customFormat="1" x14ac:dyDescent="0.55000000000000004">
      <c r="A499" s="46"/>
      <c r="B499" s="46"/>
      <c r="C499" s="46"/>
      <c r="D499" s="46"/>
      <c r="E499" s="48"/>
      <c r="F499" s="48"/>
      <c r="G499" s="48"/>
      <c r="H499" s="48"/>
      <c r="I499" s="38"/>
      <c r="J499" s="40"/>
      <c r="K499" s="40"/>
      <c r="L499" s="161"/>
      <c r="M499" s="14"/>
    </row>
    <row r="500" spans="1:13" s="44" customFormat="1" x14ac:dyDescent="0.55000000000000004">
      <c r="A500" s="46"/>
      <c r="B500" s="46"/>
      <c r="C500" s="46"/>
      <c r="D500" s="46"/>
      <c r="E500" s="48"/>
      <c r="F500" s="48"/>
      <c r="G500" s="48"/>
      <c r="H500" s="48"/>
      <c r="I500" s="38"/>
      <c r="J500" s="40"/>
      <c r="K500" s="40"/>
      <c r="L500" s="161"/>
      <c r="M500" s="14"/>
    </row>
    <row r="501" spans="1:13" s="44" customFormat="1" x14ac:dyDescent="0.55000000000000004">
      <c r="A501" s="46"/>
      <c r="B501" s="46"/>
      <c r="C501" s="46"/>
      <c r="D501" s="46"/>
      <c r="E501" s="48"/>
      <c r="F501" s="48"/>
      <c r="G501" s="48"/>
      <c r="H501" s="48"/>
      <c r="I501" s="34"/>
      <c r="J501" s="40"/>
      <c r="K501" s="40"/>
      <c r="L501" s="160"/>
      <c r="M501" s="14"/>
    </row>
    <row r="502" spans="1:13" s="44" customFormat="1" x14ac:dyDescent="0.55000000000000004">
      <c r="A502" s="46"/>
      <c r="B502" s="46"/>
      <c r="C502" s="46"/>
      <c r="D502" s="46"/>
      <c r="E502" s="48"/>
      <c r="F502" s="48"/>
      <c r="G502" s="48"/>
      <c r="H502" s="48"/>
      <c r="I502" s="38"/>
      <c r="J502" s="40"/>
      <c r="K502" s="40"/>
      <c r="L502" s="161"/>
      <c r="M502" s="14"/>
    </row>
    <row r="503" spans="1:13" s="44" customFormat="1" x14ac:dyDescent="0.55000000000000004">
      <c r="A503" s="46"/>
      <c r="B503" s="46"/>
      <c r="C503" s="46"/>
      <c r="D503" s="46"/>
      <c r="E503" s="48"/>
      <c r="F503" s="48"/>
      <c r="G503" s="48"/>
      <c r="H503" s="48"/>
      <c r="I503" s="38"/>
      <c r="J503" s="40"/>
      <c r="K503" s="40"/>
      <c r="L503" s="161"/>
      <c r="M503" s="14"/>
    </row>
    <row r="504" spans="1:13" s="44" customFormat="1" x14ac:dyDescent="0.55000000000000004">
      <c r="A504" s="46"/>
      <c r="B504" s="46"/>
      <c r="C504" s="46"/>
      <c r="D504" s="46"/>
      <c r="E504" s="48"/>
      <c r="F504" s="48"/>
      <c r="G504" s="48"/>
      <c r="H504" s="48"/>
      <c r="I504" s="38"/>
      <c r="J504" s="40"/>
      <c r="K504" s="40"/>
      <c r="L504" s="161"/>
      <c r="M504" s="14"/>
    </row>
    <row r="505" spans="1:13" s="44" customFormat="1" x14ac:dyDescent="0.55000000000000004">
      <c r="A505" s="46"/>
      <c r="B505" s="46"/>
      <c r="C505" s="46"/>
      <c r="D505" s="46"/>
      <c r="E505" s="48"/>
      <c r="F505" s="48"/>
      <c r="G505" s="48"/>
      <c r="H505" s="48"/>
      <c r="I505" s="38"/>
      <c r="J505" s="40"/>
      <c r="K505" s="40"/>
      <c r="L505" s="33"/>
      <c r="M505" s="14"/>
    </row>
    <row r="506" spans="1:13" s="44" customFormat="1" x14ac:dyDescent="0.55000000000000004">
      <c r="A506" s="46"/>
      <c r="B506" s="46"/>
      <c r="C506" s="46"/>
      <c r="D506" s="46"/>
      <c r="E506" s="48"/>
      <c r="F506" s="48"/>
      <c r="G506" s="48"/>
      <c r="H506" s="48"/>
      <c r="I506" s="34"/>
      <c r="J506" s="40"/>
      <c r="K506" s="40"/>
      <c r="L506" s="33"/>
      <c r="M506" s="14"/>
    </row>
    <row r="507" spans="1:13" s="44" customFormat="1" x14ac:dyDescent="0.55000000000000004">
      <c r="A507" s="46"/>
      <c r="B507" s="46"/>
      <c r="C507" s="46"/>
      <c r="D507" s="46"/>
      <c r="E507" s="48"/>
      <c r="F507" s="48"/>
      <c r="G507" s="48"/>
      <c r="H507" s="48"/>
      <c r="I507" s="38"/>
      <c r="J507" s="40"/>
      <c r="K507" s="40"/>
      <c r="L507" s="33"/>
      <c r="M507" s="14"/>
    </row>
    <row r="508" spans="1:13" s="44" customFormat="1" x14ac:dyDescent="0.55000000000000004">
      <c r="A508" s="46"/>
      <c r="B508" s="46"/>
      <c r="C508" s="46"/>
      <c r="D508" s="46"/>
      <c r="E508" s="48"/>
      <c r="F508" s="48"/>
      <c r="G508" s="48"/>
      <c r="H508" s="48"/>
      <c r="I508" s="38"/>
      <c r="J508" s="40"/>
      <c r="K508" s="40"/>
      <c r="L508" s="161"/>
      <c r="M508" s="14"/>
    </row>
    <row r="509" spans="1:13" s="44" customFormat="1" x14ac:dyDescent="0.55000000000000004">
      <c r="A509" s="46"/>
      <c r="B509" s="46"/>
      <c r="C509" s="46"/>
      <c r="D509" s="46"/>
      <c r="E509" s="48"/>
      <c r="F509" s="48"/>
      <c r="G509" s="48"/>
      <c r="H509" s="48"/>
      <c r="I509" s="38"/>
      <c r="J509" s="40"/>
      <c r="K509" s="40"/>
      <c r="L509" s="33"/>
      <c r="M509" s="14"/>
    </row>
    <row r="510" spans="1:13" s="44" customFormat="1" x14ac:dyDescent="0.55000000000000004">
      <c r="A510" s="46"/>
      <c r="B510" s="46"/>
      <c r="C510" s="46"/>
      <c r="D510" s="46"/>
      <c r="E510" s="48"/>
      <c r="F510" s="48"/>
      <c r="G510" s="48"/>
      <c r="H510" s="48"/>
      <c r="I510" s="27"/>
      <c r="J510" s="46"/>
      <c r="K510" s="46"/>
      <c r="L510" s="164"/>
    </row>
    <row r="511" spans="1:13" s="44" customFormat="1" ht="15" x14ac:dyDescent="0.55000000000000004">
      <c r="A511" s="46"/>
      <c r="B511" s="46"/>
      <c r="C511" s="46"/>
      <c r="D511" s="46"/>
      <c r="E511" s="35"/>
      <c r="F511" s="35"/>
      <c r="G511" s="35"/>
      <c r="H511" s="35"/>
      <c r="I511" s="27"/>
      <c r="J511" s="46"/>
      <c r="K511" s="46"/>
      <c r="L511" s="163"/>
    </row>
    <row r="512" spans="1:13" s="44" customFormat="1" x14ac:dyDescent="0.55000000000000004">
      <c r="A512" s="46"/>
      <c r="B512" s="46"/>
      <c r="C512" s="46"/>
      <c r="D512" s="46"/>
      <c r="E512" s="48"/>
      <c r="F512" s="48"/>
      <c r="G512" s="48"/>
      <c r="H512" s="48"/>
      <c r="I512" s="48"/>
      <c r="J512" s="46"/>
      <c r="K512" s="46"/>
      <c r="L512" s="166"/>
    </row>
    <row r="513" spans="1:12" s="44" customFormat="1" x14ac:dyDescent="0.55000000000000004">
      <c r="A513" s="46"/>
      <c r="B513" s="46"/>
      <c r="C513" s="46"/>
      <c r="D513" s="46"/>
      <c r="E513" s="48"/>
      <c r="F513" s="48"/>
      <c r="G513" s="48"/>
      <c r="H513" s="48"/>
      <c r="I513" s="26"/>
      <c r="J513" s="46"/>
      <c r="K513" s="46"/>
      <c r="L513" s="166"/>
    </row>
    <row r="514" spans="1:12" s="44" customFormat="1" x14ac:dyDescent="0.55000000000000004">
      <c r="A514" s="46"/>
      <c r="B514" s="46"/>
      <c r="C514" s="46"/>
      <c r="D514" s="46"/>
      <c r="E514" s="48"/>
      <c r="F514" s="48"/>
      <c r="G514" s="48"/>
      <c r="H514" s="48"/>
      <c r="I514" s="26"/>
      <c r="J514" s="46"/>
      <c r="K514" s="46"/>
      <c r="L514" s="166"/>
    </row>
    <row r="515" spans="1:12" s="44" customFormat="1" x14ac:dyDescent="0.55000000000000004">
      <c r="A515" s="46"/>
      <c r="B515" s="46"/>
      <c r="C515" s="46"/>
      <c r="D515" s="46"/>
      <c r="E515" s="48"/>
      <c r="F515" s="48"/>
      <c r="G515" s="48"/>
      <c r="H515" s="48"/>
      <c r="I515" s="26"/>
      <c r="J515" s="46"/>
      <c r="K515" s="46"/>
      <c r="L515" s="166"/>
    </row>
    <row r="516" spans="1:12" s="44" customFormat="1" x14ac:dyDescent="0.55000000000000004">
      <c r="A516" s="46"/>
      <c r="B516" s="46"/>
      <c r="C516" s="46"/>
      <c r="D516" s="46"/>
      <c r="E516" s="48"/>
      <c r="F516" s="48"/>
      <c r="G516" s="48"/>
      <c r="H516" s="48"/>
      <c r="I516" s="26"/>
      <c r="J516" s="46"/>
      <c r="K516" s="46"/>
      <c r="L516" s="166"/>
    </row>
    <row r="517" spans="1:12" s="44" customFormat="1" x14ac:dyDescent="0.55000000000000004">
      <c r="A517" s="46"/>
      <c r="B517" s="46"/>
      <c r="C517" s="46"/>
      <c r="D517" s="46"/>
      <c r="E517" s="48"/>
      <c r="F517" s="48"/>
      <c r="G517" s="48"/>
      <c r="H517" s="48"/>
      <c r="I517" s="26"/>
      <c r="J517" s="46"/>
      <c r="K517" s="46"/>
      <c r="L517" s="166"/>
    </row>
    <row r="518" spans="1:12" s="44" customFormat="1" x14ac:dyDescent="0.55000000000000004">
      <c r="A518" s="46"/>
      <c r="B518" s="46"/>
      <c r="C518" s="46"/>
      <c r="D518" s="46"/>
      <c r="E518" s="48"/>
      <c r="F518" s="48"/>
      <c r="G518" s="48"/>
      <c r="H518" s="48"/>
      <c r="I518" s="26"/>
      <c r="J518" s="46"/>
      <c r="K518" s="46"/>
      <c r="L518" s="166"/>
    </row>
    <row r="519" spans="1:12" s="44" customFormat="1" x14ac:dyDescent="0.55000000000000004">
      <c r="A519" s="46"/>
      <c r="B519" s="46"/>
      <c r="C519" s="46"/>
      <c r="D519" s="46"/>
      <c r="E519" s="48"/>
      <c r="F519" s="48"/>
      <c r="G519" s="48"/>
      <c r="H519" s="48"/>
      <c r="I519" s="27"/>
      <c r="J519" s="46"/>
      <c r="K519" s="46"/>
      <c r="L519" s="166"/>
    </row>
    <row r="520" spans="1:12" s="44" customFormat="1" x14ac:dyDescent="0.55000000000000004">
      <c r="A520" s="46"/>
      <c r="B520" s="46"/>
      <c r="C520" s="46"/>
      <c r="D520" s="46"/>
      <c r="E520" s="48"/>
      <c r="F520" s="48"/>
      <c r="G520" s="48"/>
      <c r="H520" s="48"/>
      <c r="I520" s="26"/>
      <c r="J520" s="46"/>
      <c r="K520" s="46"/>
      <c r="L520" s="166"/>
    </row>
    <row r="521" spans="1:12" s="44" customFormat="1" x14ac:dyDescent="0.55000000000000004">
      <c r="A521" s="46"/>
      <c r="B521" s="46"/>
      <c r="C521" s="46"/>
      <c r="D521" s="46"/>
      <c r="E521" s="48"/>
      <c r="F521" s="48"/>
      <c r="G521" s="48"/>
      <c r="H521" s="48"/>
      <c r="I521" s="48"/>
      <c r="J521" s="46"/>
      <c r="K521" s="46"/>
      <c r="L521" s="166"/>
    </row>
    <row r="522" spans="1:12" s="44" customFormat="1" x14ac:dyDescent="0.55000000000000004">
      <c r="A522" s="46"/>
      <c r="B522" s="46"/>
      <c r="C522" s="46"/>
      <c r="D522" s="46"/>
      <c r="E522" s="48"/>
      <c r="F522" s="48"/>
      <c r="G522" s="48"/>
      <c r="H522" s="48"/>
      <c r="I522" s="26"/>
      <c r="J522" s="46"/>
      <c r="K522" s="46"/>
      <c r="L522" s="166"/>
    </row>
    <row r="523" spans="1:12" s="44" customFormat="1" x14ac:dyDescent="0.55000000000000004">
      <c r="A523" s="46"/>
      <c r="B523" s="46"/>
      <c r="C523" s="46"/>
      <c r="D523" s="46"/>
      <c r="E523" s="48"/>
      <c r="F523" s="48"/>
      <c r="G523" s="48"/>
      <c r="H523" s="48"/>
      <c r="I523" s="48"/>
      <c r="J523" s="46"/>
      <c r="K523" s="46"/>
      <c r="L523" s="164"/>
    </row>
    <row r="524" spans="1:12" s="44" customFormat="1" x14ac:dyDescent="0.55000000000000004">
      <c r="A524" s="46"/>
      <c r="B524" s="46"/>
      <c r="C524" s="46"/>
      <c r="D524" s="46"/>
      <c r="E524" s="48"/>
      <c r="F524" s="48"/>
      <c r="G524" s="48"/>
      <c r="H524" s="48"/>
      <c r="I524" s="48"/>
      <c r="J524" s="46"/>
      <c r="K524" s="46"/>
      <c r="L524" s="163"/>
    </row>
    <row r="525" spans="1:12" s="44" customFormat="1" x14ac:dyDescent="0.55000000000000004">
      <c r="A525" s="46"/>
      <c r="B525" s="46"/>
      <c r="C525" s="46"/>
      <c r="D525" s="46"/>
      <c r="E525" s="48"/>
      <c r="F525" s="48"/>
      <c r="G525" s="48"/>
      <c r="H525" s="48"/>
      <c r="I525" s="48"/>
      <c r="J525" s="46"/>
      <c r="K525" s="46"/>
      <c r="L525" s="163"/>
    </row>
    <row r="526" spans="1:12" s="44" customFormat="1" x14ac:dyDescent="0.55000000000000004">
      <c r="A526" s="46"/>
      <c r="B526" s="46"/>
      <c r="C526" s="46"/>
      <c r="D526" s="46"/>
      <c r="E526" s="48"/>
      <c r="F526" s="48"/>
      <c r="G526" s="48"/>
      <c r="H526" s="48"/>
      <c r="I526" s="48"/>
      <c r="J526" s="46"/>
      <c r="K526" s="46"/>
      <c r="L526" s="163"/>
    </row>
    <row r="527" spans="1:12" s="44" customFormat="1" x14ac:dyDescent="0.55000000000000004">
      <c r="A527" s="46"/>
      <c r="B527" s="46"/>
      <c r="C527" s="46"/>
      <c r="D527" s="46"/>
      <c r="E527" s="48"/>
      <c r="F527" s="48"/>
      <c r="G527" s="48"/>
      <c r="H527" s="48"/>
      <c r="I527" s="48"/>
      <c r="J527" s="46"/>
      <c r="K527" s="46"/>
      <c r="L527" s="169"/>
    </row>
    <row r="528" spans="1:12" s="44" customFormat="1" x14ac:dyDescent="0.55000000000000004">
      <c r="A528" s="46"/>
      <c r="B528" s="46"/>
      <c r="C528" s="46"/>
      <c r="D528" s="46"/>
      <c r="E528" s="48"/>
      <c r="F528" s="48"/>
      <c r="G528" s="48"/>
      <c r="H528" s="48"/>
      <c r="I528" s="24"/>
      <c r="J528" s="40"/>
      <c r="K528" s="40"/>
      <c r="L528" s="168"/>
    </row>
    <row r="529" spans="1:12" s="44" customFormat="1" x14ac:dyDescent="0.55000000000000004">
      <c r="A529" s="46"/>
      <c r="B529" s="46"/>
      <c r="C529" s="46"/>
      <c r="D529" s="46"/>
      <c r="E529" s="48"/>
      <c r="F529" s="48"/>
      <c r="G529" s="48"/>
      <c r="H529" s="48"/>
      <c r="I529" s="24"/>
      <c r="J529" s="40"/>
      <c r="K529" s="40"/>
      <c r="L529" s="161"/>
    </row>
    <row r="530" spans="1:12" s="44" customFormat="1" x14ac:dyDescent="0.55000000000000004">
      <c r="A530" s="46"/>
      <c r="B530" s="46"/>
      <c r="C530" s="46"/>
      <c r="D530" s="46"/>
      <c r="E530" s="48"/>
      <c r="F530" s="48"/>
      <c r="G530" s="48"/>
      <c r="H530" s="48"/>
      <c r="I530" s="24"/>
      <c r="J530" s="40"/>
      <c r="K530" s="40"/>
      <c r="L530" s="161"/>
    </row>
    <row r="531" spans="1:12" s="44" customFormat="1" x14ac:dyDescent="0.55000000000000004">
      <c r="A531" s="46"/>
      <c r="B531" s="46"/>
      <c r="C531" s="46"/>
      <c r="D531" s="46"/>
      <c r="E531" s="48"/>
      <c r="F531" s="48"/>
      <c r="G531" s="48"/>
      <c r="H531" s="48"/>
      <c r="I531" s="24"/>
      <c r="J531" s="40"/>
      <c r="K531" s="40"/>
      <c r="L531" s="33"/>
    </row>
    <row r="532" spans="1:12" s="44" customFormat="1" x14ac:dyDescent="0.55000000000000004">
      <c r="A532" s="46"/>
      <c r="B532" s="46"/>
      <c r="C532" s="46"/>
      <c r="D532" s="46"/>
      <c r="E532" s="48"/>
      <c r="F532" s="48"/>
      <c r="G532" s="48"/>
      <c r="H532" s="48"/>
      <c r="I532" s="34"/>
      <c r="J532" s="40"/>
      <c r="K532" s="40"/>
      <c r="L532" s="33"/>
    </row>
    <row r="533" spans="1:12" s="44" customFormat="1" x14ac:dyDescent="0.55000000000000004">
      <c r="A533" s="46"/>
      <c r="B533" s="46"/>
      <c r="C533" s="46"/>
      <c r="D533" s="46"/>
      <c r="E533" s="48"/>
      <c r="F533" s="48"/>
      <c r="G533" s="48"/>
      <c r="H533" s="48"/>
      <c r="I533" s="34"/>
      <c r="J533" s="40"/>
      <c r="K533" s="40"/>
      <c r="L533" s="33"/>
    </row>
    <row r="534" spans="1:12" s="44" customFormat="1" x14ac:dyDescent="0.55000000000000004">
      <c r="A534" s="46"/>
      <c r="B534" s="46"/>
      <c r="C534" s="46"/>
      <c r="D534" s="46"/>
      <c r="E534" s="48"/>
      <c r="F534" s="48"/>
      <c r="G534" s="48"/>
      <c r="H534" s="48"/>
      <c r="I534" s="38"/>
      <c r="J534" s="40"/>
      <c r="K534" s="40"/>
      <c r="L534" s="33"/>
    </row>
    <row r="535" spans="1:12" s="44" customFormat="1" x14ac:dyDescent="0.55000000000000004">
      <c r="A535" s="46"/>
      <c r="B535" s="46"/>
      <c r="C535" s="46"/>
      <c r="D535" s="46"/>
      <c r="E535" s="48"/>
      <c r="F535" s="48"/>
      <c r="G535" s="48"/>
      <c r="H535" s="48"/>
      <c r="I535" s="27"/>
      <c r="J535" s="46"/>
      <c r="K535" s="46"/>
      <c r="L535" s="163"/>
    </row>
    <row r="536" spans="1:12" s="44" customFormat="1" x14ac:dyDescent="0.55000000000000004">
      <c r="A536" s="46"/>
      <c r="B536" s="46"/>
      <c r="C536" s="46"/>
      <c r="D536" s="46"/>
      <c r="E536" s="48"/>
      <c r="F536" s="48"/>
      <c r="G536" s="48"/>
      <c r="H536" s="48"/>
      <c r="I536" s="48"/>
      <c r="J536" s="46"/>
      <c r="K536" s="46"/>
      <c r="L536" s="166"/>
    </row>
    <row r="537" spans="1:12" s="44" customFormat="1" x14ac:dyDescent="0.55000000000000004">
      <c r="A537" s="46"/>
      <c r="B537" s="46"/>
      <c r="C537" s="46"/>
      <c r="D537" s="46"/>
      <c r="E537" s="48"/>
      <c r="F537" s="48"/>
      <c r="G537" s="48"/>
      <c r="H537" s="48"/>
      <c r="I537" s="48"/>
      <c r="J537" s="46"/>
      <c r="K537" s="46"/>
      <c r="L537" s="166"/>
    </row>
    <row r="538" spans="1:12" s="44" customFormat="1" x14ac:dyDescent="0.55000000000000004">
      <c r="A538" s="46"/>
      <c r="B538" s="46"/>
      <c r="C538" s="46"/>
      <c r="D538" s="46"/>
      <c r="E538" s="48"/>
      <c r="F538" s="48"/>
      <c r="G538" s="48"/>
      <c r="H538" s="48"/>
      <c r="I538" s="48"/>
      <c r="J538" s="46"/>
      <c r="K538" s="46"/>
      <c r="L538" s="166"/>
    </row>
    <row r="539" spans="1:12" s="44" customFormat="1" x14ac:dyDescent="0.55000000000000004">
      <c r="A539" s="46"/>
      <c r="B539" s="46"/>
      <c r="C539" s="46"/>
      <c r="D539" s="46"/>
      <c r="E539" s="48"/>
      <c r="F539" s="48"/>
      <c r="G539" s="48"/>
      <c r="H539" s="48"/>
      <c r="I539" s="48"/>
      <c r="J539" s="46"/>
      <c r="K539" s="46"/>
      <c r="L539" s="166"/>
    </row>
    <row r="540" spans="1:12" s="44" customFormat="1" x14ac:dyDescent="0.55000000000000004">
      <c r="A540" s="46"/>
      <c r="B540" s="46"/>
      <c r="C540" s="46"/>
      <c r="D540" s="46"/>
      <c r="E540" s="48"/>
      <c r="F540" s="48"/>
      <c r="G540" s="48"/>
      <c r="H540" s="48"/>
      <c r="I540" s="48"/>
      <c r="J540" s="46"/>
      <c r="K540" s="46"/>
      <c r="L540" s="166"/>
    </row>
    <row r="541" spans="1:12" s="44" customFormat="1" x14ac:dyDescent="0.55000000000000004">
      <c r="A541" s="46"/>
      <c r="B541" s="46"/>
      <c r="C541" s="46"/>
      <c r="D541" s="46"/>
      <c r="E541" s="48"/>
      <c r="F541" s="48"/>
      <c r="G541" s="48"/>
      <c r="H541" s="48"/>
      <c r="I541" s="48"/>
      <c r="J541" s="46"/>
      <c r="K541" s="46"/>
      <c r="L541" s="166"/>
    </row>
    <row r="542" spans="1:12" s="44" customFormat="1" x14ac:dyDescent="0.55000000000000004">
      <c r="A542" s="46"/>
      <c r="B542" s="46"/>
      <c r="C542" s="46"/>
      <c r="D542" s="46"/>
      <c r="E542" s="48"/>
      <c r="F542" s="48"/>
      <c r="G542" s="48"/>
      <c r="H542" s="48"/>
      <c r="I542" s="48"/>
      <c r="J542" s="46"/>
      <c r="K542" s="46"/>
      <c r="L542" s="166"/>
    </row>
    <row r="543" spans="1:12" s="44" customFormat="1" x14ac:dyDescent="0.55000000000000004">
      <c r="A543" s="46"/>
      <c r="B543" s="46"/>
      <c r="C543" s="46"/>
      <c r="D543" s="46"/>
      <c r="E543" s="48"/>
      <c r="F543" s="48"/>
      <c r="G543" s="48"/>
      <c r="H543" s="48"/>
      <c r="I543" s="48"/>
      <c r="J543" s="46"/>
      <c r="K543" s="46"/>
      <c r="L543" s="163"/>
    </row>
    <row r="544" spans="1:12" s="44" customFormat="1" x14ac:dyDescent="0.55000000000000004">
      <c r="A544" s="46"/>
      <c r="B544" s="46"/>
      <c r="C544" s="46"/>
      <c r="D544" s="46"/>
      <c r="E544" s="48"/>
      <c r="F544" s="48"/>
      <c r="G544" s="48"/>
      <c r="H544" s="48"/>
      <c r="I544" s="48"/>
      <c r="J544" s="46"/>
      <c r="K544" s="46"/>
      <c r="L544" s="163"/>
    </row>
    <row r="545" spans="1:12" s="44" customFormat="1" x14ac:dyDescent="0.55000000000000004">
      <c r="A545" s="46"/>
      <c r="B545" s="46"/>
      <c r="C545" s="46"/>
      <c r="D545" s="46"/>
      <c r="E545" s="48"/>
      <c r="F545" s="48"/>
      <c r="G545" s="48"/>
      <c r="H545" s="48"/>
      <c r="I545" s="48"/>
      <c r="J545" s="46"/>
      <c r="K545" s="46"/>
      <c r="L545" s="163"/>
    </row>
    <row r="546" spans="1:12" s="44" customFormat="1" x14ac:dyDescent="0.55000000000000004">
      <c r="A546" s="46"/>
      <c r="B546" s="46"/>
      <c r="C546" s="46"/>
      <c r="D546" s="46"/>
      <c r="E546" s="48"/>
      <c r="F546" s="48"/>
      <c r="G546" s="48"/>
      <c r="H546" s="48"/>
      <c r="I546" s="48"/>
      <c r="J546" s="46"/>
      <c r="K546" s="46"/>
      <c r="L546" s="163"/>
    </row>
    <row r="547" spans="1:12" s="44" customFormat="1" x14ac:dyDescent="0.55000000000000004">
      <c r="A547" s="46"/>
      <c r="B547" s="46"/>
      <c r="C547" s="46"/>
      <c r="D547" s="46"/>
      <c r="E547" s="48"/>
      <c r="F547" s="48"/>
      <c r="G547" s="48"/>
      <c r="H547" s="48"/>
      <c r="I547" s="48"/>
      <c r="J547" s="46"/>
      <c r="K547" s="46"/>
      <c r="L547" s="163"/>
    </row>
    <row r="548" spans="1:12" s="44" customFormat="1" x14ac:dyDescent="0.55000000000000004">
      <c r="A548" s="46"/>
      <c r="B548" s="46"/>
      <c r="C548" s="46"/>
      <c r="D548" s="46"/>
      <c r="E548" s="48"/>
      <c r="F548" s="48"/>
      <c r="G548" s="48"/>
      <c r="H548" s="48"/>
      <c r="I548" s="26"/>
      <c r="J548" s="46"/>
      <c r="K548" s="46"/>
      <c r="L548" s="166"/>
    </row>
    <row r="549" spans="1:12" s="44" customFormat="1" x14ac:dyDescent="0.55000000000000004">
      <c r="A549" s="46"/>
      <c r="B549" s="46"/>
      <c r="C549" s="46"/>
      <c r="D549" s="46"/>
      <c r="E549" s="48"/>
      <c r="F549" s="48"/>
      <c r="G549" s="48"/>
      <c r="H549" s="48"/>
      <c r="I549" s="26"/>
      <c r="J549" s="46"/>
      <c r="K549" s="46"/>
      <c r="L549" s="166"/>
    </row>
    <row r="550" spans="1:12" s="44" customFormat="1" x14ac:dyDescent="0.55000000000000004">
      <c r="A550" s="46"/>
      <c r="B550" s="46"/>
      <c r="C550" s="46"/>
      <c r="D550" s="46"/>
      <c r="E550" s="48"/>
      <c r="F550" s="48"/>
      <c r="G550" s="48"/>
      <c r="H550" s="48"/>
      <c r="I550" s="26"/>
      <c r="J550" s="46"/>
      <c r="K550" s="46"/>
      <c r="L550" s="166"/>
    </row>
    <row r="551" spans="1:12" s="44" customFormat="1" x14ac:dyDescent="0.55000000000000004">
      <c r="A551" s="46"/>
      <c r="B551" s="46"/>
      <c r="C551" s="46"/>
      <c r="D551" s="46"/>
      <c r="E551" s="48"/>
      <c r="F551" s="48"/>
      <c r="G551" s="48"/>
      <c r="H551" s="48"/>
      <c r="I551" s="26"/>
      <c r="J551" s="46"/>
      <c r="K551" s="46"/>
      <c r="L551" s="166"/>
    </row>
    <row r="552" spans="1:12" s="44" customFormat="1" x14ac:dyDescent="0.55000000000000004">
      <c r="A552" s="46"/>
      <c r="B552" s="46"/>
      <c r="C552" s="46"/>
      <c r="D552" s="46"/>
      <c r="E552" s="48"/>
      <c r="F552" s="48"/>
      <c r="G552" s="48"/>
      <c r="H552" s="48"/>
      <c r="I552" s="26"/>
      <c r="J552" s="46"/>
      <c r="K552" s="46"/>
      <c r="L552" s="166"/>
    </row>
    <row r="553" spans="1:12" s="44" customFormat="1" x14ac:dyDescent="0.55000000000000004">
      <c r="A553" s="46"/>
      <c r="B553" s="46"/>
      <c r="C553" s="46"/>
      <c r="D553" s="46"/>
      <c r="E553" s="48"/>
      <c r="F553" s="48"/>
      <c r="G553" s="48"/>
      <c r="H553" s="48"/>
      <c r="I553" s="26"/>
      <c r="J553" s="46"/>
      <c r="K553" s="46"/>
      <c r="L553" s="166"/>
    </row>
    <row r="554" spans="1:12" s="44" customFormat="1" x14ac:dyDescent="0.55000000000000004">
      <c r="A554" s="46"/>
      <c r="B554" s="46"/>
      <c r="C554" s="46"/>
      <c r="D554" s="46"/>
      <c r="E554" s="48"/>
      <c r="F554" s="48"/>
      <c r="G554" s="48"/>
      <c r="H554" s="48"/>
      <c r="I554" s="26"/>
      <c r="J554" s="46"/>
      <c r="K554" s="46"/>
      <c r="L554" s="166"/>
    </row>
    <row r="555" spans="1:12" s="44" customFormat="1" x14ac:dyDescent="0.55000000000000004">
      <c r="A555" s="46"/>
      <c r="B555" s="46"/>
      <c r="C555" s="46"/>
      <c r="D555" s="46"/>
      <c r="E555" s="48"/>
      <c r="F555" s="48"/>
      <c r="G555" s="48"/>
      <c r="H555" s="48"/>
      <c r="I555" s="26"/>
      <c r="J555" s="46"/>
      <c r="K555" s="46"/>
      <c r="L555" s="166"/>
    </row>
    <row r="556" spans="1:12" s="44" customFormat="1" x14ac:dyDescent="0.55000000000000004">
      <c r="A556" s="46"/>
      <c r="B556" s="46"/>
      <c r="C556" s="46"/>
      <c r="D556" s="46"/>
      <c r="E556" s="48"/>
      <c r="F556" s="48"/>
      <c r="G556" s="48"/>
      <c r="H556" s="48"/>
      <c r="I556" s="26"/>
      <c r="J556" s="46"/>
      <c r="K556" s="46"/>
      <c r="L556" s="166"/>
    </row>
    <row r="557" spans="1:12" s="44" customFormat="1" x14ac:dyDescent="0.55000000000000004">
      <c r="A557" s="46"/>
      <c r="B557" s="46"/>
      <c r="C557" s="46"/>
      <c r="D557" s="46"/>
      <c r="E557" s="48"/>
      <c r="F557" s="48"/>
      <c r="G557" s="48"/>
      <c r="H557" s="48"/>
      <c r="I557" s="26"/>
      <c r="J557" s="46"/>
      <c r="K557" s="46"/>
      <c r="L557" s="166"/>
    </row>
    <row r="558" spans="1:12" s="44" customFormat="1" x14ac:dyDescent="0.55000000000000004">
      <c r="A558" s="46"/>
      <c r="B558" s="46"/>
      <c r="C558" s="46"/>
      <c r="D558" s="46"/>
      <c r="E558" s="48"/>
      <c r="F558" s="48"/>
      <c r="G558" s="48"/>
      <c r="H558" s="48"/>
      <c r="I558" s="26"/>
      <c r="J558" s="46"/>
      <c r="K558" s="46"/>
      <c r="L558" s="166"/>
    </row>
    <row r="559" spans="1:12" s="44" customFormat="1" x14ac:dyDescent="0.55000000000000004">
      <c r="A559" s="46"/>
      <c r="B559" s="46"/>
      <c r="C559" s="46"/>
      <c r="D559" s="46"/>
      <c r="E559" s="48"/>
      <c r="F559" s="48"/>
      <c r="G559" s="48"/>
      <c r="H559" s="48"/>
      <c r="I559" s="26"/>
      <c r="J559" s="46"/>
      <c r="K559" s="46"/>
      <c r="L559" s="166"/>
    </row>
    <row r="560" spans="1:12" s="44" customFormat="1" x14ac:dyDescent="0.55000000000000004">
      <c r="A560" s="46"/>
      <c r="B560" s="46"/>
      <c r="C560" s="46"/>
      <c r="D560" s="46"/>
      <c r="E560" s="48"/>
      <c r="F560" s="48"/>
      <c r="G560" s="48"/>
      <c r="H560" s="48"/>
      <c r="I560" s="26"/>
      <c r="J560" s="46"/>
      <c r="K560" s="46"/>
      <c r="L560" s="166"/>
    </row>
    <row r="561" spans="1:12" s="44" customFormat="1" x14ac:dyDescent="0.55000000000000004">
      <c r="A561" s="46"/>
      <c r="B561" s="46"/>
      <c r="C561" s="46"/>
      <c r="D561" s="46"/>
      <c r="E561" s="48"/>
      <c r="F561" s="48"/>
      <c r="G561" s="48"/>
      <c r="H561" s="48"/>
      <c r="I561" s="26"/>
      <c r="J561" s="46"/>
      <c r="K561" s="46"/>
      <c r="L561" s="166"/>
    </row>
    <row r="562" spans="1:12" s="44" customFormat="1" x14ac:dyDescent="0.55000000000000004">
      <c r="A562" s="46"/>
      <c r="B562" s="46"/>
      <c r="C562" s="46"/>
      <c r="D562" s="46"/>
      <c r="E562" s="48"/>
      <c r="F562" s="48"/>
      <c r="G562" s="48"/>
      <c r="H562" s="48"/>
      <c r="I562" s="26"/>
      <c r="J562" s="46"/>
      <c r="K562" s="46"/>
      <c r="L562" s="166"/>
    </row>
    <row r="563" spans="1:12" s="44" customFormat="1" x14ac:dyDescent="0.55000000000000004">
      <c r="A563" s="46"/>
      <c r="B563" s="46"/>
      <c r="C563" s="46"/>
      <c r="D563" s="46"/>
      <c r="E563" s="48"/>
      <c r="F563" s="48"/>
      <c r="G563" s="48"/>
      <c r="H563" s="48"/>
      <c r="I563" s="26"/>
      <c r="J563" s="46"/>
      <c r="K563" s="46"/>
      <c r="L563" s="166"/>
    </row>
    <row r="564" spans="1:12" s="44" customFormat="1" x14ac:dyDescent="0.55000000000000004">
      <c r="A564" s="46"/>
      <c r="B564" s="46"/>
      <c r="C564" s="46"/>
      <c r="D564" s="46"/>
      <c r="E564" s="48"/>
      <c r="F564" s="48"/>
      <c r="G564" s="48"/>
      <c r="H564" s="48"/>
      <c r="I564" s="26"/>
      <c r="J564" s="46"/>
      <c r="K564" s="46"/>
      <c r="L564" s="166"/>
    </row>
    <row r="565" spans="1:12" s="44" customFormat="1" x14ac:dyDescent="0.55000000000000004">
      <c r="A565" s="46"/>
      <c r="B565" s="46"/>
      <c r="C565" s="46"/>
      <c r="D565" s="46"/>
      <c r="E565" s="48"/>
      <c r="F565" s="48"/>
      <c r="G565" s="48"/>
      <c r="H565" s="48"/>
      <c r="I565" s="48"/>
      <c r="J565" s="46"/>
      <c r="K565" s="46"/>
      <c r="L565" s="166"/>
    </row>
    <row r="566" spans="1:12" s="44" customFormat="1" x14ac:dyDescent="0.55000000000000004">
      <c r="A566" s="46"/>
      <c r="B566" s="46"/>
      <c r="C566" s="46"/>
      <c r="D566" s="46"/>
      <c r="E566" s="48"/>
      <c r="F566" s="48"/>
      <c r="G566" s="48"/>
      <c r="H566" s="48"/>
      <c r="I566" s="26"/>
      <c r="J566" s="46"/>
      <c r="K566" s="46"/>
      <c r="L566" s="166"/>
    </row>
    <row r="567" spans="1:12" s="44" customFormat="1" x14ac:dyDescent="0.55000000000000004">
      <c r="A567" s="46"/>
      <c r="B567" s="46"/>
      <c r="C567" s="46"/>
      <c r="D567" s="46"/>
      <c r="E567" s="48"/>
      <c r="F567" s="48"/>
      <c r="G567" s="48"/>
      <c r="H567" s="48"/>
      <c r="I567" s="48"/>
      <c r="J567" s="46"/>
      <c r="K567" s="46"/>
      <c r="L567" s="166"/>
    </row>
    <row r="568" spans="1:12" s="44" customFormat="1" x14ac:dyDescent="0.55000000000000004">
      <c r="A568" s="46"/>
      <c r="B568" s="46"/>
      <c r="C568" s="46"/>
      <c r="D568" s="46"/>
      <c r="E568" s="48"/>
      <c r="F568" s="48"/>
      <c r="G568" s="48"/>
      <c r="H568" s="48"/>
      <c r="I568" s="26"/>
      <c r="J568" s="46"/>
      <c r="K568" s="46"/>
      <c r="L568" s="166"/>
    </row>
    <row r="569" spans="1:12" s="44" customFormat="1" x14ac:dyDescent="0.55000000000000004">
      <c r="A569" s="46"/>
      <c r="B569" s="46"/>
      <c r="C569" s="46"/>
      <c r="D569" s="46"/>
      <c r="E569" s="48"/>
      <c r="F569" s="48"/>
      <c r="G569" s="48"/>
      <c r="H569" s="48"/>
      <c r="I569" s="48"/>
      <c r="J569" s="46"/>
      <c r="K569" s="46"/>
      <c r="L569" s="166"/>
    </row>
    <row r="570" spans="1:12" s="44" customFormat="1" x14ac:dyDescent="0.55000000000000004">
      <c r="A570" s="46"/>
      <c r="B570" s="46"/>
      <c r="C570" s="46"/>
      <c r="D570" s="46"/>
      <c r="E570" s="48"/>
      <c r="F570" s="48"/>
      <c r="G570" s="48"/>
      <c r="H570" s="48"/>
      <c r="I570" s="26"/>
      <c r="J570" s="46"/>
      <c r="K570" s="46"/>
      <c r="L570" s="166"/>
    </row>
    <row r="571" spans="1:12" s="44" customFormat="1" x14ac:dyDescent="0.55000000000000004">
      <c r="A571" s="46"/>
      <c r="B571" s="46"/>
      <c r="C571" s="46"/>
      <c r="D571" s="46"/>
      <c r="E571" s="48"/>
      <c r="F571" s="48"/>
      <c r="G571" s="48"/>
      <c r="H571" s="48"/>
      <c r="I571" s="48"/>
      <c r="J571" s="46"/>
      <c r="K571" s="46"/>
      <c r="L571" s="166"/>
    </row>
    <row r="572" spans="1:12" s="44" customFormat="1" x14ac:dyDescent="0.55000000000000004">
      <c r="A572" s="46"/>
      <c r="B572" s="46"/>
      <c r="C572" s="46"/>
      <c r="D572" s="46"/>
      <c r="E572" s="48"/>
      <c r="F572" s="48"/>
      <c r="G572" s="48"/>
      <c r="H572" s="48"/>
      <c r="I572" s="26"/>
      <c r="J572" s="46"/>
      <c r="K572" s="46"/>
      <c r="L572" s="166"/>
    </row>
    <row r="573" spans="1:12" s="44" customFormat="1" x14ac:dyDescent="0.55000000000000004">
      <c r="A573" s="46"/>
      <c r="B573" s="46"/>
      <c r="C573" s="46"/>
      <c r="D573" s="46"/>
      <c r="E573" s="48"/>
      <c r="F573" s="48"/>
      <c r="G573" s="48"/>
      <c r="H573" s="48"/>
      <c r="I573" s="48"/>
      <c r="J573" s="46"/>
      <c r="K573" s="46"/>
      <c r="L573" s="166"/>
    </row>
    <row r="574" spans="1:12" s="44" customFormat="1" x14ac:dyDescent="0.55000000000000004">
      <c r="A574" s="46"/>
      <c r="B574" s="46"/>
      <c r="C574" s="46"/>
      <c r="D574" s="46"/>
      <c r="E574" s="48"/>
      <c r="F574" s="48"/>
      <c r="G574" s="48"/>
      <c r="H574" s="48"/>
      <c r="I574" s="26"/>
      <c r="J574" s="46"/>
      <c r="K574" s="46"/>
      <c r="L574" s="166"/>
    </row>
    <row r="575" spans="1:12" s="44" customFormat="1" x14ac:dyDescent="0.55000000000000004">
      <c r="A575" s="46"/>
      <c r="B575" s="46"/>
      <c r="C575" s="46"/>
      <c r="D575" s="46"/>
      <c r="E575" s="48"/>
      <c r="F575" s="48"/>
      <c r="G575" s="48"/>
      <c r="H575" s="48"/>
      <c r="I575" s="48"/>
      <c r="J575" s="46"/>
      <c r="K575" s="46"/>
      <c r="L575" s="166"/>
    </row>
    <row r="576" spans="1:12" s="44" customFormat="1" x14ac:dyDescent="0.55000000000000004">
      <c r="A576" s="46"/>
      <c r="B576" s="46"/>
      <c r="C576" s="46"/>
      <c r="D576" s="46"/>
      <c r="E576" s="48"/>
      <c r="F576" s="48"/>
      <c r="G576" s="48"/>
      <c r="H576" s="48"/>
      <c r="I576" s="26"/>
      <c r="J576" s="46"/>
      <c r="K576" s="46"/>
      <c r="L576" s="166"/>
    </row>
    <row r="577" spans="1:12" s="44" customFormat="1" x14ac:dyDescent="0.55000000000000004">
      <c r="A577" s="46"/>
      <c r="B577" s="46"/>
      <c r="C577" s="46"/>
      <c r="D577" s="46"/>
      <c r="E577" s="48"/>
      <c r="F577" s="48"/>
      <c r="G577" s="48"/>
      <c r="H577" s="48"/>
      <c r="I577" s="48"/>
      <c r="J577" s="46"/>
      <c r="K577" s="46"/>
      <c r="L577" s="166"/>
    </row>
    <row r="578" spans="1:12" s="44" customFormat="1" x14ac:dyDescent="0.55000000000000004">
      <c r="A578" s="46"/>
      <c r="B578" s="46"/>
      <c r="C578" s="46"/>
      <c r="D578" s="46"/>
      <c r="E578" s="48"/>
      <c r="F578" s="48"/>
      <c r="G578" s="48"/>
      <c r="H578" s="48"/>
      <c r="I578" s="26"/>
      <c r="J578" s="46"/>
      <c r="K578" s="46"/>
      <c r="L578" s="166"/>
    </row>
    <row r="579" spans="1:12" s="44" customFormat="1" x14ac:dyDescent="0.55000000000000004">
      <c r="A579" s="46"/>
      <c r="B579" s="46"/>
      <c r="C579" s="46"/>
      <c r="D579" s="46"/>
      <c r="E579" s="48"/>
      <c r="F579" s="48"/>
      <c r="G579" s="48"/>
      <c r="H579" s="48"/>
      <c r="I579" s="48"/>
      <c r="J579" s="46"/>
      <c r="K579" s="46"/>
      <c r="L579" s="166"/>
    </row>
    <row r="580" spans="1:12" s="44" customFormat="1" x14ac:dyDescent="0.55000000000000004">
      <c r="A580" s="46"/>
      <c r="B580" s="46"/>
      <c r="C580" s="46"/>
      <c r="D580" s="46"/>
      <c r="E580" s="48"/>
      <c r="F580" s="48"/>
      <c r="G580" s="48"/>
      <c r="H580" s="48"/>
      <c r="I580" s="26"/>
      <c r="J580" s="46"/>
      <c r="K580" s="46"/>
      <c r="L580" s="166"/>
    </row>
    <row r="581" spans="1:12" s="44" customFormat="1" x14ac:dyDescent="0.55000000000000004">
      <c r="A581" s="46"/>
      <c r="B581" s="46"/>
      <c r="C581" s="46"/>
      <c r="D581" s="46"/>
      <c r="E581" s="48"/>
      <c r="F581" s="48"/>
      <c r="G581" s="48"/>
      <c r="H581" s="48"/>
      <c r="I581" s="48"/>
      <c r="J581" s="46"/>
      <c r="K581" s="46"/>
      <c r="L581" s="166"/>
    </row>
    <row r="582" spans="1:12" s="44" customFormat="1" x14ac:dyDescent="0.55000000000000004">
      <c r="A582" s="46"/>
      <c r="B582" s="46"/>
      <c r="C582" s="46"/>
      <c r="D582" s="46"/>
      <c r="E582" s="48"/>
      <c r="F582" s="48"/>
      <c r="G582" s="48"/>
      <c r="H582" s="48"/>
      <c r="I582" s="26"/>
      <c r="J582" s="46"/>
      <c r="K582" s="46"/>
      <c r="L582" s="166"/>
    </row>
    <row r="583" spans="1:12" s="44" customFormat="1" x14ac:dyDescent="0.55000000000000004">
      <c r="A583" s="46"/>
      <c r="B583" s="46"/>
      <c r="C583" s="46"/>
      <c r="D583" s="46"/>
      <c r="E583" s="48"/>
      <c r="F583" s="48"/>
      <c r="G583" s="48"/>
      <c r="H583" s="48"/>
      <c r="I583" s="26"/>
      <c r="J583" s="46"/>
      <c r="K583" s="46"/>
      <c r="L583" s="166"/>
    </row>
    <row r="584" spans="1:12" s="44" customFormat="1" x14ac:dyDescent="0.55000000000000004">
      <c r="A584" s="46"/>
      <c r="B584" s="46"/>
      <c r="C584" s="46"/>
      <c r="D584" s="46"/>
      <c r="E584" s="48"/>
      <c r="F584" s="48"/>
      <c r="G584" s="48"/>
      <c r="H584" s="48"/>
      <c r="I584" s="26"/>
      <c r="J584" s="46"/>
      <c r="K584" s="46"/>
      <c r="L584" s="166"/>
    </row>
    <row r="585" spans="1:12" s="44" customFormat="1" x14ac:dyDescent="0.55000000000000004">
      <c r="A585" s="46"/>
      <c r="B585" s="46"/>
      <c r="C585" s="46"/>
      <c r="D585" s="46"/>
      <c r="E585" s="48"/>
      <c r="F585" s="48"/>
      <c r="G585" s="48"/>
      <c r="H585" s="48"/>
      <c r="I585" s="26"/>
      <c r="J585" s="46"/>
      <c r="K585" s="46"/>
      <c r="L585" s="166"/>
    </row>
    <row r="586" spans="1:12" s="44" customFormat="1" x14ac:dyDescent="0.55000000000000004">
      <c r="A586" s="46"/>
      <c r="B586" s="46"/>
      <c r="C586" s="46"/>
      <c r="D586" s="46"/>
      <c r="E586" s="48"/>
      <c r="F586" s="48"/>
      <c r="G586" s="48"/>
      <c r="H586" s="48"/>
      <c r="I586" s="26"/>
      <c r="J586" s="46"/>
      <c r="K586" s="46"/>
      <c r="L586" s="166"/>
    </row>
    <row r="587" spans="1:12" s="44" customFormat="1" x14ac:dyDescent="0.55000000000000004">
      <c r="A587" s="46"/>
      <c r="B587" s="46"/>
      <c r="C587" s="46"/>
      <c r="D587" s="46"/>
      <c r="E587" s="48"/>
      <c r="F587" s="48"/>
      <c r="G587" s="48"/>
      <c r="H587" s="48"/>
      <c r="I587" s="26"/>
      <c r="J587" s="46"/>
      <c r="K587" s="46"/>
      <c r="L587" s="166"/>
    </row>
    <row r="588" spans="1:12" s="44" customFormat="1" x14ac:dyDescent="0.55000000000000004">
      <c r="A588" s="46"/>
      <c r="B588" s="46"/>
      <c r="C588" s="46"/>
      <c r="D588" s="46"/>
      <c r="E588" s="48"/>
      <c r="F588" s="48"/>
      <c r="G588" s="48"/>
      <c r="H588" s="48"/>
      <c r="I588" s="26"/>
      <c r="J588" s="46"/>
      <c r="K588" s="46"/>
      <c r="L588" s="166"/>
    </row>
    <row r="589" spans="1:12" s="44" customFormat="1" x14ac:dyDescent="0.55000000000000004">
      <c r="A589" s="46"/>
      <c r="B589" s="46"/>
      <c r="C589" s="46"/>
      <c r="D589" s="46"/>
      <c r="E589" s="48"/>
      <c r="F589" s="48"/>
      <c r="G589" s="48"/>
      <c r="H589" s="48"/>
      <c r="I589" s="26"/>
      <c r="J589" s="46"/>
      <c r="K589" s="46"/>
      <c r="L589" s="166"/>
    </row>
    <row r="590" spans="1:12" s="44" customFormat="1" x14ac:dyDescent="0.55000000000000004">
      <c r="A590" s="46"/>
      <c r="B590" s="46"/>
      <c r="C590" s="46"/>
      <c r="D590" s="46"/>
      <c r="E590" s="48"/>
      <c r="F590" s="48"/>
      <c r="G590" s="48"/>
      <c r="H590" s="48"/>
      <c r="I590" s="26"/>
      <c r="J590" s="46"/>
      <c r="K590" s="46"/>
      <c r="L590" s="166"/>
    </row>
    <row r="591" spans="1:12" s="44" customFormat="1" x14ac:dyDescent="0.55000000000000004">
      <c r="A591" s="46"/>
      <c r="B591" s="46"/>
      <c r="C591" s="46"/>
      <c r="D591" s="46"/>
      <c r="E591" s="48"/>
      <c r="F591" s="48"/>
      <c r="G591" s="48"/>
      <c r="H591" s="48"/>
      <c r="I591" s="26"/>
      <c r="J591" s="46"/>
      <c r="K591" s="46"/>
      <c r="L591" s="166"/>
    </row>
    <row r="592" spans="1:12" s="44" customFormat="1" x14ac:dyDescent="0.55000000000000004">
      <c r="A592" s="46"/>
      <c r="B592" s="46"/>
      <c r="C592" s="46"/>
      <c r="D592" s="46"/>
      <c r="E592" s="48"/>
      <c r="F592" s="48"/>
      <c r="G592" s="48"/>
      <c r="H592" s="48"/>
      <c r="I592" s="48"/>
      <c r="J592" s="46"/>
      <c r="K592" s="46"/>
      <c r="L592" s="166"/>
    </row>
    <row r="593" spans="1:12" s="44" customFormat="1" x14ac:dyDescent="0.55000000000000004">
      <c r="A593" s="46"/>
      <c r="B593" s="46"/>
      <c r="C593" s="46"/>
      <c r="D593" s="46"/>
      <c r="E593" s="48"/>
      <c r="F593" s="48"/>
      <c r="G593" s="48"/>
      <c r="H593" s="48"/>
      <c r="I593" s="26"/>
      <c r="J593" s="46"/>
      <c r="K593" s="46"/>
      <c r="L593" s="166"/>
    </row>
    <row r="594" spans="1:12" s="44" customFormat="1" x14ac:dyDescent="0.55000000000000004">
      <c r="A594" s="46"/>
      <c r="B594" s="46"/>
      <c r="C594" s="46"/>
      <c r="D594" s="46"/>
      <c r="E594" s="48"/>
      <c r="F594" s="48"/>
      <c r="G594" s="48"/>
      <c r="H594" s="48"/>
      <c r="I594" s="48"/>
      <c r="J594" s="46"/>
      <c r="K594" s="46"/>
      <c r="L594" s="166"/>
    </row>
    <row r="595" spans="1:12" s="44" customFormat="1" x14ac:dyDescent="0.55000000000000004">
      <c r="A595" s="46"/>
      <c r="B595" s="46"/>
      <c r="C595" s="46"/>
      <c r="D595" s="46"/>
      <c r="E595" s="48"/>
      <c r="F595" s="48"/>
      <c r="G595" s="48"/>
      <c r="H595" s="48"/>
      <c r="I595" s="26"/>
      <c r="J595" s="46"/>
      <c r="K595" s="46"/>
      <c r="L595" s="166"/>
    </row>
    <row r="596" spans="1:12" s="44" customFormat="1" x14ac:dyDescent="0.55000000000000004">
      <c r="A596" s="46"/>
      <c r="B596" s="46"/>
      <c r="C596" s="46"/>
      <c r="D596" s="46"/>
      <c r="E596" s="48"/>
      <c r="F596" s="48"/>
      <c r="G596" s="48"/>
      <c r="H596" s="48"/>
      <c r="I596" s="26"/>
      <c r="J596" s="46"/>
      <c r="K596" s="46"/>
      <c r="L596" s="166"/>
    </row>
    <row r="597" spans="1:12" s="44" customFormat="1" x14ac:dyDescent="0.55000000000000004">
      <c r="A597" s="46"/>
      <c r="B597" s="46"/>
      <c r="C597" s="46"/>
      <c r="D597" s="46"/>
      <c r="E597" s="48"/>
      <c r="F597" s="48"/>
      <c r="G597" s="48"/>
      <c r="H597" s="48"/>
      <c r="I597" s="48"/>
      <c r="J597" s="46"/>
      <c r="K597" s="46"/>
      <c r="L597" s="166"/>
    </row>
    <row r="598" spans="1:12" s="44" customFormat="1" x14ac:dyDescent="0.55000000000000004">
      <c r="A598" s="46"/>
      <c r="B598" s="46"/>
      <c r="C598" s="46"/>
      <c r="D598" s="46"/>
      <c r="E598" s="48"/>
      <c r="F598" s="48"/>
      <c r="G598" s="48"/>
      <c r="H598" s="48"/>
      <c r="I598" s="48"/>
      <c r="J598" s="46"/>
      <c r="K598" s="46"/>
      <c r="L598" s="166"/>
    </row>
    <row r="599" spans="1:12" s="44" customFormat="1" x14ac:dyDescent="0.55000000000000004">
      <c r="A599" s="46"/>
      <c r="B599" s="46"/>
      <c r="C599" s="46"/>
      <c r="D599" s="46"/>
      <c r="E599" s="48"/>
      <c r="F599" s="48"/>
      <c r="G599" s="48"/>
      <c r="H599" s="48"/>
      <c r="I599" s="48"/>
      <c r="J599" s="46"/>
      <c r="K599" s="46"/>
      <c r="L599" s="166"/>
    </row>
    <row r="600" spans="1:12" s="44" customFormat="1" x14ac:dyDescent="0.55000000000000004">
      <c r="A600" s="46"/>
      <c r="B600" s="46"/>
      <c r="C600" s="46"/>
      <c r="D600" s="46"/>
      <c r="E600" s="48"/>
      <c r="F600" s="48"/>
      <c r="G600" s="48"/>
      <c r="H600" s="48"/>
      <c r="I600" s="48"/>
      <c r="J600" s="46"/>
      <c r="K600" s="46"/>
      <c r="L600" s="166"/>
    </row>
    <row r="601" spans="1:12" s="44" customFormat="1" x14ac:dyDescent="0.55000000000000004">
      <c r="A601" s="46"/>
      <c r="B601" s="46"/>
      <c r="C601" s="46"/>
      <c r="D601" s="46"/>
      <c r="E601" s="48"/>
      <c r="F601" s="48"/>
      <c r="G601" s="48"/>
      <c r="H601" s="48"/>
      <c r="I601" s="48"/>
      <c r="J601" s="46"/>
      <c r="K601" s="46"/>
      <c r="L601" s="166"/>
    </row>
    <row r="602" spans="1:12" s="44" customFormat="1" x14ac:dyDescent="0.55000000000000004">
      <c r="A602" s="46"/>
      <c r="B602" s="46"/>
      <c r="C602" s="46"/>
      <c r="D602" s="46"/>
      <c r="E602" s="48"/>
      <c r="F602" s="48"/>
      <c r="G602" s="48"/>
      <c r="H602" s="48"/>
      <c r="I602" s="48"/>
      <c r="J602" s="46"/>
      <c r="K602" s="46"/>
      <c r="L602" s="166"/>
    </row>
    <row r="603" spans="1:12" s="44" customFormat="1" x14ac:dyDescent="0.55000000000000004">
      <c r="A603" s="46"/>
      <c r="B603" s="46"/>
      <c r="C603" s="46"/>
      <c r="D603" s="46"/>
      <c r="E603" s="48"/>
      <c r="F603" s="48"/>
      <c r="G603" s="48"/>
      <c r="H603" s="48"/>
      <c r="I603" s="48"/>
      <c r="J603" s="46"/>
      <c r="K603" s="46"/>
      <c r="L603" s="163"/>
    </row>
    <row r="604" spans="1:12" s="44" customFormat="1" x14ac:dyDescent="0.55000000000000004">
      <c r="A604" s="46"/>
      <c r="B604" s="46"/>
      <c r="C604" s="46"/>
      <c r="D604" s="46"/>
      <c r="E604" s="48"/>
      <c r="F604" s="48"/>
      <c r="G604" s="48"/>
      <c r="H604" s="48"/>
      <c r="I604" s="26"/>
      <c r="J604" s="46"/>
      <c r="K604" s="46"/>
      <c r="L604" s="166"/>
    </row>
    <row r="605" spans="1:12" s="44" customFormat="1" x14ac:dyDescent="0.55000000000000004">
      <c r="A605" s="46"/>
      <c r="B605" s="46"/>
      <c r="C605" s="46"/>
      <c r="D605" s="46"/>
      <c r="E605" s="48"/>
      <c r="F605" s="48"/>
      <c r="G605" s="48"/>
      <c r="H605" s="48"/>
      <c r="I605" s="26"/>
      <c r="J605" s="46"/>
      <c r="K605" s="46"/>
      <c r="L605" s="166"/>
    </row>
    <row r="606" spans="1:12" s="44" customFormat="1" x14ac:dyDescent="0.55000000000000004">
      <c r="A606" s="46"/>
      <c r="B606" s="46"/>
      <c r="C606" s="46"/>
      <c r="D606" s="46"/>
      <c r="E606" s="48"/>
      <c r="F606" s="48"/>
      <c r="G606" s="48"/>
      <c r="H606" s="48"/>
      <c r="I606" s="26"/>
      <c r="J606" s="46"/>
      <c r="K606" s="46"/>
      <c r="L606" s="166"/>
    </row>
    <row r="607" spans="1:12" s="44" customFormat="1" x14ac:dyDescent="0.55000000000000004">
      <c r="A607" s="46"/>
      <c r="B607" s="46"/>
      <c r="C607" s="46"/>
      <c r="D607" s="46"/>
      <c r="E607" s="48"/>
      <c r="F607" s="48"/>
      <c r="G607" s="48"/>
      <c r="H607" s="48"/>
      <c r="I607" s="26"/>
      <c r="J607" s="46"/>
      <c r="K607" s="46"/>
      <c r="L607" s="166"/>
    </row>
    <row r="608" spans="1:12" s="44" customFormat="1" x14ac:dyDescent="0.55000000000000004">
      <c r="A608" s="46"/>
      <c r="B608" s="46"/>
      <c r="C608" s="46"/>
      <c r="D608" s="46"/>
      <c r="E608" s="48"/>
      <c r="F608" s="48"/>
      <c r="G608" s="48"/>
      <c r="H608" s="48"/>
      <c r="I608" s="26"/>
      <c r="J608" s="46"/>
      <c r="K608" s="46"/>
      <c r="L608" s="166"/>
    </row>
    <row r="609" spans="1:12" s="44" customFormat="1" x14ac:dyDescent="0.55000000000000004">
      <c r="A609" s="46"/>
      <c r="B609" s="46"/>
      <c r="C609" s="46"/>
      <c r="D609" s="46"/>
      <c r="E609" s="48"/>
      <c r="F609" s="48"/>
      <c r="G609" s="48"/>
      <c r="H609" s="48"/>
      <c r="I609" s="26"/>
      <c r="J609" s="46"/>
      <c r="K609" s="46"/>
      <c r="L609" s="166"/>
    </row>
    <row r="610" spans="1:12" s="44" customFormat="1" x14ac:dyDescent="0.55000000000000004">
      <c r="A610" s="46"/>
      <c r="B610" s="46"/>
      <c r="C610" s="46"/>
      <c r="D610" s="46"/>
      <c r="E610" s="48"/>
      <c r="F610" s="48"/>
      <c r="G610" s="48"/>
      <c r="H610" s="48"/>
      <c r="I610" s="26"/>
      <c r="J610" s="46"/>
      <c r="K610" s="46"/>
      <c r="L610" s="166"/>
    </row>
    <row r="611" spans="1:12" s="44" customFormat="1" x14ac:dyDescent="0.55000000000000004">
      <c r="A611" s="46"/>
      <c r="B611" s="46"/>
      <c r="C611" s="46"/>
      <c r="D611" s="46"/>
      <c r="E611" s="48"/>
      <c r="F611" s="48"/>
      <c r="G611" s="48"/>
      <c r="H611" s="48"/>
      <c r="I611" s="26"/>
      <c r="J611" s="46"/>
      <c r="K611" s="46"/>
      <c r="L611" s="166"/>
    </row>
    <row r="612" spans="1:12" s="44" customFormat="1" x14ac:dyDescent="0.55000000000000004">
      <c r="A612" s="46"/>
      <c r="B612" s="46"/>
      <c r="C612" s="46"/>
      <c r="D612" s="46"/>
      <c r="E612" s="48"/>
      <c r="F612" s="48"/>
      <c r="G612" s="48"/>
      <c r="H612" s="48"/>
      <c r="I612" s="26"/>
      <c r="J612" s="46"/>
      <c r="K612" s="46"/>
      <c r="L612" s="166"/>
    </row>
    <row r="613" spans="1:12" s="44" customFormat="1" x14ac:dyDescent="0.55000000000000004">
      <c r="A613" s="46"/>
      <c r="B613" s="46"/>
      <c r="C613" s="46"/>
      <c r="D613" s="46"/>
      <c r="E613" s="48"/>
      <c r="F613" s="48"/>
      <c r="G613" s="48"/>
      <c r="H613" s="48"/>
      <c r="I613" s="26"/>
      <c r="J613" s="46"/>
      <c r="K613" s="46"/>
      <c r="L613" s="166"/>
    </row>
    <row r="614" spans="1:12" s="44" customFormat="1" x14ac:dyDescent="0.55000000000000004">
      <c r="A614" s="46"/>
      <c r="B614" s="46"/>
      <c r="C614" s="46"/>
      <c r="D614" s="46"/>
      <c r="E614" s="48"/>
      <c r="F614" s="48"/>
      <c r="G614" s="48"/>
      <c r="H614" s="48"/>
      <c r="I614" s="26"/>
      <c r="J614" s="46"/>
      <c r="K614" s="46"/>
      <c r="L614" s="166"/>
    </row>
    <row r="615" spans="1:12" s="44" customFormat="1" x14ac:dyDescent="0.55000000000000004">
      <c r="A615" s="46"/>
      <c r="B615" s="46"/>
      <c r="C615" s="46"/>
      <c r="D615" s="46"/>
      <c r="E615" s="48"/>
      <c r="F615" s="48"/>
      <c r="G615" s="48"/>
      <c r="H615" s="48"/>
      <c r="I615" s="26"/>
      <c r="J615" s="46"/>
      <c r="K615" s="46"/>
      <c r="L615" s="166"/>
    </row>
    <row r="616" spans="1:12" s="44" customFormat="1" x14ac:dyDescent="0.55000000000000004">
      <c r="A616" s="46"/>
      <c r="B616" s="46"/>
      <c r="C616" s="46"/>
      <c r="D616" s="46"/>
      <c r="E616" s="48"/>
      <c r="F616" s="48"/>
      <c r="G616" s="48"/>
      <c r="H616" s="48"/>
      <c r="I616" s="26"/>
      <c r="J616" s="46"/>
      <c r="K616" s="46"/>
      <c r="L616" s="166"/>
    </row>
    <row r="617" spans="1:12" s="44" customFormat="1" x14ac:dyDescent="0.55000000000000004">
      <c r="A617" s="46"/>
      <c r="B617" s="46"/>
      <c r="C617" s="46"/>
      <c r="D617" s="46"/>
      <c r="E617" s="48"/>
      <c r="F617" s="48"/>
      <c r="G617" s="48"/>
      <c r="H617" s="48"/>
      <c r="I617" s="26"/>
      <c r="J617" s="46"/>
      <c r="K617" s="46"/>
      <c r="L617" s="166"/>
    </row>
    <row r="618" spans="1:12" s="44" customFormat="1" x14ac:dyDescent="0.55000000000000004">
      <c r="A618" s="46"/>
      <c r="B618" s="46"/>
      <c r="C618" s="46"/>
      <c r="D618" s="46"/>
      <c r="E618" s="48"/>
      <c r="F618" s="48"/>
      <c r="G618" s="48"/>
      <c r="H618" s="48"/>
      <c r="I618" s="26"/>
      <c r="J618" s="46"/>
      <c r="K618" s="46"/>
      <c r="L618" s="166"/>
    </row>
    <row r="619" spans="1:12" s="44" customFormat="1" x14ac:dyDescent="0.55000000000000004">
      <c r="A619" s="46"/>
      <c r="B619" s="46"/>
      <c r="C619" s="46"/>
      <c r="D619" s="46"/>
      <c r="E619" s="48"/>
      <c r="F619" s="48"/>
      <c r="G619" s="48"/>
      <c r="H619" s="48"/>
      <c r="I619" s="26"/>
      <c r="J619" s="46"/>
      <c r="K619" s="46"/>
      <c r="L619" s="166"/>
    </row>
    <row r="620" spans="1:12" s="44" customFormat="1" x14ac:dyDescent="0.55000000000000004">
      <c r="A620" s="46"/>
      <c r="B620" s="46"/>
      <c r="C620" s="46"/>
      <c r="D620" s="46"/>
      <c r="E620" s="48"/>
      <c r="F620" s="48"/>
      <c r="G620" s="48"/>
      <c r="H620" s="48"/>
      <c r="I620" s="26"/>
      <c r="J620" s="46"/>
      <c r="K620" s="46"/>
      <c r="L620" s="166"/>
    </row>
    <row r="621" spans="1:12" s="44" customFormat="1" x14ac:dyDescent="0.55000000000000004">
      <c r="A621" s="46"/>
      <c r="B621" s="46"/>
      <c r="C621" s="46"/>
      <c r="D621" s="46"/>
      <c r="E621" s="48"/>
      <c r="F621" s="48"/>
      <c r="G621" s="48"/>
      <c r="H621" s="48"/>
      <c r="I621" s="48"/>
      <c r="J621" s="46"/>
      <c r="K621" s="46"/>
      <c r="L621" s="166"/>
    </row>
    <row r="622" spans="1:12" s="44" customFormat="1" x14ac:dyDescent="0.55000000000000004">
      <c r="A622" s="46"/>
      <c r="B622" s="46"/>
      <c r="C622" s="46"/>
      <c r="D622" s="46"/>
      <c r="E622" s="48"/>
      <c r="F622" s="48"/>
      <c r="G622" s="48"/>
      <c r="H622" s="48"/>
      <c r="I622" s="26"/>
      <c r="J622" s="46"/>
      <c r="K622" s="46"/>
      <c r="L622" s="166"/>
    </row>
    <row r="623" spans="1:12" s="44" customFormat="1" x14ac:dyDescent="0.55000000000000004">
      <c r="A623" s="46"/>
      <c r="B623" s="46"/>
      <c r="C623" s="46"/>
      <c r="D623" s="46"/>
      <c r="E623" s="48"/>
      <c r="F623" s="48"/>
      <c r="G623" s="48"/>
      <c r="H623" s="48"/>
      <c r="I623" s="48"/>
      <c r="J623" s="46"/>
      <c r="K623" s="46"/>
      <c r="L623" s="166"/>
    </row>
    <row r="624" spans="1:12" s="44" customFormat="1" x14ac:dyDescent="0.55000000000000004">
      <c r="A624" s="46"/>
      <c r="B624" s="46"/>
      <c r="C624" s="46"/>
      <c r="D624" s="46"/>
      <c r="E624" s="48"/>
      <c r="F624" s="48"/>
      <c r="G624" s="48"/>
      <c r="H624" s="48"/>
      <c r="I624" s="26"/>
      <c r="J624" s="46"/>
      <c r="K624" s="46"/>
      <c r="L624" s="166"/>
    </row>
    <row r="625" spans="1:12" s="44" customFormat="1" x14ac:dyDescent="0.55000000000000004">
      <c r="A625" s="46"/>
      <c r="B625" s="46"/>
      <c r="C625" s="46"/>
      <c r="D625" s="46"/>
      <c r="E625" s="48"/>
      <c r="F625" s="48"/>
      <c r="G625" s="48"/>
      <c r="H625" s="48"/>
      <c r="I625" s="48"/>
      <c r="J625" s="46"/>
      <c r="K625" s="46"/>
      <c r="L625" s="166"/>
    </row>
    <row r="626" spans="1:12" s="44" customFormat="1" x14ac:dyDescent="0.55000000000000004">
      <c r="A626" s="46"/>
      <c r="B626" s="46"/>
      <c r="C626" s="46"/>
      <c r="D626" s="46"/>
      <c r="E626" s="48"/>
      <c r="F626" s="48"/>
      <c r="G626" s="48"/>
      <c r="H626" s="48"/>
      <c r="I626" s="26"/>
      <c r="J626" s="46"/>
      <c r="K626" s="46"/>
      <c r="L626" s="166"/>
    </row>
    <row r="627" spans="1:12" s="44" customFormat="1" x14ac:dyDescent="0.55000000000000004">
      <c r="A627" s="46"/>
      <c r="B627" s="46"/>
      <c r="C627" s="46"/>
      <c r="D627" s="46"/>
      <c r="E627" s="48"/>
      <c r="F627" s="48"/>
      <c r="G627" s="48"/>
      <c r="H627" s="48"/>
      <c r="I627" s="48"/>
      <c r="J627" s="46"/>
      <c r="K627" s="46"/>
      <c r="L627" s="166"/>
    </row>
    <row r="628" spans="1:12" s="44" customFormat="1" x14ac:dyDescent="0.55000000000000004">
      <c r="A628" s="46"/>
      <c r="B628" s="46"/>
      <c r="C628" s="46"/>
      <c r="D628" s="46"/>
      <c r="E628" s="48"/>
      <c r="F628" s="48"/>
      <c r="G628" s="48"/>
      <c r="H628" s="48"/>
      <c r="I628" s="26"/>
      <c r="J628" s="46"/>
      <c r="K628" s="46"/>
      <c r="L628" s="166"/>
    </row>
    <row r="629" spans="1:12" s="44" customFormat="1" x14ac:dyDescent="0.55000000000000004">
      <c r="A629" s="46"/>
      <c r="B629" s="46"/>
      <c r="C629" s="46"/>
      <c r="D629" s="46"/>
      <c r="E629" s="48"/>
      <c r="F629" s="48"/>
      <c r="G629" s="48"/>
      <c r="H629" s="48"/>
      <c r="I629" s="48"/>
      <c r="J629" s="46"/>
      <c r="K629" s="46"/>
      <c r="L629" s="166"/>
    </row>
    <row r="630" spans="1:12" s="44" customFormat="1" x14ac:dyDescent="0.55000000000000004">
      <c r="A630" s="46"/>
      <c r="B630" s="46"/>
      <c r="C630" s="46"/>
      <c r="D630" s="46"/>
      <c r="E630" s="48"/>
      <c r="F630" s="48"/>
      <c r="G630" s="48"/>
      <c r="H630" s="48"/>
      <c r="I630" s="26"/>
      <c r="J630" s="46"/>
      <c r="K630" s="46"/>
      <c r="L630" s="166"/>
    </row>
    <row r="631" spans="1:12" s="44" customFormat="1" x14ac:dyDescent="0.55000000000000004">
      <c r="A631" s="46"/>
      <c r="B631" s="46"/>
      <c r="C631" s="46"/>
      <c r="D631" s="46"/>
      <c r="E631" s="48"/>
      <c r="F631" s="48"/>
      <c r="G631" s="48"/>
      <c r="H631" s="48"/>
      <c r="I631" s="48"/>
      <c r="J631" s="46"/>
      <c r="K631" s="46"/>
      <c r="L631" s="166"/>
    </row>
    <row r="632" spans="1:12" s="44" customFormat="1" x14ac:dyDescent="0.55000000000000004">
      <c r="A632" s="46"/>
      <c r="B632" s="46"/>
      <c r="C632" s="46"/>
      <c r="D632" s="46"/>
      <c r="E632" s="48"/>
      <c r="F632" s="48"/>
      <c r="G632" s="48"/>
      <c r="H632" s="48"/>
      <c r="I632" s="26"/>
      <c r="J632" s="46"/>
      <c r="K632" s="46"/>
      <c r="L632" s="166"/>
    </row>
    <row r="633" spans="1:12" s="44" customFormat="1" x14ac:dyDescent="0.55000000000000004">
      <c r="A633" s="46"/>
      <c r="B633" s="46"/>
      <c r="C633" s="46"/>
      <c r="D633" s="46"/>
      <c r="E633" s="48"/>
      <c r="F633" s="48"/>
      <c r="G633" s="48"/>
      <c r="H633" s="48"/>
      <c r="I633" s="48"/>
      <c r="J633" s="46"/>
      <c r="K633" s="46"/>
      <c r="L633" s="166"/>
    </row>
    <row r="634" spans="1:12" s="44" customFormat="1" x14ac:dyDescent="0.55000000000000004">
      <c r="A634" s="46"/>
      <c r="B634" s="46"/>
      <c r="C634" s="46"/>
      <c r="D634" s="46"/>
      <c r="E634" s="48"/>
      <c r="F634" s="48"/>
      <c r="G634" s="48"/>
      <c r="H634" s="48"/>
      <c r="I634" s="26"/>
      <c r="J634" s="46"/>
      <c r="K634" s="46"/>
      <c r="L634" s="166"/>
    </row>
    <row r="635" spans="1:12" s="44" customFormat="1" x14ac:dyDescent="0.55000000000000004">
      <c r="A635" s="46"/>
      <c r="B635" s="46"/>
      <c r="C635" s="46"/>
      <c r="D635" s="46"/>
      <c r="E635" s="48"/>
      <c r="F635" s="48"/>
      <c r="G635" s="48"/>
      <c r="H635" s="48"/>
      <c r="I635" s="48"/>
      <c r="J635" s="46"/>
      <c r="K635" s="46"/>
      <c r="L635" s="166"/>
    </row>
    <row r="636" spans="1:12" s="44" customFormat="1" x14ac:dyDescent="0.55000000000000004">
      <c r="A636" s="46"/>
      <c r="B636" s="46"/>
      <c r="C636" s="46"/>
      <c r="D636" s="46"/>
      <c r="E636" s="48"/>
      <c r="F636" s="48"/>
      <c r="G636" s="48"/>
      <c r="H636" s="48"/>
      <c r="I636" s="26"/>
      <c r="J636" s="46"/>
      <c r="K636" s="46"/>
      <c r="L636" s="166"/>
    </row>
    <row r="637" spans="1:12" s="44" customFormat="1" x14ac:dyDescent="0.55000000000000004">
      <c r="A637" s="46"/>
      <c r="B637" s="46"/>
      <c r="C637" s="46"/>
      <c r="D637" s="46"/>
      <c r="E637" s="48"/>
      <c r="F637" s="48"/>
      <c r="G637" s="48"/>
      <c r="H637" s="48"/>
      <c r="I637" s="48"/>
      <c r="J637" s="46"/>
      <c r="K637" s="46"/>
      <c r="L637" s="166"/>
    </row>
    <row r="638" spans="1:12" s="44" customFormat="1" x14ac:dyDescent="0.55000000000000004">
      <c r="A638" s="46"/>
      <c r="B638" s="46"/>
      <c r="C638" s="46"/>
      <c r="D638" s="46"/>
      <c r="E638" s="48"/>
      <c r="F638" s="48"/>
      <c r="G638" s="48"/>
      <c r="H638" s="48"/>
      <c r="I638" s="26"/>
      <c r="J638" s="46"/>
      <c r="K638" s="46"/>
      <c r="L638" s="166"/>
    </row>
    <row r="639" spans="1:12" s="44" customFormat="1" x14ac:dyDescent="0.55000000000000004">
      <c r="A639" s="46"/>
      <c r="B639" s="46"/>
      <c r="C639" s="46"/>
      <c r="D639" s="46"/>
      <c r="E639" s="48"/>
      <c r="F639" s="48"/>
      <c r="G639" s="48"/>
      <c r="H639" s="48"/>
      <c r="I639" s="26"/>
      <c r="J639" s="46"/>
      <c r="K639" s="46"/>
      <c r="L639" s="166"/>
    </row>
    <row r="640" spans="1:12" s="44" customFormat="1" x14ac:dyDescent="0.55000000000000004">
      <c r="A640" s="46"/>
      <c r="B640" s="46"/>
      <c r="C640" s="46"/>
      <c r="D640" s="46"/>
      <c r="E640" s="48"/>
      <c r="F640" s="48"/>
      <c r="G640" s="48"/>
      <c r="H640" s="48"/>
      <c r="I640" s="26"/>
      <c r="J640" s="46"/>
      <c r="K640" s="46"/>
      <c r="L640" s="166"/>
    </row>
    <row r="641" spans="1:12" s="44" customFormat="1" x14ac:dyDescent="0.55000000000000004">
      <c r="A641" s="46"/>
      <c r="B641" s="46"/>
      <c r="C641" s="46"/>
      <c r="D641" s="46"/>
      <c r="E641" s="48"/>
      <c r="F641" s="48"/>
      <c r="G641" s="48"/>
      <c r="H641" s="48"/>
      <c r="I641" s="26"/>
      <c r="J641" s="46"/>
      <c r="K641" s="46"/>
      <c r="L641" s="166"/>
    </row>
    <row r="642" spans="1:12" s="44" customFormat="1" x14ac:dyDescent="0.55000000000000004">
      <c r="A642" s="46"/>
      <c r="B642" s="46"/>
      <c r="C642" s="46"/>
      <c r="D642" s="46"/>
      <c r="E642" s="48"/>
      <c r="F642" s="48"/>
      <c r="G642" s="48"/>
      <c r="H642" s="48"/>
      <c r="I642" s="26"/>
      <c r="J642" s="46"/>
      <c r="K642" s="46"/>
      <c r="L642" s="166"/>
    </row>
    <row r="643" spans="1:12" s="44" customFormat="1" x14ac:dyDescent="0.55000000000000004">
      <c r="A643" s="46"/>
      <c r="B643" s="46"/>
      <c r="C643" s="46"/>
      <c r="D643" s="46"/>
      <c r="E643" s="48"/>
      <c r="F643" s="48"/>
      <c r="G643" s="48"/>
      <c r="H643" s="48"/>
      <c r="I643" s="26"/>
      <c r="J643" s="46"/>
      <c r="K643" s="46"/>
      <c r="L643" s="166"/>
    </row>
    <row r="644" spans="1:12" s="44" customFormat="1" x14ac:dyDescent="0.55000000000000004">
      <c r="A644" s="46"/>
      <c r="B644" s="46"/>
      <c r="C644" s="46"/>
      <c r="D644" s="46"/>
      <c r="E644" s="48"/>
      <c r="F644" s="48"/>
      <c r="G644" s="48"/>
      <c r="H644" s="48"/>
      <c r="I644" s="26"/>
      <c r="J644" s="46"/>
      <c r="K644" s="46"/>
      <c r="L644" s="166"/>
    </row>
    <row r="645" spans="1:12" s="44" customFormat="1" x14ac:dyDescent="0.55000000000000004">
      <c r="A645" s="46"/>
      <c r="B645" s="46"/>
      <c r="C645" s="46"/>
      <c r="D645" s="46"/>
      <c r="E645" s="48"/>
      <c r="F645" s="48"/>
      <c r="G645" s="48"/>
      <c r="H645" s="48"/>
      <c r="I645" s="26"/>
      <c r="J645" s="46"/>
      <c r="K645" s="46"/>
      <c r="L645" s="166"/>
    </row>
    <row r="646" spans="1:12" s="44" customFormat="1" x14ac:dyDescent="0.55000000000000004">
      <c r="A646" s="46"/>
      <c r="B646" s="46"/>
      <c r="C646" s="46"/>
      <c r="D646" s="46"/>
      <c r="E646" s="48"/>
      <c r="F646" s="48"/>
      <c r="G646" s="48"/>
      <c r="H646" s="48"/>
      <c r="I646" s="26"/>
      <c r="J646" s="46"/>
      <c r="K646" s="46"/>
      <c r="L646" s="166"/>
    </row>
    <row r="647" spans="1:12" s="44" customFormat="1" x14ac:dyDescent="0.55000000000000004">
      <c r="A647" s="46"/>
      <c r="B647" s="46"/>
      <c r="C647" s="46"/>
      <c r="D647" s="46"/>
      <c r="E647" s="48"/>
      <c r="F647" s="48"/>
      <c r="G647" s="48"/>
      <c r="H647" s="48"/>
      <c r="I647" s="26"/>
      <c r="J647" s="46"/>
      <c r="K647" s="46"/>
      <c r="L647" s="166"/>
    </row>
    <row r="648" spans="1:12" s="44" customFormat="1" x14ac:dyDescent="0.55000000000000004">
      <c r="A648" s="46"/>
      <c r="B648" s="46"/>
      <c r="C648" s="46"/>
      <c r="D648" s="46"/>
      <c r="E648" s="48"/>
      <c r="F648" s="48"/>
      <c r="G648" s="48"/>
      <c r="H648" s="48"/>
      <c r="I648" s="48"/>
      <c r="J648" s="46"/>
      <c r="K648" s="46"/>
      <c r="L648" s="166"/>
    </row>
    <row r="649" spans="1:12" s="44" customFormat="1" x14ac:dyDescent="0.55000000000000004">
      <c r="A649" s="46"/>
      <c r="B649" s="46"/>
      <c r="C649" s="46"/>
      <c r="D649" s="46"/>
      <c r="E649" s="48"/>
      <c r="F649" s="48"/>
      <c r="G649" s="48"/>
      <c r="H649" s="48"/>
      <c r="I649" s="26"/>
      <c r="J649" s="46"/>
      <c r="K649" s="46"/>
      <c r="L649" s="166"/>
    </row>
    <row r="650" spans="1:12" s="44" customFormat="1" x14ac:dyDescent="0.55000000000000004">
      <c r="A650" s="46"/>
      <c r="B650" s="46"/>
      <c r="C650" s="46"/>
      <c r="D650" s="46"/>
      <c r="E650" s="48"/>
      <c r="F650" s="48"/>
      <c r="G650" s="48"/>
      <c r="H650" s="48"/>
      <c r="I650" s="48"/>
      <c r="J650" s="46"/>
      <c r="K650" s="46"/>
      <c r="L650" s="166"/>
    </row>
    <row r="651" spans="1:12" s="44" customFormat="1" x14ac:dyDescent="0.55000000000000004">
      <c r="A651" s="46"/>
      <c r="B651" s="46"/>
      <c r="C651" s="46"/>
      <c r="D651" s="46"/>
      <c r="E651" s="48"/>
      <c r="F651" s="48"/>
      <c r="G651" s="48"/>
      <c r="H651" s="48"/>
      <c r="I651" s="26"/>
      <c r="J651" s="46"/>
      <c r="K651" s="46"/>
      <c r="L651" s="166"/>
    </row>
    <row r="652" spans="1:12" s="44" customFormat="1" x14ac:dyDescent="0.55000000000000004">
      <c r="A652" s="46"/>
      <c r="B652" s="46"/>
      <c r="C652" s="46"/>
      <c r="D652" s="46"/>
      <c r="E652" s="48"/>
      <c r="F652" s="48"/>
      <c r="G652" s="48"/>
      <c r="H652" s="48"/>
      <c r="I652" s="26"/>
      <c r="J652" s="46"/>
      <c r="K652" s="46"/>
      <c r="L652" s="166"/>
    </row>
    <row r="653" spans="1:12" s="44" customFormat="1" x14ac:dyDescent="0.55000000000000004">
      <c r="A653" s="46"/>
      <c r="B653" s="46"/>
      <c r="C653" s="46"/>
      <c r="D653" s="46"/>
      <c r="E653" s="48"/>
      <c r="F653" s="48"/>
      <c r="G653" s="48"/>
      <c r="H653" s="48"/>
      <c r="I653" s="48"/>
      <c r="J653" s="46"/>
      <c r="K653" s="46"/>
      <c r="L653" s="166"/>
    </row>
    <row r="654" spans="1:12" s="44" customFormat="1" x14ac:dyDescent="0.55000000000000004">
      <c r="A654" s="46"/>
      <c r="B654" s="46"/>
      <c r="C654" s="46"/>
      <c r="D654" s="46"/>
      <c r="E654" s="48"/>
      <c r="F654" s="48"/>
      <c r="G654" s="48"/>
      <c r="H654" s="48"/>
      <c r="I654" s="48"/>
      <c r="J654" s="46"/>
      <c r="K654" s="46"/>
      <c r="L654" s="166"/>
    </row>
    <row r="655" spans="1:12" s="44" customFormat="1" x14ac:dyDescent="0.55000000000000004">
      <c r="A655" s="46"/>
      <c r="B655" s="46"/>
      <c r="C655" s="46"/>
      <c r="D655" s="46"/>
      <c r="E655" s="48"/>
      <c r="F655" s="48"/>
      <c r="G655" s="48"/>
      <c r="H655" s="48"/>
      <c r="I655" s="48"/>
      <c r="J655" s="46"/>
      <c r="K655" s="46"/>
      <c r="L655" s="166"/>
    </row>
    <row r="656" spans="1:12" s="44" customFormat="1" x14ac:dyDescent="0.55000000000000004">
      <c r="A656" s="46"/>
      <c r="B656" s="46"/>
      <c r="C656" s="46"/>
      <c r="D656" s="46"/>
      <c r="E656" s="48"/>
      <c r="F656" s="48"/>
      <c r="G656" s="48"/>
      <c r="H656" s="48"/>
      <c r="I656" s="48"/>
      <c r="J656" s="46"/>
      <c r="K656" s="46"/>
      <c r="L656" s="166"/>
    </row>
    <row r="657" spans="1:12" s="44" customFormat="1" x14ac:dyDescent="0.55000000000000004">
      <c r="A657" s="46"/>
      <c r="B657" s="46"/>
      <c r="C657" s="46"/>
      <c r="D657" s="46"/>
      <c r="E657" s="48"/>
      <c r="F657" s="48"/>
      <c r="G657" s="48"/>
      <c r="H657" s="48"/>
      <c r="I657" s="48"/>
      <c r="J657" s="46"/>
      <c r="K657" s="46"/>
      <c r="L657" s="166"/>
    </row>
    <row r="658" spans="1:12" s="44" customFormat="1" x14ac:dyDescent="0.55000000000000004">
      <c r="A658" s="46"/>
      <c r="B658" s="46"/>
      <c r="C658" s="46"/>
      <c r="D658" s="46"/>
      <c r="E658" s="48"/>
      <c r="F658" s="48"/>
      <c r="G658" s="48"/>
      <c r="H658" s="48"/>
      <c r="I658" s="48"/>
      <c r="J658" s="46"/>
      <c r="K658" s="46"/>
      <c r="L658" s="166"/>
    </row>
    <row r="659" spans="1:12" s="44" customFormat="1" x14ac:dyDescent="0.55000000000000004">
      <c r="A659" s="46"/>
      <c r="B659" s="46"/>
      <c r="C659" s="46"/>
      <c r="D659" s="46"/>
      <c r="E659" s="48"/>
      <c r="F659" s="48"/>
      <c r="G659" s="48"/>
      <c r="H659" s="48"/>
      <c r="I659" s="48"/>
      <c r="J659" s="46"/>
      <c r="K659" s="46"/>
      <c r="L659" s="163"/>
    </row>
    <row r="660" spans="1:12" s="44" customFormat="1" x14ac:dyDescent="0.55000000000000004">
      <c r="A660" s="46"/>
      <c r="B660" s="46"/>
      <c r="C660" s="46"/>
      <c r="D660" s="46"/>
      <c r="E660" s="48"/>
      <c r="F660" s="48"/>
      <c r="G660" s="48"/>
      <c r="H660" s="48"/>
      <c r="I660" s="48"/>
      <c r="J660" s="46"/>
      <c r="K660" s="46"/>
      <c r="L660" s="163"/>
    </row>
    <row r="661" spans="1:12" s="44" customFormat="1" x14ac:dyDescent="0.55000000000000004">
      <c r="A661" s="46"/>
      <c r="B661" s="46"/>
      <c r="C661" s="46"/>
      <c r="D661" s="46"/>
      <c r="E661" s="48"/>
      <c r="F661" s="48"/>
      <c r="G661" s="48"/>
      <c r="H661" s="48"/>
      <c r="I661" s="48"/>
      <c r="J661" s="46"/>
      <c r="K661" s="46"/>
      <c r="L661" s="163"/>
    </row>
    <row r="662" spans="1:12" s="44" customFormat="1" x14ac:dyDescent="0.55000000000000004">
      <c r="A662" s="46"/>
      <c r="B662" s="46"/>
      <c r="C662" s="46"/>
      <c r="D662" s="46"/>
      <c r="E662" s="48"/>
      <c r="F662" s="48"/>
      <c r="G662" s="48"/>
      <c r="H662" s="48"/>
      <c r="I662" s="48"/>
      <c r="J662" s="46"/>
      <c r="K662" s="46"/>
      <c r="L662" s="166"/>
    </row>
    <row r="663" spans="1:12" s="44" customFormat="1" x14ac:dyDescent="0.55000000000000004">
      <c r="A663" s="46"/>
      <c r="B663" s="46"/>
      <c r="C663" s="46"/>
      <c r="D663" s="46"/>
      <c r="E663" s="48"/>
      <c r="F663" s="48"/>
      <c r="G663" s="48"/>
      <c r="H663" s="48"/>
      <c r="I663" s="48"/>
      <c r="J663" s="46"/>
      <c r="K663" s="46"/>
      <c r="L663" s="166"/>
    </row>
    <row r="664" spans="1:12" s="44" customFormat="1" x14ac:dyDescent="0.55000000000000004">
      <c r="A664" s="46"/>
      <c r="B664" s="46"/>
      <c r="C664" s="46"/>
      <c r="D664" s="46"/>
      <c r="E664" s="48"/>
      <c r="F664" s="48"/>
      <c r="G664" s="48"/>
      <c r="H664" s="48"/>
      <c r="I664" s="48"/>
      <c r="J664" s="46"/>
      <c r="K664" s="46"/>
      <c r="L664" s="166"/>
    </row>
    <row r="665" spans="1:12" s="44" customFormat="1" x14ac:dyDescent="0.55000000000000004">
      <c r="A665" s="46"/>
      <c r="B665" s="46"/>
      <c r="C665" s="46"/>
      <c r="D665" s="46"/>
      <c r="E665" s="48"/>
      <c r="F665" s="48"/>
      <c r="G665" s="48"/>
      <c r="H665" s="48"/>
      <c r="I665" s="48"/>
      <c r="J665" s="46"/>
      <c r="K665" s="46"/>
      <c r="L665" s="166"/>
    </row>
    <row r="666" spans="1:12" s="44" customFormat="1" x14ac:dyDescent="0.55000000000000004">
      <c r="A666" s="46"/>
      <c r="B666" s="46"/>
      <c r="C666" s="46"/>
      <c r="D666" s="46"/>
      <c r="E666" s="48"/>
      <c r="F666" s="48"/>
      <c r="G666" s="48"/>
      <c r="H666" s="48"/>
      <c r="I666" s="48"/>
      <c r="J666" s="46"/>
      <c r="K666" s="46"/>
      <c r="L666" s="166"/>
    </row>
    <row r="667" spans="1:12" s="44" customFormat="1" x14ac:dyDescent="0.55000000000000004">
      <c r="A667" s="46"/>
      <c r="B667" s="46"/>
      <c r="C667" s="46"/>
      <c r="D667" s="46"/>
      <c r="E667" s="48"/>
      <c r="F667" s="48"/>
      <c r="G667" s="48"/>
      <c r="H667" s="48"/>
      <c r="I667" s="48"/>
      <c r="J667" s="46"/>
      <c r="K667" s="46"/>
      <c r="L667" s="163"/>
    </row>
    <row r="668" spans="1:12" s="44" customFormat="1" x14ac:dyDescent="0.55000000000000004">
      <c r="A668" s="46"/>
      <c r="B668" s="46"/>
      <c r="C668" s="46"/>
      <c r="D668" s="46"/>
      <c r="E668" s="48"/>
      <c r="F668" s="48"/>
      <c r="G668" s="48"/>
      <c r="H668" s="48"/>
      <c r="I668" s="26"/>
      <c r="J668" s="46"/>
      <c r="K668" s="46"/>
      <c r="L668" s="166"/>
    </row>
    <row r="669" spans="1:12" s="44" customFormat="1" x14ac:dyDescent="0.55000000000000004">
      <c r="A669" s="46"/>
      <c r="B669" s="46"/>
      <c r="C669" s="46"/>
      <c r="D669" s="46"/>
      <c r="E669" s="48"/>
      <c r="F669" s="48"/>
      <c r="G669" s="48"/>
      <c r="H669" s="48"/>
      <c r="I669" s="26"/>
      <c r="J669" s="46"/>
      <c r="K669" s="46"/>
      <c r="L669" s="166"/>
    </row>
    <row r="670" spans="1:12" s="44" customFormat="1" x14ac:dyDescent="0.55000000000000004">
      <c r="A670" s="46"/>
      <c r="B670" s="46"/>
      <c r="C670" s="46"/>
      <c r="D670" s="46"/>
      <c r="E670" s="48"/>
      <c r="F670" s="48"/>
      <c r="G670" s="48"/>
      <c r="H670" s="48"/>
      <c r="I670" s="48"/>
      <c r="J670" s="46"/>
      <c r="K670" s="46"/>
      <c r="L670" s="166"/>
    </row>
    <row r="671" spans="1:12" s="44" customFormat="1" x14ac:dyDescent="0.55000000000000004">
      <c r="A671" s="46"/>
      <c r="B671" s="46"/>
      <c r="C671" s="46"/>
      <c r="D671" s="46"/>
      <c r="E671" s="48"/>
      <c r="F671" s="48"/>
      <c r="G671" s="48"/>
      <c r="H671" s="48"/>
      <c r="I671" s="48"/>
      <c r="J671" s="46"/>
      <c r="K671" s="46"/>
      <c r="L671" s="166"/>
    </row>
    <row r="672" spans="1:12" s="44" customFormat="1" x14ac:dyDescent="0.55000000000000004">
      <c r="A672" s="46"/>
      <c r="B672" s="46"/>
      <c r="C672" s="46"/>
      <c r="D672" s="46"/>
      <c r="E672" s="48"/>
      <c r="F672" s="48"/>
      <c r="G672" s="48"/>
      <c r="H672" s="48"/>
      <c r="I672" s="48"/>
      <c r="J672" s="46"/>
      <c r="K672" s="46"/>
      <c r="L672" s="166"/>
    </row>
    <row r="673" spans="1:86" s="44" customFormat="1" x14ac:dyDescent="0.55000000000000004">
      <c r="A673" s="46"/>
      <c r="B673" s="46"/>
      <c r="C673" s="46"/>
      <c r="D673" s="46"/>
      <c r="E673" s="48"/>
      <c r="F673" s="48"/>
      <c r="G673" s="48"/>
      <c r="H673" s="48"/>
      <c r="I673" s="48"/>
      <c r="J673" s="46"/>
      <c r="K673" s="46"/>
      <c r="L673" s="166"/>
    </row>
    <row r="674" spans="1:86" s="44" customFormat="1" x14ac:dyDescent="0.55000000000000004">
      <c r="A674" s="46"/>
      <c r="B674" s="46"/>
      <c r="C674" s="46"/>
      <c r="D674" s="46"/>
      <c r="E674" s="48"/>
      <c r="F674" s="48"/>
      <c r="G674" s="48"/>
      <c r="H674" s="48"/>
      <c r="I674" s="48"/>
      <c r="J674" s="46"/>
      <c r="K674" s="46"/>
      <c r="L674" s="166"/>
    </row>
    <row r="675" spans="1:86" s="44" customFormat="1" x14ac:dyDescent="0.55000000000000004">
      <c r="A675" s="46"/>
      <c r="B675" s="46"/>
      <c r="C675" s="46"/>
      <c r="D675" s="46"/>
      <c r="E675" s="48"/>
      <c r="F675" s="48"/>
      <c r="G675" s="48"/>
      <c r="H675" s="48"/>
      <c r="I675" s="48"/>
      <c r="J675" s="46"/>
      <c r="K675" s="46"/>
      <c r="L675" s="166"/>
    </row>
    <row r="676" spans="1:86" s="44" customFormat="1" x14ac:dyDescent="0.55000000000000004">
      <c r="A676" s="46"/>
      <c r="B676" s="46"/>
      <c r="C676" s="46"/>
      <c r="D676" s="46"/>
      <c r="E676" s="48"/>
      <c r="F676" s="48"/>
      <c r="G676" s="48"/>
      <c r="H676" s="48"/>
      <c r="I676" s="48"/>
      <c r="J676" s="46"/>
      <c r="K676" s="46"/>
      <c r="L676" s="166"/>
    </row>
    <row r="677" spans="1:86" s="44" customFormat="1" x14ac:dyDescent="0.55000000000000004">
      <c r="A677" s="46"/>
      <c r="B677" s="46"/>
      <c r="C677" s="46"/>
      <c r="D677" s="46"/>
      <c r="E677" s="48"/>
      <c r="F677" s="48"/>
      <c r="G677" s="48"/>
      <c r="H677" s="48"/>
      <c r="I677" s="48"/>
      <c r="J677" s="46"/>
      <c r="K677" s="46"/>
      <c r="L677" s="166"/>
    </row>
    <row r="678" spans="1:86" s="44" customFormat="1" x14ac:dyDescent="0.55000000000000004">
      <c r="A678" s="46"/>
      <c r="B678" s="46"/>
      <c r="C678" s="46"/>
      <c r="D678" s="46"/>
      <c r="E678" s="48"/>
      <c r="F678" s="48"/>
      <c r="G678" s="48"/>
      <c r="H678" s="48"/>
      <c r="I678" s="48"/>
      <c r="J678" s="46"/>
      <c r="K678" s="46"/>
      <c r="L678" s="166"/>
    </row>
    <row r="679" spans="1:86" s="44" customFormat="1" x14ac:dyDescent="0.55000000000000004">
      <c r="A679" s="46"/>
      <c r="B679" s="46"/>
      <c r="C679" s="46"/>
      <c r="D679" s="46"/>
      <c r="E679" s="48"/>
      <c r="F679" s="48"/>
      <c r="G679" s="48"/>
      <c r="H679" s="48"/>
      <c r="I679" s="48"/>
      <c r="J679" s="46"/>
      <c r="K679" s="46"/>
      <c r="L679" s="166"/>
    </row>
    <row r="680" spans="1:86" s="44" customFormat="1" x14ac:dyDescent="0.55000000000000004">
      <c r="A680" s="46"/>
      <c r="B680" s="46"/>
      <c r="C680" s="46"/>
      <c r="D680" s="46"/>
      <c r="E680" s="48"/>
      <c r="F680" s="48"/>
      <c r="G680" s="48"/>
      <c r="H680" s="48"/>
      <c r="I680" s="48"/>
      <c r="J680" s="46"/>
      <c r="K680" s="46"/>
      <c r="L680" s="166"/>
    </row>
    <row r="681" spans="1:86" s="44" customFormat="1" x14ac:dyDescent="0.55000000000000004">
      <c r="A681" s="46"/>
      <c r="B681" s="46"/>
      <c r="C681" s="46"/>
      <c r="D681" s="46"/>
      <c r="E681" s="48"/>
      <c r="F681" s="48"/>
      <c r="G681" s="48"/>
      <c r="H681" s="48"/>
      <c r="I681" s="48"/>
      <c r="J681" s="46"/>
      <c r="K681" s="46"/>
      <c r="L681" s="166"/>
    </row>
    <row r="682" spans="1:86" s="44" customFormat="1" x14ac:dyDescent="0.55000000000000004">
      <c r="A682" s="46"/>
      <c r="B682" s="46"/>
      <c r="C682" s="46"/>
      <c r="D682" s="46"/>
      <c r="E682" s="48"/>
      <c r="F682" s="48"/>
      <c r="G682" s="48"/>
      <c r="H682" s="48"/>
      <c r="I682" s="48"/>
      <c r="J682" s="46"/>
      <c r="K682" s="46"/>
      <c r="L682" s="166"/>
    </row>
    <row r="683" spans="1:86" s="44" customFormat="1" x14ac:dyDescent="0.55000000000000004">
      <c r="A683" s="46"/>
      <c r="B683" s="46"/>
      <c r="C683" s="46"/>
      <c r="D683" s="46"/>
      <c r="E683" s="48"/>
      <c r="F683" s="48"/>
      <c r="G683" s="48"/>
      <c r="H683" s="48"/>
      <c r="I683" s="48"/>
      <c r="J683" s="46"/>
      <c r="K683" s="46"/>
      <c r="L683" s="164"/>
    </row>
    <row r="684" spans="1:86" s="44" customFormat="1" x14ac:dyDescent="0.55000000000000004">
      <c r="A684" s="46"/>
      <c r="B684" s="46"/>
      <c r="C684" s="46"/>
      <c r="D684" s="46"/>
      <c r="E684" s="48"/>
      <c r="F684" s="48"/>
      <c r="G684" s="48"/>
      <c r="H684" s="48"/>
      <c r="I684" s="48"/>
      <c r="J684" s="46"/>
      <c r="K684" s="46"/>
      <c r="L684" s="164"/>
    </row>
    <row r="685" spans="1:86" s="44" customFormat="1" x14ac:dyDescent="0.55000000000000004">
      <c r="A685" s="46"/>
      <c r="B685" s="46"/>
      <c r="C685" s="46"/>
      <c r="D685" s="46"/>
      <c r="E685" s="48"/>
      <c r="F685" s="48"/>
      <c r="G685" s="48"/>
      <c r="H685" s="48"/>
      <c r="I685" s="48"/>
      <c r="J685" s="46"/>
      <c r="K685" s="46"/>
      <c r="L685" s="164"/>
    </row>
    <row r="686" spans="1:86" s="46" customFormat="1" x14ac:dyDescent="0.55000000000000004">
      <c r="E686" s="48"/>
      <c r="F686" s="48"/>
      <c r="G686" s="48"/>
      <c r="H686" s="48"/>
      <c r="I686" s="48"/>
      <c r="L686" s="164"/>
      <c r="M686" s="44"/>
      <c r="N686" s="44"/>
      <c r="O686" s="44"/>
      <c r="P686" s="48"/>
      <c r="Q686" s="48"/>
      <c r="R686" s="48"/>
      <c r="S686" s="48"/>
      <c r="T686" s="48"/>
      <c r="U686" s="48"/>
      <c r="V686" s="48"/>
      <c r="W686" s="48"/>
      <c r="X686" s="48"/>
      <c r="Y686" s="48"/>
      <c r="Z686" s="48"/>
      <c r="AA686" s="48"/>
      <c r="AB686" s="48"/>
      <c r="AC686" s="48"/>
      <c r="AD686" s="48"/>
      <c r="AE686" s="48"/>
      <c r="AF686" s="48"/>
      <c r="AG686" s="48"/>
      <c r="AH686" s="48"/>
      <c r="AI686" s="48"/>
      <c r="AJ686" s="48"/>
      <c r="AK686" s="48"/>
      <c r="AL686" s="48"/>
      <c r="AM686" s="48"/>
      <c r="AN686" s="48"/>
      <c r="AO686" s="48"/>
      <c r="AP686" s="48"/>
      <c r="AQ686" s="48"/>
      <c r="AR686" s="48"/>
      <c r="AS686" s="48"/>
      <c r="AT686" s="48"/>
      <c r="AU686" s="48"/>
      <c r="AV686" s="48"/>
      <c r="AW686" s="48"/>
      <c r="AX686" s="48"/>
      <c r="AY686" s="48"/>
      <c r="AZ686" s="48"/>
      <c r="BA686" s="48"/>
      <c r="BB686" s="48"/>
      <c r="BC686" s="48"/>
      <c r="BD686" s="48"/>
      <c r="BE686" s="48"/>
      <c r="BF686" s="48"/>
      <c r="BG686" s="48"/>
      <c r="BH686" s="48"/>
      <c r="BI686" s="48"/>
      <c r="BJ686" s="48"/>
      <c r="BK686" s="48"/>
      <c r="BL686" s="48"/>
      <c r="BM686" s="48"/>
      <c r="BN686" s="48"/>
      <c r="BO686" s="48"/>
      <c r="BP686" s="48"/>
      <c r="BQ686" s="48"/>
      <c r="BR686" s="48"/>
      <c r="BS686" s="48"/>
      <c r="BT686" s="48"/>
      <c r="BU686" s="48"/>
      <c r="BV686" s="48"/>
      <c r="BW686" s="48"/>
      <c r="BX686" s="48"/>
      <c r="BY686" s="48"/>
      <c r="BZ686" s="48"/>
      <c r="CA686" s="48"/>
      <c r="CB686" s="48"/>
      <c r="CC686" s="48"/>
      <c r="CD686" s="48"/>
      <c r="CE686" s="48"/>
      <c r="CF686" s="48"/>
      <c r="CG686" s="48"/>
      <c r="CH686" s="48"/>
    </row>
    <row r="687" spans="1:86" s="46" customFormat="1" x14ac:dyDescent="0.55000000000000004">
      <c r="E687" s="48"/>
      <c r="F687" s="48"/>
      <c r="G687" s="48"/>
      <c r="H687" s="48"/>
      <c r="I687" s="48"/>
      <c r="L687" s="164"/>
      <c r="M687" s="44"/>
      <c r="N687" s="44"/>
      <c r="O687" s="44"/>
      <c r="P687" s="48"/>
      <c r="Q687" s="48"/>
      <c r="R687" s="48"/>
      <c r="S687" s="48"/>
      <c r="T687" s="48"/>
      <c r="U687" s="48"/>
      <c r="V687" s="48"/>
      <c r="W687" s="48"/>
      <c r="X687" s="48"/>
      <c r="Y687" s="48"/>
      <c r="Z687" s="48"/>
      <c r="AA687" s="48"/>
      <c r="AB687" s="48"/>
      <c r="AC687" s="48"/>
      <c r="AD687" s="48"/>
      <c r="AE687" s="48"/>
      <c r="AF687" s="48"/>
      <c r="AG687" s="48"/>
      <c r="AH687" s="48"/>
      <c r="AI687" s="48"/>
      <c r="AJ687" s="48"/>
      <c r="AK687" s="48"/>
      <c r="AL687" s="48"/>
      <c r="AM687" s="48"/>
      <c r="AN687" s="48"/>
      <c r="AO687" s="48"/>
      <c r="AP687" s="48"/>
      <c r="AQ687" s="48"/>
      <c r="AR687" s="48"/>
      <c r="AS687" s="48"/>
      <c r="AT687" s="48"/>
      <c r="AU687" s="48"/>
      <c r="AV687" s="48"/>
      <c r="AW687" s="48"/>
      <c r="AX687" s="48"/>
      <c r="AY687" s="48"/>
      <c r="AZ687" s="48"/>
      <c r="BA687" s="48"/>
      <c r="BB687" s="48"/>
      <c r="BC687" s="48"/>
      <c r="BD687" s="48"/>
      <c r="BE687" s="48"/>
      <c r="BF687" s="48"/>
      <c r="BG687" s="48"/>
      <c r="BH687" s="48"/>
      <c r="BI687" s="48"/>
      <c r="BJ687" s="48"/>
      <c r="BK687" s="48"/>
      <c r="BL687" s="48"/>
      <c r="BM687" s="48"/>
      <c r="BN687" s="48"/>
      <c r="BO687" s="48"/>
      <c r="BP687" s="48"/>
      <c r="BQ687" s="48"/>
      <c r="BR687" s="48"/>
      <c r="BS687" s="48"/>
      <c r="BT687" s="48"/>
      <c r="BU687" s="48"/>
      <c r="BV687" s="48"/>
      <c r="BW687" s="48"/>
      <c r="BX687" s="48"/>
      <c r="BY687" s="48"/>
      <c r="BZ687" s="48"/>
      <c r="CA687" s="48"/>
      <c r="CB687" s="48"/>
      <c r="CC687" s="48"/>
      <c r="CD687" s="48"/>
      <c r="CE687" s="48"/>
      <c r="CF687" s="48"/>
      <c r="CG687" s="48"/>
      <c r="CH687" s="48"/>
    </row>
    <row r="688" spans="1:86" s="46" customFormat="1" x14ac:dyDescent="0.55000000000000004">
      <c r="E688" s="48"/>
      <c r="F688" s="48"/>
      <c r="G688" s="48"/>
      <c r="H688" s="48"/>
      <c r="I688" s="48"/>
      <c r="L688" s="164"/>
      <c r="M688" s="44"/>
      <c r="N688" s="44"/>
      <c r="O688" s="44"/>
      <c r="P688" s="48"/>
      <c r="Q688" s="48"/>
      <c r="R688" s="48"/>
      <c r="S688" s="48"/>
      <c r="T688" s="48"/>
      <c r="U688" s="48"/>
      <c r="V688" s="48"/>
      <c r="W688" s="48"/>
      <c r="X688" s="48"/>
      <c r="Y688" s="48"/>
      <c r="Z688" s="48"/>
      <c r="AA688" s="48"/>
      <c r="AB688" s="48"/>
      <c r="AC688" s="48"/>
      <c r="AD688" s="48"/>
      <c r="AE688" s="48"/>
      <c r="AF688" s="48"/>
      <c r="AG688" s="48"/>
      <c r="AH688" s="48"/>
      <c r="AI688" s="48"/>
      <c r="AJ688" s="48"/>
      <c r="AK688" s="48"/>
      <c r="AL688" s="48"/>
      <c r="AM688" s="48"/>
      <c r="AN688" s="48"/>
      <c r="AO688" s="48"/>
      <c r="AP688" s="48"/>
      <c r="AQ688" s="48"/>
      <c r="AR688" s="48"/>
      <c r="AS688" s="48"/>
      <c r="AT688" s="48"/>
      <c r="AU688" s="48"/>
      <c r="AV688" s="48"/>
      <c r="AW688" s="48"/>
      <c r="AX688" s="48"/>
      <c r="AY688" s="48"/>
      <c r="AZ688" s="48"/>
      <c r="BA688" s="48"/>
      <c r="BB688" s="48"/>
      <c r="BC688" s="48"/>
      <c r="BD688" s="48"/>
      <c r="BE688" s="48"/>
      <c r="BF688" s="48"/>
      <c r="BG688" s="48"/>
      <c r="BH688" s="48"/>
      <c r="BI688" s="48"/>
      <c r="BJ688" s="48"/>
      <c r="BK688" s="48"/>
      <c r="BL688" s="48"/>
      <c r="BM688" s="48"/>
      <c r="BN688" s="48"/>
      <c r="BO688" s="48"/>
      <c r="BP688" s="48"/>
      <c r="BQ688" s="48"/>
      <c r="BR688" s="48"/>
      <c r="BS688" s="48"/>
      <c r="BT688" s="48"/>
      <c r="BU688" s="48"/>
      <c r="BV688" s="48"/>
      <c r="BW688" s="48"/>
      <c r="BX688" s="48"/>
      <c r="BY688" s="48"/>
      <c r="BZ688" s="48"/>
      <c r="CA688" s="48"/>
      <c r="CB688" s="48"/>
      <c r="CC688" s="48"/>
      <c r="CD688" s="48"/>
      <c r="CE688" s="48"/>
      <c r="CF688" s="48"/>
      <c r="CG688" s="48"/>
      <c r="CH688" s="48"/>
    </row>
    <row r="689" spans="5:86" s="46" customFormat="1" x14ac:dyDescent="0.55000000000000004">
      <c r="E689" s="48"/>
      <c r="F689" s="48"/>
      <c r="G689" s="48"/>
      <c r="H689" s="48"/>
      <c r="I689" s="48"/>
      <c r="L689" s="164"/>
      <c r="M689" s="44"/>
      <c r="N689" s="44"/>
      <c r="O689" s="44"/>
      <c r="P689" s="48"/>
      <c r="Q689" s="48"/>
      <c r="R689" s="48"/>
      <c r="S689" s="48"/>
      <c r="T689" s="48"/>
      <c r="U689" s="48"/>
      <c r="V689" s="48"/>
      <c r="W689" s="48"/>
      <c r="X689" s="48"/>
      <c r="Y689" s="48"/>
      <c r="Z689" s="48"/>
      <c r="AA689" s="48"/>
      <c r="AB689" s="48"/>
      <c r="AC689" s="48"/>
      <c r="AD689" s="48"/>
      <c r="AE689" s="48"/>
      <c r="AF689" s="48"/>
      <c r="AG689" s="48"/>
      <c r="AH689" s="48"/>
      <c r="AI689" s="48"/>
      <c r="AJ689" s="48"/>
      <c r="AK689" s="48"/>
      <c r="AL689" s="48"/>
      <c r="AM689" s="48"/>
      <c r="AN689" s="48"/>
      <c r="AO689" s="48"/>
      <c r="AP689" s="48"/>
      <c r="AQ689" s="48"/>
      <c r="AR689" s="48"/>
      <c r="AS689" s="48"/>
      <c r="AT689" s="48"/>
      <c r="AU689" s="48"/>
      <c r="AV689" s="48"/>
      <c r="AW689" s="48"/>
      <c r="AX689" s="48"/>
      <c r="AY689" s="48"/>
      <c r="AZ689" s="48"/>
      <c r="BA689" s="48"/>
      <c r="BB689" s="48"/>
      <c r="BC689" s="48"/>
      <c r="BD689" s="48"/>
      <c r="BE689" s="48"/>
      <c r="BF689" s="48"/>
      <c r="BG689" s="48"/>
      <c r="BH689" s="48"/>
      <c r="BI689" s="48"/>
      <c r="BJ689" s="48"/>
      <c r="BK689" s="48"/>
      <c r="BL689" s="48"/>
      <c r="BM689" s="48"/>
      <c r="BN689" s="48"/>
      <c r="BO689" s="48"/>
      <c r="BP689" s="48"/>
      <c r="BQ689" s="48"/>
      <c r="BR689" s="48"/>
      <c r="BS689" s="48"/>
      <c r="BT689" s="48"/>
      <c r="BU689" s="48"/>
      <c r="BV689" s="48"/>
      <c r="BW689" s="48"/>
      <c r="BX689" s="48"/>
      <c r="BY689" s="48"/>
      <c r="BZ689" s="48"/>
      <c r="CA689" s="48"/>
      <c r="CB689" s="48"/>
      <c r="CC689" s="48"/>
      <c r="CD689" s="48"/>
      <c r="CE689" s="48"/>
      <c r="CF689" s="48"/>
      <c r="CG689" s="48"/>
      <c r="CH689" s="48"/>
    </row>
    <row r="690" spans="5:86" s="46" customFormat="1" x14ac:dyDescent="0.55000000000000004">
      <c r="E690" s="48"/>
      <c r="F690" s="48"/>
      <c r="G690" s="48"/>
      <c r="H690" s="48"/>
      <c r="I690" s="48"/>
      <c r="L690" s="164"/>
      <c r="M690" s="44"/>
      <c r="N690" s="44"/>
      <c r="O690" s="44"/>
      <c r="P690" s="48"/>
      <c r="Q690" s="48"/>
      <c r="R690" s="48"/>
      <c r="S690" s="48"/>
      <c r="T690" s="48"/>
      <c r="U690" s="48"/>
      <c r="V690" s="48"/>
      <c r="W690" s="48"/>
      <c r="X690" s="48"/>
      <c r="Y690" s="48"/>
      <c r="Z690" s="48"/>
      <c r="AA690" s="48"/>
      <c r="AB690" s="48"/>
      <c r="AC690" s="48"/>
      <c r="AD690" s="48"/>
      <c r="AE690" s="48"/>
      <c r="AF690" s="48"/>
      <c r="AG690" s="48"/>
      <c r="AH690" s="48"/>
      <c r="AI690" s="48"/>
      <c r="AJ690" s="48"/>
      <c r="AK690" s="48"/>
      <c r="AL690" s="48"/>
      <c r="AM690" s="48"/>
      <c r="AN690" s="48"/>
      <c r="AO690" s="48"/>
      <c r="AP690" s="48"/>
      <c r="AQ690" s="48"/>
      <c r="AR690" s="48"/>
      <c r="AS690" s="48"/>
      <c r="AT690" s="48"/>
      <c r="AU690" s="48"/>
      <c r="AV690" s="48"/>
      <c r="AW690" s="48"/>
      <c r="AX690" s="48"/>
      <c r="AY690" s="48"/>
      <c r="AZ690" s="48"/>
      <c r="BA690" s="48"/>
      <c r="BB690" s="48"/>
      <c r="BC690" s="48"/>
      <c r="BD690" s="48"/>
      <c r="BE690" s="48"/>
      <c r="BF690" s="48"/>
      <c r="BG690" s="48"/>
      <c r="BH690" s="48"/>
      <c r="BI690" s="48"/>
      <c r="BJ690" s="48"/>
      <c r="BK690" s="48"/>
      <c r="BL690" s="48"/>
      <c r="BM690" s="48"/>
      <c r="BN690" s="48"/>
      <c r="BO690" s="48"/>
      <c r="BP690" s="48"/>
      <c r="BQ690" s="48"/>
      <c r="BR690" s="48"/>
      <c r="BS690" s="48"/>
      <c r="BT690" s="48"/>
      <c r="BU690" s="48"/>
      <c r="BV690" s="48"/>
      <c r="BW690" s="48"/>
      <c r="BX690" s="48"/>
      <c r="BY690" s="48"/>
      <c r="BZ690" s="48"/>
      <c r="CA690" s="48"/>
      <c r="CB690" s="48"/>
      <c r="CC690" s="48"/>
      <c r="CD690" s="48"/>
      <c r="CE690" s="48"/>
      <c r="CF690" s="48"/>
      <c r="CG690" s="48"/>
      <c r="CH690" s="48"/>
    </row>
    <row r="691" spans="5:86" s="46" customFormat="1" x14ac:dyDescent="0.55000000000000004">
      <c r="E691" s="48"/>
      <c r="F691" s="48"/>
      <c r="G691" s="48"/>
      <c r="H691" s="48"/>
      <c r="I691" s="48"/>
      <c r="L691" s="164"/>
      <c r="M691" s="44"/>
      <c r="N691" s="44"/>
      <c r="O691" s="44"/>
      <c r="P691" s="48"/>
      <c r="Q691" s="48"/>
      <c r="R691" s="48"/>
      <c r="S691" s="48"/>
      <c r="T691" s="48"/>
      <c r="U691" s="48"/>
      <c r="V691" s="48"/>
      <c r="W691" s="48"/>
      <c r="X691" s="48"/>
      <c r="Y691" s="48"/>
      <c r="Z691" s="48"/>
      <c r="AA691" s="48"/>
      <c r="AB691" s="48"/>
      <c r="AC691" s="48"/>
      <c r="AD691" s="48"/>
      <c r="AE691" s="48"/>
      <c r="AF691" s="48"/>
      <c r="AG691" s="48"/>
      <c r="AH691" s="48"/>
      <c r="AI691" s="48"/>
      <c r="AJ691" s="48"/>
      <c r="AK691" s="48"/>
      <c r="AL691" s="48"/>
      <c r="AM691" s="48"/>
      <c r="AN691" s="48"/>
      <c r="AO691" s="48"/>
      <c r="AP691" s="48"/>
      <c r="AQ691" s="48"/>
      <c r="AR691" s="48"/>
      <c r="AS691" s="48"/>
      <c r="AT691" s="48"/>
      <c r="AU691" s="48"/>
      <c r="AV691" s="48"/>
      <c r="AW691" s="48"/>
      <c r="AX691" s="48"/>
      <c r="AY691" s="48"/>
      <c r="AZ691" s="48"/>
      <c r="BA691" s="48"/>
      <c r="BB691" s="48"/>
      <c r="BC691" s="48"/>
      <c r="BD691" s="48"/>
      <c r="BE691" s="48"/>
      <c r="BF691" s="48"/>
      <c r="BG691" s="48"/>
      <c r="BH691" s="48"/>
      <c r="BI691" s="48"/>
      <c r="BJ691" s="48"/>
      <c r="BK691" s="48"/>
      <c r="BL691" s="48"/>
      <c r="BM691" s="48"/>
      <c r="BN691" s="48"/>
      <c r="BO691" s="48"/>
      <c r="BP691" s="48"/>
      <c r="BQ691" s="48"/>
      <c r="BR691" s="48"/>
      <c r="BS691" s="48"/>
      <c r="BT691" s="48"/>
      <c r="BU691" s="48"/>
      <c r="BV691" s="48"/>
      <c r="BW691" s="48"/>
      <c r="BX691" s="48"/>
      <c r="BY691" s="48"/>
      <c r="BZ691" s="48"/>
      <c r="CA691" s="48"/>
      <c r="CB691" s="48"/>
      <c r="CC691" s="48"/>
      <c r="CD691" s="48"/>
      <c r="CE691" s="48"/>
      <c r="CF691" s="48"/>
      <c r="CG691" s="48"/>
      <c r="CH691" s="48"/>
    </row>
    <row r="692" spans="5:86" s="46" customFormat="1" x14ac:dyDescent="0.55000000000000004">
      <c r="E692" s="48"/>
      <c r="F692" s="48"/>
      <c r="G692" s="48"/>
      <c r="H692" s="48"/>
      <c r="I692" s="48"/>
      <c r="L692" s="164"/>
      <c r="M692" s="44"/>
      <c r="N692" s="44"/>
      <c r="O692" s="44"/>
      <c r="P692" s="48"/>
      <c r="Q692" s="48"/>
      <c r="R692" s="48"/>
      <c r="S692" s="48"/>
      <c r="T692" s="48"/>
      <c r="U692" s="48"/>
      <c r="V692" s="48"/>
      <c r="W692" s="48"/>
      <c r="X692" s="48"/>
      <c r="Y692" s="48"/>
      <c r="Z692" s="48"/>
      <c r="AA692" s="48"/>
      <c r="AB692" s="48"/>
      <c r="AC692" s="48"/>
      <c r="AD692" s="48"/>
      <c r="AE692" s="48"/>
      <c r="AF692" s="48"/>
      <c r="AG692" s="48"/>
      <c r="AH692" s="48"/>
      <c r="AI692" s="48"/>
      <c r="AJ692" s="48"/>
      <c r="AK692" s="48"/>
      <c r="AL692" s="48"/>
      <c r="AM692" s="48"/>
      <c r="AN692" s="48"/>
      <c r="AO692" s="48"/>
      <c r="AP692" s="48"/>
      <c r="AQ692" s="48"/>
      <c r="AR692" s="48"/>
      <c r="AS692" s="48"/>
      <c r="AT692" s="48"/>
      <c r="AU692" s="48"/>
      <c r="AV692" s="48"/>
      <c r="AW692" s="48"/>
      <c r="AX692" s="48"/>
      <c r="AY692" s="48"/>
      <c r="AZ692" s="48"/>
      <c r="BA692" s="48"/>
      <c r="BB692" s="48"/>
      <c r="BC692" s="48"/>
      <c r="BD692" s="48"/>
      <c r="BE692" s="48"/>
      <c r="BF692" s="48"/>
      <c r="BG692" s="48"/>
      <c r="BH692" s="48"/>
      <c r="BI692" s="48"/>
      <c r="BJ692" s="48"/>
      <c r="BK692" s="48"/>
      <c r="BL692" s="48"/>
      <c r="BM692" s="48"/>
      <c r="BN692" s="48"/>
      <c r="BO692" s="48"/>
      <c r="BP692" s="48"/>
      <c r="BQ692" s="48"/>
      <c r="BR692" s="48"/>
      <c r="BS692" s="48"/>
      <c r="BT692" s="48"/>
      <c r="BU692" s="48"/>
      <c r="BV692" s="48"/>
      <c r="BW692" s="48"/>
      <c r="BX692" s="48"/>
      <c r="BY692" s="48"/>
      <c r="BZ692" s="48"/>
      <c r="CA692" s="48"/>
      <c r="CB692" s="48"/>
      <c r="CC692" s="48"/>
      <c r="CD692" s="48"/>
      <c r="CE692" s="48"/>
      <c r="CF692" s="48"/>
      <c r="CG692" s="48"/>
      <c r="CH692" s="48"/>
    </row>
    <row r="693" spans="5:86" s="46" customFormat="1" x14ac:dyDescent="0.55000000000000004">
      <c r="E693" s="48"/>
      <c r="F693" s="48"/>
      <c r="G693" s="48"/>
      <c r="H693" s="48"/>
      <c r="I693" s="48"/>
      <c r="L693" s="164"/>
      <c r="M693" s="44"/>
      <c r="N693" s="44"/>
      <c r="O693" s="44"/>
      <c r="P693" s="48"/>
      <c r="Q693" s="48"/>
      <c r="R693" s="48"/>
      <c r="S693" s="48"/>
      <c r="T693" s="48"/>
      <c r="U693" s="48"/>
      <c r="V693" s="48"/>
      <c r="W693" s="48"/>
      <c r="X693" s="48"/>
      <c r="Y693" s="48"/>
      <c r="Z693" s="48"/>
      <c r="AA693" s="48"/>
      <c r="AB693" s="48"/>
      <c r="AC693" s="48"/>
      <c r="AD693" s="48"/>
      <c r="AE693" s="48"/>
      <c r="AF693" s="48"/>
      <c r="AG693" s="48"/>
      <c r="AH693" s="48"/>
      <c r="AI693" s="48"/>
      <c r="AJ693" s="48"/>
      <c r="AK693" s="48"/>
      <c r="AL693" s="48"/>
      <c r="AM693" s="48"/>
      <c r="AN693" s="48"/>
      <c r="AO693" s="48"/>
      <c r="AP693" s="48"/>
      <c r="AQ693" s="48"/>
      <c r="AR693" s="48"/>
      <c r="AS693" s="48"/>
      <c r="AT693" s="48"/>
      <c r="AU693" s="48"/>
      <c r="AV693" s="48"/>
      <c r="AW693" s="48"/>
      <c r="AX693" s="48"/>
      <c r="AY693" s="48"/>
      <c r="AZ693" s="48"/>
      <c r="BA693" s="48"/>
      <c r="BB693" s="48"/>
      <c r="BC693" s="48"/>
      <c r="BD693" s="48"/>
      <c r="BE693" s="48"/>
      <c r="BF693" s="48"/>
      <c r="BG693" s="48"/>
      <c r="BH693" s="48"/>
      <c r="BI693" s="48"/>
      <c r="BJ693" s="48"/>
      <c r="BK693" s="48"/>
      <c r="BL693" s="48"/>
      <c r="BM693" s="48"/>
      <c r="BN693" s="48"/>
      <c r="BO693" s="48"/>
      <c r="BP693" s="48"/>
      <c r="BQ693" s="48"/>
      <c r="BR693" s="48"/>
      <c r="BS693" s="48"/>
      <c r="BT693" s="48"/>
      <c r="BU693" s="48"/>
      <c r="BV693" s="48"/>
      <c r="BW693" s="48"/>
      <c r="BX693" s="48"/>
      <c r="BY693" s="48"/>
      <c r="BZ693" s="48"/>
      <c r="CA693" s="48"/>
      <c r="CB693" s="48"/>
      <c r="CC693" s="48"/>
      <c r="CD693" s="48"/>
      <c r="CE693" s="48"/>
      <c r="CF693" s="48"/>
      <c r="CG693" s="48"/>
      <c r="CH693" s="48"/>
    </row>
    <row r="694" spans="5:86" s="46" customFormat="1" x14ac:dyDescent="0.55000000000000004">
      <c r="E694" s="48"/>
      <c r="F694" s="48"/>
      <c r="G694" s="48"/>
      <c r="H694" s="48"/>
      <c r="I694" s="48"/>
      <c r="L694" s="164"/>
      <c r="M694" s="44"/>
      <c r="N694" s="44"/>
      <c r="O694" s="44"/>
      <c r="P694" s="48"/>
      <c r="Q694" s="48"/>
      <c r="R694" s="48"/>
      <c r="S694" s="48"/>
      <c r="T694" s="48"/>
      <c r="U694" s="48"/>
      <c r="V694" s="48"/>
      <c r="W694" s="48"/>
      <c r="X694" s="48"/>
      <c r="Y694" s="48"/>
      <c r="Z694" s="48"/>
      <c r="AA694" s="48"/>
      <c r="AB694" s="48"/>
      <c r="AC694" s="48"/>
      <c r="AD694" s="48"/>
      <c r="AE694" s="48"/>
      <c r="AF694" s="48"/>
      <c r="AG694" s="48"/>
      <c r="AH694" s="48"/>
      <c r="AI694" s="48"/>
      <c r="AJ694" s="48"/>
      <c r="AK694" s="48"/>
      <c r="AL694" s="48"/>
      <c r="AM694" s="48"/>
      <c r="AN694" s="48"/>
      <c r="AO694" s="48"/>
      <c r="AP694" s="48"/>
      <c r="AQ694" s="48"/>
      <c r="AR694" s="48"/>
      <c r="AS694" s="48"/>
      <c r="AT694" s="48"/>
      <c r="AU694" s="48"/>
      <c r="AV694" s="48"/>
      <c r="AW694" s="48"/>
      <c r="AX694" s="48"/>
      <c r="AY694" s="48"/>
      <c r="AZ694" s="48"/>
      <c r="BA694" s="48"/>
      <c r="BB694" s="48"/>
      <c r="BC694" s="48"/>
      <c r="BD694" s="48"/>
      <c r="BE694" s="48"/>
      <c r="BF694" s="48"/>
      <c r="BG694" s="48"/>
      <c r="BH694" s="48"/>
      <c r="BI694" s="48"/>
      <c r="BJ694" s="48"/>
      <c r="BK694" s="48"/>
      <c r="BL694" s="48"/>
      <c r="BM694" s="48"/>
      <c r="BN694" s="48"/>
      <c r="BO694" s="48"/>
      <c r="BP694" s="48"/>
      <c r="BQ694" s="48"/>
      <c r="BR694" s="48"/>
      <c r="BS694" s="48"/>
      <c r="BT694" s="48"/>
      <c r="BU694" s="48"/>
      <c r="BV694" s="48"/>
      <c r="BW694" s="48"/>
      <c r="BX694" s="48"/>
      <c r="BY694" s="48"/>
      <c r="BZ694" s="48"/>
      <c r="CA694" s="48"/>
      <c r="CB694" s="48"/>
      <c r="CC694" s="48"/>
      <c r="CD694" s="48"/>
      <c r="CE694" s="48"/>
      <c r="CF694" s="48"/>
      <c r="CG694" s="48"/>
      <c r="CH694" s="48"/>
    </row>
    <row r="695" spans="5:86" s="46" customFormat="1" x14ac:dyDescent="0.55000000000000004">
      <c r="E695" s="48"/>
      <c r="F695" s="48"/>
      <c r="G695" s="48"/>
      <c r="H695" s="48"/>
      <c r="I695" s="48"/>
      <c r="L695" s="164"/>
      <c r="M695" s="44"/>
      <c r="N695" s="44"/>
      <c r="O695" s="44"/>
      <c r="P695" s="48"/>
      <c r="Q695" s="48"/>
      <c r="R695" s="48"/>
      <c r="S695" s="48"/>
      <c r="T695" s="48"/>
      <c r="U695" s="48"/>
      <c r="V695" s="48"/>
      <c r="W695" s="48"/>
      <c r="X695" s="48"/>
      <c r="Y695" s="48"/>
      <c r="Z695" s="48"/>
      <c r="AA695" s="48"/>
      <c r="AB695" s="48"/>
      <c r="AC695" s="48"/>
      <c r="AD695" s="48"/>
      <c r="AE695" s="48"/>
      <c r="AF695" s="48"/>
      <c r="AG695" s="48"/>
      <c r="AH695" s="48"/>
      <c r="AI695" s="48"/>
      <c r="AJ695" s="48"/>
      <c r="AK695" s="48"/>
      <c r="AL695" s="48"/>
      <c r="AM695" s="48"/>
      <c r="AN695" s="48"/>
      <c r="AO695" s="48"/>
      <c r="AP695" s="48"/>
      <c r="AQ695" s="48"/>
      <c r="AR695" s="48"/>
      <c r="AS695" s="48"/>
      <c r="AT695" s="48"/>
      <c r="AU695" s="48"/>
      <c r="AV695" s="48"/>
      <c r="AW695" s="48"/>
      <c r="AX695" s="48"/>
      <c r="AY695" s="48"/>
      <c r="AZ695" s="48"/>
      <c r="BA695" s="48"/>
      <c r="BB695" s="48"/>
      <c r="BC695" s="48"/>
      <c r="BD695" s="48"/>
      <c r="BE695" s="48"/>
      <c r="BF695" s="48"/>
      <c r="BG695" s="48"/>
      <c r="BH695" s="48"/>
      <c r="BI695" s="48"/>
      <c r="BJ695" s="48"/>
      <c r="BK695" s="48"/>
      <c r="BL695" s="48"/>
      <c r="BM695" s="48"/>
      <c r="BN695" s="48"/>
      <c r="BO695" s="48"/>
      <c r="BP695" s="48"/>
      <c r="BQ695" s="48"/>
      <c r="BR695" s="48"/>
      <c r="BS695" s="48"/>
      <c r="BT695" s="48"/>
      <c r="BU695" s="48"/>
      <c r="BV695" s="48"/>
      <c r="BW695" s="48"/>
      <c r="BX695" s="48"/>
      <c r="BY695" s="48"/>
      <c r="BZ695" s="48"/>
      <c r="CA695" s="48"/>
      <c r="CB695" s="48"/>
      <c r="CC695" s="48"/>
      <c r="CD695" s="48"/>
      <c r="CE695" s="48"/>
      <c r="CF695" s="48"/>
      <c r="CG695" s="48"/>
      <c r="CH695" s="48"/>
    </row>
    <row r="696" spans="5:86" s="46" customFormat="1" x14ac:dyDescent="0.55000000000000004">
      <c r="E696" s="48"/>
      <c r="F696" s="48"/>
      <c r="G696" s="48"/>
      <c r="H696" s="48"/>
      <c r="I696" s="48"/>
      <c r="L696" s="164"/>
      <c r="M696" s="44"/>
      <c r="N696" s="44"/>
      <c r="O696" s="44"/>
      <c r="P696" s="48"/>
      <c r="Q696" s="48"/>
      <c r="R696" s="48"/>
      <c r="S696" s="48"/>
      <c r="T696" s="48"/>
      <c r="U696" s="48"/>
      <c r="V696" s="48"/>
      <c r="W696" s="48"/>
      <c r="X696" s="48"/>
      <c r="Y696" s="48"/>
      <c r="Z696" s="48"/>
      <c r="AA696" s="48"/>
      <c r="AB696" s="48"/>
      <c r="AC696" s="48"/>
      <c r="AD696" s="48"/>
      <c r="AE696" s="48"/>
      <c r="AF696" s="48"/>
      <c r="AG696" s="48"/>
      <c r="AH696" s="48"/>
      <c r="AI696" s="48"/>
      <c r="AJ696" s="48"/>
      <c r="AK696" s="48"/>
      <c r="AL696" s="48"/>
      <c r="AM696" s="48"/>
      <c r="AN696" s="48"/>
      <c r="AO696" s="48"/>
      <c r="AP696" s="48"/>
      <c r="AQ696" s="48"/>
      <c r="AR696" s="48"/>
      <c r="AS696" s="48"/>
      <c r="AT696" s="48"/>
      <c r="AU696" s="48"/>
      <c r="AV696" s="48"/>
      <c r="AW696" s="48"/>
      <c r="AX696" s="48"/>
      <c r="AY696" s="48"/>
      <c r="AZ696" s="48"/>
      <c r="BA696" s="48"/>
      <c r="BB696" s="48"/>
      <c r="BC696" s="48"/>
      <c r="BD696" s="48"/>
      <c r="BE696" s="48"/>
      <c r="BF696" s="48"/>
      <c r="BG696" s="48"/>
      <c r="BH696" s="48"/>
      <c r="BI696" s="48"/>
      <c r="BJ696" s="48"/>
      <c r="BK696" s="48"/>
      <c r="BL696" s="48"/>
      <c r="BM696" s="48"/>
      <c r="BN696" s="48"/>
      <c r="BO696" s="48"/>
      <c r="BP696" s="48"/>
      <c r="BQ696" s="48"/>
      <c r="BR696" s="48"/>
      <c r="BS696" s="48"/>
      <c r="BT696" s="48"/>
      <c r="BU696" s="48"/>
      <c r="BV696" s="48"/>
      <c r="BW696" s="48"/>
      <c r="BX696" s="48"/>
      <c r="BY696" s="48"/>
      <c r="BZ696" s="48"/>
      <c r="CA696" s="48"/>
      <c r="CB696" s="48"/>
      <c r="CC696" s="48"/>
      <c r="CD696" s="48"/>
      <c r="CE696" s="48"/>
      <c r="CF696" s="48"/>
      <c r="CG696" s="48"/>
      <c r="CH696" s="48"/>
    </row>
    <row r="697" spans="5:86" s="46" customFormat="1" x14ac:dyDescent="0.55000000000000004">
      <c r="E697" s="48"/>
      <c r="F697" s="48"/>
      <c r="G697" s="48"/>
      <c r="H697" s="48"/>
      <c r="I697" s="48"/>
      <c r="L697" s="166"/>
      <c r="M697" s="44"/>
      <c r="N697" s="44"/>
      <c r="O697" s="44"/>
      <c r="P697" s="48"/>
      <c r="Q697" s="48"/>
      <c r="R697" s="48"/>
      <c r="S697" s="48"/>
      <c r="T697" s="48"/>
      <c r="U697" s="48"/>
      <c r="V697" s="48"/>
      <c r="W697" s="48"/>
      <c r="X697" s="48"/>
      <c r="Y697" s="48"/>
      <c r="Z697" s="48"/>
      <c r="AA697" s="48"/>
      <c r="AB697" s="48"/>
      <c r="AC697" s="48"/>
      <c r="AD697" s="48"/>
      <c r="AE697" s="48"/>
      <c r="AF697" s="48"/>
      <c r="AG697" s="48"/>
      <c r="AH697" s="48"/>
      <c r="AI697" s="48"/>
      <c r="AJ697" s="48"/>
      <c r="AK697" s="48"/>
      <c r="AL697" s="48"/>
      <c r="AM697" s="48"/>
      <c r="AN697" s="48"/>
      <c r="AO697" s="48"/>
      <c r="AP697" s="48"/>
      <c r="AQ697" s="48"/>
      <c r="AR697" s="48"/>
      <c r="AS697" s="48"/>
      <c r="AT697" s="48"/>
      <c r="AU697" s="48"/>
      <c r="AV697" s="48"/>
      <c r="AW697" s="48"/>
      <c r="AX697" s="48"/>
      <c r="AY697" s="48"/>
      <c r="AZ697" s="48"/>
      <c r="BA697" s="48"/>
      <c r="BB697" s="48"/>
      <c r="BC697" s="48"/>
      <c r="BD697" s="48"/>
      <c r="BE697" s="48"/>
      <c r="BF697" s="48"/>
      <c r="BG697" s="48"/>
      <c r="BH697" s="48"/>
      <c r="BI697" s="48"/>
      <c r="BJ697" s="48"/>
      <c r="BK697" s="48"/>
      <c r="BL697" s="48"/>
      <c r="BM697" s="48"/>
      <c r="BN697" s="48"/>
      <c r="BO697" s="48"/>
      <c r="BP697" s="48"/>
      <c r="BQ697" s="48"/>
      <c r="BR697" s="48"/>
      <c r="BS697" s="48"/>
      <c r="BT697" s="48"/>
      <c r="BU697" s="48"/>
      <c r="BV697" s="48"/>
      <c r="BW697" s="48"/>
      <c r="BX697" s="48"/>
      <c r="BY697" s="48"/>
      <c r="BZ697" s="48"/>
      <c r="CA697" s="48"/>
      <c r="CB697" s="48"/>
      <c r="CC697" s="48"/>
      <c r="CD697" s="48"/>
      <c r="CE697" s="48"/>
      <c r="CF697" s="48"/>
      <c r="CG697" s="48"/>
      <c r="CH697" s="48"/>
    </row>
    <row r="698" spans="5:86" s="46" customFormat="1" x14ac:dyDescent="0.55000000000000004">
      <c r="E698" s="48"/>
      <c r="F698" s="48"/>
      <c r="G698" s="48"/>
      <c r="H698" s="48"/>
      <c r="I698" s="48"/>
      <c r="L698" s="163"/>
      <c r="M698" s="44"/>
      <c r="N698" s="44"/>
      <c r="O698" s="44"/>
      <c r="P698" s="48"/>
      <c r="Q698" s="48"/>
      <c r="R698" s="48"/>
      <c r="S698" s="48"/>
      <c r="T698" s="48"/>
      <c r="U698" s="48"/>
      <c r="V698" s="48"/>
      <c r="W698" s="48"/>
      <c r="X698" s="48"/>
      <c r="Y698" s="48"/>
      <c r="Z698" s="48"/>
      <c r="AA698" s="48"/>
      <c r="AB698" s="48"/>
      <c r="AC698" s="48"/>
      <c r="AD698" s="48"/>
      <c r="AE698" s="48"/>
      <c r="AF698" s="48"/>
      <c r="AG698" s="48"/>
      <c r="AH698" s="48"/>
      <c r="AI698" s="48"/>
      <c r="AJ698" s="48"/>
      <c r="AK698" s="48"/>
      <c r="AL698" s="48"/>
      <c r="AM698" s="48"/>
      <c r="AN698" s="48"/>
      <c r="AO698" s="48"/>
      <c r="AP698" s="48"/>
      <c r="AQ698" s="48"/>
      <c r="AR698" s="48"/>
      <c r="AS698" s="48"/>
      <c r="AT698" s="48"/>
      <c r="AU698" s="48"/>
      <c r="AV698" s="48"/>
      <c r="AW698" s="48"/>
      <c r="AX698" s="48"/>
      <c r="AY698" s="48"/>
      <c r="AZ698" s="48"/>
      <c r="BA698" s="48"/>
      <c r="BB698" s="48"/>
      <c r="BC698" s="48"/>
      <c r="BD698" s="48"/>
      <c r="BE698" s="48"/>
      <c r="BF698" s="48"/>
      <c r="BG698" s="48"/>
      <c r="BH698" s="48"/>
      <c r="BI698" s="48"/>
      <c r="BJ698" s="48"/>
      <c r="BK698" s="48"/>
      <c r="BL698" s="48"/>
      <c r="BM698" s="48"/>
      <c r="BN698" s="48"/>
      <c r="BO698" s="48"/>
      <c r="BP698" s="48"/>
      <c r="BQ698" s="48"/>
      <c r="BR698" s="48"/>
      <c r="BS698" s="48"/>
      <c r="BT698" s="48"/>
      <c r="BU698" s="48"/>
      <c r="BV698" s="48"/>
      <c r="BW698" s="48"/>
      <c r="BX698" s="48"/>
      <c r="BY698" s="48"/>
      <c r="BZ698" s="48"/>
      <c r="CA698" s="48"/>
      <c r="CB698" s="48"/>
      <c r="CC698" s="48"/>
      <c r="CD698" s="48"/>
      <c r="CE698" s="48"/>
      <c r="CF698" s="48"/>
      <c r="CG698" s="48"/>
      <c r="CH698" s="48"/>
    </row>
    <row r="699" spans="5:86" s="46" customFormat="1" x14ac:dyDescent="0.55000000000000004">
      <c r="E699" s="48"/>
      <c r="F699" s="48"/>
      <c r="G699" s="48"/>
      <c r="H699" s="48"/>
      <c r="I699" s="48"/>
      <c r="L699" s="166"/>
      <c r="M699" s="44"/>
      <c r="N699" s="44"/>
      <c r="O699" s="44"/>
      <c r="P699" s="48"/>
      <c r="Q699" s="48"/>
      <c r="R699" s="48"/>
      <c r="S699" s="48"/>
      <c r="T699" s="48"/>
      <c r="U699" s="48"/>
      <c r="V699" s="48"/>
      <c r="W699" s="48"/>
      <c r="X699" s="48"/>
      <c r="Y699" s="48"/>
      <c r="Z699" s="48"/>
      <c r="AA699" s="48"/>
      <c r="AB699" s="48"/>
      <c r="AC699" s="48"/>
      <c r="AD699" s="48"/>
      <c r="AE699" s="48"/>
      <c r="AF699" s="48"/>
      <c r="AG699" s="48"/>
      <c r="AH699" s="48"/>
      <c r="AI699" s="48"/>
      <c r="AJ699" s="48"/>
      <c r="AK699" s="48"/>
      <c r="AL699" s="48"/>
      <c r="AM699" s="48"/>
      <c r="AN699" s="48"/>
      <c r="AO699" s="48"/>
      <c r="AP699" s="48"/>
      <c r="AQ699" s="48"/>
      <c r="AR699" s="48"/>
      <c r="AS699" s="48"/>
      <c r="AT699" s="48"/>
      <c r="AU699" s="48"/>
      <c r="AV699" s="48"/>
      <c r="AW699" s="48"/>
      <c r="AX699" s="48"/>
      <c r="AY699" s="48"/>
      <c r="AZ699" s="48"/>
      <c r="BA699" s="48"/>
      <c r="BB699" s="48"/>
      <c r="BC699" s="48"/>
      <c r="BD699" s="48"/>
      <c r="BE699" s="48"/>
      <c r="BF699" s="48"/>
      <c r="BG699" s="48"/>
      <c r="BH699" s="48"/>
      <c r="BI699" s="48"/>
      <c r="BJ699" s="48"/>
      <c r="BK699" s="48"/>
      <c r="BL699" s="48"/>
      <c r="BM699" s="48"/>
      <c r="BN699" s="48"/>
      <c r="BO699" s="48"/>
      <c r="BP699" s="48"/>
      <c r="BQ699" s="48"/>
      <c r="BR699" s="48"/>
      <c r="BS699" s="48"/>
      <c r="BT699" s="48"/>
      <c r="BU699" s="48"/>
      <c r="BV699" s="48"/>
      <c r="BW699" s="48"/>
      <c r="BX699" s="48"/>
      <c r="BY699" s="48"/>
      <c r="BZ699" s="48"/>
      <c r="CA699" s="48"/>
      <c r="CB699" s="48"/>
      <c r="CC699" s="48"/>
      <c r="CD699" s="48"/>
      <c r="CE699" s="48"/>
      <c r="CF699" s="48"/>
      <c r="CG699" s="48"/>
      <c r="CH699" s="48"/>
    </row>
    <row r="700" spans="5:86" s="46" customFormat="1" x14ac:dyDescent="0.55000000000000004">
      <c r="E700" s="48"/>
      <c r="F700" s="48"/>
      <c r="G700" s="48"/>
      <c r="H700" s="48"/>
      <c r="I700" s="24"/>
      <c r="J700" s="40"/>
      <c r="K700" s="40"/>
      <c r="L700" s="33"/>
      <c r="M700" s="44"/>
      <c r="N700" s="44"/>
      <c r="O700" s="44"/>
      <c r="P700" s="48"/>
      <c r="Q700" s="48"/>
      <c r="R700" s="48"/>
      <c r="S700" s="48"/>
      <c r="T700" s="48"/>
      <c r="U700" s="48"/>
      <c r="V700" s="48"/>
      <c r="W700" s="48"/>
      <c r="X700" s="48"/>
      <c r="Y700" s="48"/>
      <c r="Z700" s="48"/>
      <c r="AA700" s="48"/>
      <c r="AB700" s="48"/>
      <c r="AC700" s="48"/>
      <c r="AD700" s="48"/>
      <c r="AE700" s="48"/>
      <c r="AF700" s="48"/>
      <c r="AG700" s="48"/>
      <c r="AH700" s="48"/>
      <c r="AI700" s="48"/>
      <c r="AJ700" s="48"/>
      <c r="AK700" s="48"/>
      <c r="AL700" s="48"/>
      <c r="AM700" s="48"/>
      <c r="AN700" s="48"/>
      <c r="AO700" s="48"/>
      <c r="AP700" s="48"/>
      <c r="AQ700" s="48"/>
      <c r="AR700" s="48"/>
      <c r="AS700" s="48"/>
      <c r="AT700" s="48"/>
      <c r="AU700" s="48"/>
      <c r="AV700" s="48"/>
      <c r="AW700" s="48"/>
      <c r="AX700" s="48"/>
      <c r="AY700" s="48"/>
      <c r="AZ700" s="48"/>
      <c r="BA700" s="48"/>
      <c r="BB700" s="48"/>
      <c r="BC700" s="48"/>
      <c r="BD700" s="48"/>
      <c r="BE700" s="48"/>
      <c r="BF700" s="48"/>
      <c r="BG700" s="48"/>
      <c r="BH700" s="48"/>
      <c r="BI700" s="48"/>
      <c r="BJ700" s="48"/>
      <c r="BK700" s="48"/>
      <c r="BL700" s="48"/>
      <c r="BM700" s="48"/>
      <c r="BN700" s="48"/>
      <c r="BO700" s="48"/>
      <c r="BP700" s="48"/>
      <c r="BQ700" s="48"/>
      <c r="BR700" s="48"/>
      <c r="BS700" s="48"/>
      <c r="BT700" s="48"/>
      <c r="BU700" s="48"/>
      <c r="BV700" s="48"/>
      <c r="BW700" s="48"/>
      <c r="BX700" s="48"/>
      <c r="BY700" s="48"/>
      <c r="BZ700" s="48"/>
      <c r="CA700" s="48"/>
      <c r="CB700" s="48"/>
      <c r="CC700" s="48"/>
      <c r="CD700" s="48"/>
      <c r="CE700" s="48"/>
      <c r="CF700" s="48"/>
      <c r="CG700" s="48"/>
      <c r="CH700" s="48"/>
    </row>
    <row r="701" spans="5:86" s="46" customFormat="1" x14ac:dyDescent="0.55000000000000004">
      <c r="E701" s="48"/>
      <c r="F701" s="48"/>
      <c r="G701" s="48"/>
      <c r="H701" s="48"/>
      <c r="I701" s="24"/>
      <c r="J701" s="40"/>
      <c r="K701" s="40"/>
      <c r="L701" s="33"/>
      <c r="M701" s="44"/>
      <c r="N701" s="44"/>
      <c r="O701" s="44"/>
      <c r="P701" s="48"/>
      <c r="Q701" s="48"/>
      <c r="R701" s="48"/>
      <c r="S701" s="48"/>
      <c r="T701" s="48"/>
      <c r="U701" s="48"/>
      <c r="V701" s="48"/>
      <c r="W701" s="48"/>
      <c r="X701" s="48"/>
      <c r="Y701" s="48"/>
      <c r="Z701" s="48"/>
      <c r="AA701" s="48"/>
      <c r="AB701" s="48"/>
      <c r="AC701" s="48"/>
      <c r="AD701" s="48"/>
      <c r="AE701" s="48"/>
      <c r="AF701" s="48"/>
      <c r="AG701" s="48"/>
      <c r="AH701" s="48"/>
      <c r="AI701" s="48"/>
      <c r="AJ701" s="48"/>
      <c r="AK701" s="48"/>
      <c r="AL701" s="48"/>
      <c r="AM701" s="48"/>
      <c r="AN701" s="48"/>
      <c r="AO701" s="48"/>
      <c r="AP701" s="48"/>
      <c r="AQ701" s="48"/>
      <c r="AR701" s="48"/>
      <c r="AS701" s="48"/>
      <c r="AT701" s="48"/>
      <c r="AU701" s="48"/>
      <c r="AV701" s="48"/>
      <c r="AW701" s="48"/>
      <c r="AX701" s="48"/>
      <c r="AY701" s="48"/>
      <c r="AZ701" s="48"/>
      <c r="BA701" s="48"/>
      <c r="BB701" s="48"/>
      <c r="BC701" s="48"/>
      <c r="BD701" s="48"/>
      <c r="BE701" s="48"/>
      <c r="BF701" s="48"/>
      <c r="BG701" s="48"/>
      <c r="BH701" s="48"/>
      <c r="BI701" s="48"/>
      <c r="BJ701" s="48"/>
      <c r="BK701" s="48"/>
      <c r="BL701" s="48"/>
      <c r="BM701" s="48"/>
      <c r="BN701" s="48"/>
      <c r="BO701" s="48"/>
      <c r="BP701" s="48"/>
      <c r="BQ701" s="48"/>
      <c r="BR701" s="48"/>
      <c r="BS701" s="48"/>
      <c r="BT701" s="48"/>
      <c r="BU701" s="48"/>
      <c r="BV701" s="48"/>
      <c r="BW701" s="48"/>
      <c r="BX701" s="48"/>
      <c r="BY701" s="48"/>
      <c r="BZ701" s="48"/>
      <c r="CA701" s="48"/>
      <c r="CB701" s="48"/>
      <c r="CC701" s="48"/>
      <c r="CD701" s="48"/>
      <c r="CE701" s="48"/>
      <c r="CF701" s="48"/>
      <c r="CG701" s="48"/>
      <c r="CH701" s="48"/>
    </row>
    <row r="702" spans="5:86" s="46" customFormat="1" x14ac:dyDescent="0.55000000000000004">
      <c r="E702" s="48"/>
      <c r="F702" s="48"/>
      <c r="G702" s="48"/>
      <c r="H702" s="48"/>
      <c r="I702" s="33"/>
      <c r="J702" s="40"/>
      <c r="K702" s="40"/>
      <c r="L702" s="161"/>
      <c r="M702" s="44"/>
      <c r="N702" s="44"/>
      <c r="O702" s="44"/>
      <c r="P702" s="48"/>
      <c r="Q702" s="48"/>
      <c r="R702" s="48"/>
      <c r="S702" s="48"/>
      <c r="T702" s="48"/>
      <c r="U702" s="48"/>
      <c r="V702" s="48"/>
      <c r="W702" s="48"/>
      <c r="X702" s="48"/>
      <c r="Y702" s="48"/>
      <c r="Z702" s="48"/>
      <c r="AA702" s="48"/>
      <c r="AB702" s="48"/>
      <c r="AC702" s="48"/>
      <c r="AD702" s="48"/>
      <c r="AE702" s="48"/>
      <c r="AF702" s="48"/>
      <c r="AG702" s="48"/>
      <c r="AH702" s="48"/>
      <c r="AI702" s="48"/>
      <c r="AJ702" s="48"/>
      <c r="AK702" s="48"/>
      <c r="AL702" s="48"/>
      <c r="AM702" s="48"/>
      <c r="AN702" s="48"/>
      <c r="AO702" s="48"/>
      <c r="AP702" s="48"/>
      <c r="AQ702" s="48"/>
      <c r="AR702" s="48"/>
      <c r="AS702" s="48"/>
      <c r="AT702" s="48"/>
      <c r="AU702" s="48"/>
      <c r="AV702" s="48"/>
      <c r="AW702" s="48"/>
      <c r="AX702" s="48"/>
      <c r="AY702" s="48"/>
      <c r="AZ702" s="48"/>
      <c r="BA702" s="48"/>
      <c r="BB702" s="48"/>
      <c r="BC702" s="48"/>
      <c r="BD702" s="48"/>
      <c r="BE702" s="48"/>
      <c r="BF702" s="48"/>
      <c r="BG702" s="48"/>
      <c r="BH702" s="48"/>
      <c r="BI702" s="48"/>
      <c r="BJ702" s="48"/>
      <c r="BK702" s="48"/>
      <c r="BL702" s="48"/>
      <c r="BM702" s="48"/>
      <c r="BN702" s="48"/>
      <c r="BO702" s="48"/>
      <c r="BP702" s="48"/>
      <c r="BQ702" s="48"/>
      <c r="BR702" s="48"/>
      <c r="BS702" s="48"/>
      <c r="BT702" s="48"/>
      <c r="BU702" s="48"/>
      <c r="BV702" s="48"/>
      <c r="BW702" s="48"/>
      <c r="BX702" s="48"/>
      <c r="BY702" s="48"/>
      <c r="BZ702" s="48"/>
      <c r="CA702" s="48"/>
      <c r="CB702" s="48"/>
      <c r="CC702" s="48"/>
      <c r="CD702" s="48"/>
      <c r="CE702" s="48"/>
      <c r="CF702" s="48"/>
      <c r="CG702" s="48"/>
      <c r="CH702" s="48"/>
    </row>
    <row r="703" spans="5:86" s="46" customFormat="1" x14ac:dyDescent="0.55000000000000004">
      <c r="E703" s="48"/>
      <c r="F703" s="48"/>
      <c r="G703" s="48"/>
      <c r="H703" s="48"/>
      <c r="I703" s="24"/>
      <c r="J703" s="40"/>
      <c r="K703" s="40"/>
      <c r="L703" s="33"/>
      <c r="M703" s="44"/>
      <c r="N703" s="44"/>
      <c r="O703" s="44"/>
      <c r="P703" s="48"/>
      <c r="Q703" s="48"/>
      <c r="R703" s="48"/>
      <c r="S703" s="48"/>
      <c r="T703" s="48"/>
      <c r="U703" s="48"/>
      <c r="V703" s="48"/>
      <c r="W703" s="48"/>
      <c r="X703" s="48"/>
      <c r="Y703" s="48"/>
      <c r="Z703" s="48"/>
      <c r="AA703" s="48"/>
      <c r="AB703" s="48"/>
      <c r="AC703" s="48"/>
      <c r="AD703" s="48"/>
      <c r="AE703" s="48"/>
      <c r="AF703" s="48"/>
      <c r="AG703" s="48"/>
      <c r="AH703" s="48"/>
      <c r="AI703" s="48"/>
      <c r="AJ703" s="48"/>
      <c r="AK703" s="48"/>
      <c r="AL703" s="48"/>
      <c r="AM703" s="48"/>
      <c r="AN703" s="48"/>
      <c r="AO703" s="48"/>
      <c r="AP703" s="48"/>
      <c r="AQ703" s="48"/>
      <c r="AR703" s="48"/>
      <c r="AS703" s="48"/>
      <c r="AT703" s="48"/>
      <c r="AU703" s="48"/>
      <c r="AV703" s="48"/>
      <c r="AW703" s="48"/>
      <c r="AX703" s="48"/>
      <c r="AY703" s="48"/>
      <c r="AZ703" s="48"/>
      <c r="BA703" s="48"/>
      <c r="BB703" s="48"/>
      <c r="BC703" s="48"/>
      <c r="BD703" s="48"/>
      <c r="BE703" s="48"/>
      <c r="BF703" s="48"/>
      <c r="BG703" s="48"/>
      <c r="BH703" s="48"/>
      <c r="BI703" s="48"/>
      <c r="BJ703" s="48"/>
      <c r="BK703" s="48"/>
      <c r="BL703" s="48"/>
      <c r="BM703" s="48"/>
      <c r="BN703" s="48"/>
      <c r="BO703" s="48"/>
      <c r="BP703" s="48"/>
      <c r="BQ703" s="48"/>
      <c r="BR703" s="48"/>
      <c r="BS703" s="48"/>
      <c r="BT703" s="48"/>
      <c r="BU703" s="48"/>
      <c r="BV703" s="48"/>
      <c r="BW703" s="48"/>
      <c r="BX703" s="48"/>
      <c r="BY703" s="48"/>
      <c r="BZ703" s="48"/>
      <c r="CA703" s="48"/>
      <c r="CB703" s="48"/>
      <c r="CC703" s="48"/>
      <c r="CD703" s="48"/>
      <c r="CE703" s="48"/>
      <c r="CF703" s="48"/>
      <c r="CG703" s="48"/>
      <c r="CH703" s="48"/>
    </row>
    <row r="704" spans="5:86" s="46" customFormat="1" x14ac:dyDescent="0.55000000000000004">
      <c r="E704" s="48"/>
      <c r="F704" s="48"/>
      <c r="G704" s="48"/>
      <c r="H704" s="48"/>
      <c r="I704" s="24"/>
      <c r="J704" s="40"/>
      <c r="K704" s="40"/>
      <c r="L704" s="33"/>
      <c r="M704" s="44"/>
      <c r="N704" s="44"/>
      <c r="O704" s="44"/>
      <c r="P704" s="48"/>
      <c r="Q704" s="48"/>
      <c r="R704" s="48"/>
      <c r="S704" s="48"/>
      <c r="T704" s="48"/>
      <c r="U704" s="48"/>
      <c r="V704" s="48"/>
      <c r="W704" s="48"/>
      <c r="X704" s="48"/>
      <c r="Y704" s="48"/>
      <c r="Z704" s="48"/>
      <c r="AA704" s="48"/>
      <c r="AB704" s="48"/>
      <c r="AC704" s="48"/>
      <c r="AD704" s="48"/>
      <c r="AE704" s="48"/>
      <c r="AF704" s="48"/>
      <c r="AG704" s="48"/>
      <c r="AH704" s="48"/>
      <c r="AI704" s="48"/>
      <c r="AJ704" s="48"/>
      <c r="AK704" s="48"/>
      <c r="AL704" s="48"/>
      <c r="AM704" s="48"/>
      <c r="AN704" s="48"/>
      <c r="AO704" s="48"/>
      <c r="AP704" s="48"/>
      <c r="AQ704" s="48"/>
      <c r="AR704" s="48"/>
      <c r="AS704" s="48"/>
      <c r="AT704" s="48"/>
      <c r="AU704" s="48"/>
      <c r="AV704" s="48"/>
      <c r="AW704" s="48"/>
      <c r="AX704" s="48"/>
      <c r="AY704" s="48"/>
      <c r="AZ704" s="48"/>
      <c r="BA704" s="48"/>
      <c r="BB704" s="48"/>
      <c r="BC704" s="48"/>
      <c r="BD704" s="48"/>
      <c r="BE704" s="48"/>
      <c r="BF704" s="48"/>
      <c r="BG704" s="48"/>
      <c r="BH704" s="48"/>
      <c r="BI704" s="48"/>
      <c r="BJ704" s="48"/>
      <c r="BK704" s="48"/>
      <c r="BL704" s="48"/>
      <c r="BM704" s="48"/>
      <c r="BN704" s="48"/>
      <c r="BO704" s="48"/>
      <c r="BP704" s="48"/>
      <c r="BQ704" s="48"/>
      <c r="BR704" s="48"/>
      <c r="BS704" s="48"/>
      <c r="BT704" s="48"/>
      <c r="BU704" s="48"/>
      <c r="BV704" s="48"/>
      <c r="BW704" s="48"/>
      <c r="BX704" s="48"/>
      <c r="BY704" s="48"/>
      <c r="BZ704" s="48"/>
      <c r="CA704" s="48"/>
      <c r="CB704" s="48"/>
      <c r="CC704" s="48"/>
      <c r="CD704" s="48"/>
      <c r="CE704" s="48"/>
      <c r="CF704" s="48"/>
      <c r="CG704" s="48"/>
      <c r="CH704" s="48"/>
    </row>
    <row r="705" spans="5:86" s="46" customFormat="1" x14ac:dyDescent="0.55000000000000004">
      <c r="E705" s="48"/>
      <c r="F705" s="48"/>
      <c r="G705" s="48"/>
      <c r="H705" s="48"/>
      <c r="I705" s="24"/>
      <c r="J705" s="40"/>
      <c r="K705" s="40"/>
      <c r="L705" s="33"/>
      <c r="M705" s="44"/>
      <c r="N705" s="44"/>
      <c r="O705" s="44"/>
      <c r="P705" s="48"/>
      <c r="Q705" s="48"/>
      <c r="R705" s="48"/>
      <c r="S705" s="48"/>
      <c r="T705" s="48"/>
      <c r="U705" s="48"/>
      <c r="V705" s="48"/>
      <c r="W705" s="48"/>
      <c r="X705" s="48"/>
      <c r="Y705" s="48"/>
      <c r="Z705" s="48"/>
      <c r="AA705" s="48"/>
      <c r="AB705" s="48"/>
      <c r="AC705" s="48"/>
      <c r="AD705" s="48"/>
      <c r="AE705" s="48"/>
      <c r="AF705" s="48"/>
      <c r="AG705" s="48"/>
      <c r="AH705" s="48"/>
      <c r="AI705" s="48"/>
      <c r="AJ705" s="48"/>
      <c r="AK705" s="48"/>
      <c r="AL705" s="48"/>
      <c r="AM705" s="48"/>
      <c r="AN705" s="48"/>
      <c r="AO705" s="48"/>
      <c r="AP705" s="48"/>
      <c r="AQ705" s="48"/>
      <c r="AR705" s="48"/>
      <c r="AS705" s="48"/>
      <c r="AT705" s="48"/>
      <c r="AU705" s="48"/>
      <c r="AV705" s="48"/>
      <c r="AW705" s="48"/>
      <c r="AX705" s="48"/>
      <c r="AY705" s="48"/>
      <c r="AZ705" s="48"/>
      <c r="BA705" s="48"/>
      <c r="BB705" s="48"/>
      <c r="BC705" s="48"/>
      <c r="BD705" s="48"/>
      <c r="BE705" s="48"/>
      <c r="BF705" s="48"/>
      <c r="BG705" s="48"/>
      <c r="BH705" s="48"/>
      <c r="BI705" s="48"/>
      <c r="BJ705" s="48"/>
      <c r="BK705" s="48"/>
      <c r="BL705" s="48"/>
      <c r="BM705" s="48"/>
      <c r="BN705" s="48"/>
      <c r="BO705" s="48"/>
      <c r="BP705" s="48"/>
      <c r="BQ705" s="48"/>
      <c r="BR705" s="48"/>
      <c r="BS705" s="48"/>
      <c r="BT705" s="48"/>
      <c r="BU705" s="48"/>
      <c r="BV705" s="48"/>
      <c r="BW705" s="48"/>
      <c r="BX705" s="48"/>
      <c r="BY705" s="48"/>
      <c r="BZ705" s="48"/>
      <c r="CA705" s="48"/>
      <c r="CB705" s="48"/>
      <c r="CC705" s="48"/>
      <c r="CD705" s="48"/>
      <c r="CE705" s="48"/>
      <c r="CF705" s="48"/>
      <c r="CG705" s="48"/>
      <c r="CH705" s="48"/>
    </row>
    <row r="706" spans="5:86" s="46" customFormat="1" x14ac:dyDescent="0.55000000000000004">
      <c r="E706" s="48"/>
      <c r="F706" s="48"/>
      <c r="G706" s="48"/>
      <c r="H706" s="48"/>
      <c r="I706" s="24"/>
      <c r="J706" s="40"/>
      <c r="K706" s="40"/>
      <c r="L706" s="33"/>
      <c r="M706" s="44"/>
      <c r="N706" s="44"/>
      <c r="O706" s="44"/>
      <c r="P706" s="48"/>
      <c r="Q706" s="48"/>
      <c r="R706" s="48"/>
      <c r="S706" s="48"/>
      <c r="T706" s="48"/>
      <c r="U706" s="48"/>
      <c r="V706" s="48"/>
      <c r="W706" s="48"/>
      <c r="X706" s="48"/>
      <c r="Y706" s="48"/>
      <c r="Z706" s="48"/>
      <c r="AA706" s="48"/>
      <c r="AB706" s="48"/>
      <c r="AC706" s="48"/>
      <c r="AD706" s="48"/>
      <c r="AE706" s="48"/>
      <c r="AF706" s="48"/>
      <c r="AG706" s="48"/>
      <c r="AH706" s="48"/>
      <c r="AI706" s="48"/>
      <c r="AJ706" s="48"/>
      <c r="AK706" s="48"/>
      <c r="AL706" s="48"/>
      <c r="AM706" s="48"/>
      <c r="AN706" s="48"/>
      <c r="AO706" s="48"/>
      <c r="AP706" s="48"/>
      <c r="AQ706" s="48"/>
      <c r="AR706" s="48"/>
      <c r="AS706" s="48"/>
      <c r="AT706" s="48"/>
      <c r="AU706" s="48"/>
      <c r="AV706" s="48"/>
      <c r="AW706" s="48"/>
      <c r="AX706" s="48"/>
      <c r="AY706" s="48"/>
      <c r="AZ706" s="48"/>
      <c r="BA706" s="48"/>
      <c r="BB706" s="48"/>
      <c r="BC706" s="48"/>
      <c r="BD706" s="48"/>
      <c r="BE706" s="48"/>
      <c r="BF706" s="48"/>
      <c r="BG706" s="48"/>
      <c r="BH706" s="48"/>
      <c r="BI706" s="48"/>
      <c r="BJ706" s="48"/>
      <c r="BK706" s="48"/>
      <c r="BL706" s="48"/>
      <c r="BM706" s="48"/>
      <c r="BN706" s="48"/>
      <c r="BO706" s="48"/>
      <c r="BP706" s="48"/>
      <c r="BQ706" s="48"/>
      <c r="BR706" s="48"/>
      <c r="BS706" s="48"/>
      <c r="BT706" s="48"/>
      <c r="BU706" s="48"/>
      <c r="BV706" s="48"/>
      <c r="BW706" s="48"/>
      <c r="BX706" s="48"/>
      <c r="BY706" s="48"/>
      <c r="BZ706" s="48"/>
      <c r="CA706" s="48"/>
      <c r="CB706" s="48"/>
      <c r="CC706" s="48"/>
      <c r="CD706" s="48"/>
      <c r="CE706" s="48"/>
      <c r="CF706" s="48"/>
      <c r="CG706" s="48"/>
      <c r="CH706" s="48"/>
    </row>
    <row r="707" spans="5:86" s="46" customFormat="1" x14ac:dyDescent="0.55000000000000004">
      <c r="E707" s="48"/>
      <c r="F707" s="48"/>
      <c r="G707" s="48"/>
      <c r="H707" s="48"/>
      <c r="I707" s="24"/>
      <c r="J707" s="40"/>
      <c r="K707" s="40"/>
      <c r="L707" s="33"/>
      <c r="M707" s="44"/>
      <c r="N707" s="44"/>
      <c r="O707" s="44"/>
      <c r="P707" s="48"/>
      <c r="Q707" s="48"/>
      <c r="R707" s="48"/>
      <c r="S707" s="48"/>
      <c r="T707" s="48"/>
      <c r="U707" s="48"/>
      <c r="V707" s="48"/>
      <c r="W707" s="48"/>
      <c r="X707" s="48"/>
      <c r="Y707" s="48"/>
      <c r="Z707" s="48"/>
      <c r="AA707" s="48"/>
      <c r="AB707" s="48"/>
      <c r="AC707" s="48"/>
      <c r="AD707" s="48"/>
      <c r="AE707" s="48"/>
      <c r="AF707" s="48"/>
      <c r="AG707" s="48"/>
      <c r="AH707" s="48"/>
      <c r="AI707" s="48"/>
      <c r="AJ707" s="48"/>
      <c r="AK707" s="48"/>
      <c r="AL707" s="48"/>
      <c r="AM707" s="48"/>
      <c r="AN707" s="48"/>
      <c r="AO707" s="48"/>
      <c r="AP707" s="48"/>
      <c r="AQ707" s="48"/>
      <c r="AR707" s="48"/>
      <c r="AS707" s="48"/>
      <c r="AT707" s="48"/>
      <c r="AU707" s="48"/>
      <c r="AV707" s="48"/>
      <c r="AW707" s="48"/>
      <c r="AX707" s="48"/>
      <c r="AY707" s="48"/>
      <c r="AZ707" s="48"/>
      <c r="BA707" s="48"/>
      <c r="BB707" s="48"/>
      <c r="BC707" s="48"/>
      <c r="BD707" s="48"/>
      <c r="BE707" s="48"/>
      <c r="BF707" s="48"/>
      <c r="BG707" s="48"/>
      <c r="BH707" s="48"/>
      <c r="BI707" s="48"/>
      <c r="BJ707" s="48"/>
      <c r="BK707" s="48"/>
      <c r="BL707" s="48"/>
      <c r="BM707" s="48"/>
      <c r="BN707" s="48"/>
      <c r="BO707" s="48"/>
      <c r="BP707" s="48"/>
      <c r="BQ707" s="48"/>
      <c r="BR707" s="48"/>
      <c r="BS707" s="48"/>
      <c r="BT707" s="48"/>
      <c r="BU707" s="48"/>
      <c r="BV707" s="48"/>
      <c r="BW707" s="48"/>
      <c r="BX707" s="48"/>
      <c r="BY707" s="48"/>
      <c r="BZ707" s="48"/>
      <c r="CA707" s="48"/>
      <c r="CB707" s="48"/>
      <c r="CC707" s="48"/>
      <c r="CD707" s="48"/>
      <c r="CE707" s="48"/>
      <c r="CF707" s="48"/>
      <c r="CG707" s="48"/>
      <c r="CH707" s="48"/>
    </row>
    <row r="708" spans="5:86" s="46" customFormat="1" x14ac:dyDescent="0.55000000000000004">
      <c r="E708" s="48"/>
      <c r="F708" s="48"/>
      <c r="G708" s="48"/>
      <c r="H708" s="48"/>
      <c r="I708" s="24"/>
      <c r="J708" s="40"/>
      <c r="K708" s="40"/>
      <c r="L708" s="161"/>
      <c r="M708" s="44"/>
      <c r="N708" s="44"/>
      <c r="O708" s="44"/>
      <c r="P708" s="48"/>
      <c r="Q708" s="48"/>
      <c r="R708" s="48"/>
      <c r="S708" s="48"/>
      <c r="T708" s="48"/>
      <c r="U708" s="48"/>
      <c r="V708" s="48"/>
      <c r="W708" s="48"/>
      <c r="X708" s="48"/>
      <c r="Y708" s="48"/>
      <c r="Z708" s="48"/>
      <c r="AA708" s="48"/>
      <c r="AB708" s="48"/>
      <c r="AC708" s="48"/>
      <c r="AD708" s="48"/>
      <c r="AE708" s="48"/>
      <c r="AF708" s="48"/>
      <c r="AG708" s="48"/>
      <c r="AH708" s="48"/>
      <c r="AI708" s="48"/>
      <c r="AJ708" s="48"/>
      <c r="AK708" s="48"/>
      <c r="AL708" s="48"/>
      <c r="AM708" s="48"/>
      <c r="AN708" s="48"/>
      <c r="AO708" s="48"/>
      <c r="AP708" s="48"/>
      <c r="AQ708" s="48"/>
      <c r="AR708" s="48"/>
      <c r="AS708" s="48"/>
      <c r="AT708" s="48"/>
      <c r="AU708" s="48"/>
      <c r="AV708" s="48"/>
      <c r="AW708" s="48"/>
      <c r="AX708" s="48"/>
      <c r="AY708" s="48"/>
      <c r="AZ708" s="48"/>
      <c r="BA708" s="48"/>
      <c r="BB708" s="48"/>
      <c r="BC708" s="48"/>
      <c r="BD708" s="48"/>
      <c r="BE708" s="48"/>
      <c r="BF708" s="48"/>
      <c r="BG708" s="48"/>
      <c r="BH708" s="48"/>
      <c r="BI708" s="48"/>
      <c r="BJ708" s="48"/>
      <c r="BK708" s="48"/>
      <c r="BL708" s="48"/>
      <c r="BM708" s="48"/>
      <c r="BN708" s="48"/>
      <c r="BO708" s="48"/>
      <c r="BP708" s="48"/>
      <c r="BQ708" s="48"/>
      <c r="BR708" s="48"/>
      <c r="BS708" s="48"/>
      <c r="BT708" s="48"/>
      <c r="BU708" s="48"/>
      <c r="BV708" s="48"/>
      <c r="BW708" s="48"/>
      <c r="BX708" s="48"/>
      <c r="BY708" s="48"/>
      <c r="BZ708" s="48"/>
      <c r="CA708" s="48"/>
      <c r="CB708" s="48"/>
      <c r="CC708" s="48"/>
      <c r="CD708" s="48"/>
      <c r="CE708" s="48"/>
      <c r="CF708" s="48"/>
      <c r="CG708" s="48"/>
      <c r="CH708" s="48"/>
    </row>
    <row r="709" spans="5:86" s="46" customFormat="1" x14ac:dyDescent="0.55000000000000004">
      <c r="E709" s="48"/>
      <c r="F709" s="48"/>
      <c r="G709" s="48"/>
      <c r="H709" s="48"/>
      <c r="I709" s="24"/>
      <c r="J709" s="40"/>
      <c r="K709" s="40"/>
      <c r="L709" s="33"/>
      <c r="M709" s="44"/>
      <c r="N709" s="44"/>
      <c r="O709" s="44"/>
      <c r="P709" s="48"/>
      <c r="Q709" s="48"/>
      <c r="R709" s="48"/>
      <c r="S709" s="48"/>
      <c r="T709" s="48"/>
      <c r="U709" s="48"/>
      <c r="V709" s="48"/>
      <c r="W709" s="48"/>
      <c r="X709" s="48"/>
      <c r="Y709" s="48"/>
      <c r="Z709" s="48"/>
      <c r="AA709" s="48"/>
      <c r="AB709" s="48"/>
      <c r="AC709" s="48"/>
      <c r="AD709" s="48"/>
      <c r="AE709" s="48"/>
      <c r="AF709" s="48"/>
      <c r="AG709" s="48"/>
      <c r="AH709" s="48"/>
      <c r="AI709" s="48"/>
      <c r="AJ709" s="48"/>
      <c r="AK709" s="48"/>
      <c r="AL709" s="48"/>
      <c r="AM709" s="48"/>
      <c r="AN709" s="48"/>
      <c r="AO709" s="48"/>
      <c r="AP709" s="48"/>
      <c r="AQ709" s="48"/>
      <c r="AR709" s="48"/>
      <c r="AS709" s="48"/>
      <c r="AT709" s="48"/>
      <c r="AU709" s="48"/>
      <c r="AV709" s="48"/>
      <c r="AW709" s="48"/>
      <c r="AX709" s="48"/>
      <c r="AY709" s="48"/>
      <c r="AZ709" s="48"/>
      <c r="BA709" s="48"/>
      <c r="BB709" s="48"/>
      <c r="BC709" s="48"/>
      <c r="BD709" s="48"/>
      <c r="BE709" s="48"/>
      <c r="BF709" s="48"/>
      <c r="BG709" s="48"/>
      <c r="BH709" s="48"/>
      <c r="BI709" s="48"/>
      <c r="BJ709" s="48"/>
      <c r="BK709" s="48"/>
      <c r="BL709" s="48"/>
      <c r="BM709" s="48"/>
      <c r="BN709" s="48"/>
      <c r="BO709" s="48"/>
      <c r="BP709" s="48"/>
      <c r="BQ709" s="48"/>
      <c r="BR709" s="48"/>
      <c r="BS709" s="48"/>
      <c r="BT709" s="48"/>
      <c r="BU709" s="48"/>
      <c r="BV709" s="48"/>
      <c r="BW709" s="48"/>
      <c r="BX709" s="48"/>
      <c r="BY709" s="48"/>
      <c r="BZ709" s="48"/>
      <c r="CA709" s="48"/>
      <c r="CB709" s="48"/>
      <c r="CC709" s="48"/>
      <c r="CD709" s="48"/>
      <c r="CE709" s="48"/>
      <c r="CF709" s="48"/>
      <c r="CG709" s="48"/>
      <c r="CH709" s="48"/>
    </row>
    <row r="710" spans="5:86" s="46" customFormat="1" x14ac:dyDescent="0.55000000000000004">
      <c r="E710" s="48"/>
      <c r="F710" s="48"/>
      <c r="G710" s="48"/>
      <c r="H710" s="48"/>
      <c r="I710" s="48"/>
      <c r="L710" s="166"/>
      <c r="M710" s="48"/>
      <c r="N710" s="48"/>
      <c r="O710" s="48"/>
      <c r="P710" s="48"/>
      <c r="Q710" s="48"/>
      <c r="R710" s="48"/>
      <c r="S710" s="48"/>
      <c r="T710" s="48"/>
      <c r="U710" s="48"/>
      <c r="V710" s="48"/>
      <c r="W710" s="48"/>
      <c r="X710" s="48"/>
      <c r="Y710" s="48"/>
      <c r="Z710" s="48"/>
      <c r="AA710" s="48"/>
      <c r="AB710" s="48"/>
      <c r="AC710" s="48"/>
      <c r="AD710" s="48"/>
      <c r="AE710" s="48"/>
      <c r="AF710" s="48"/>
      <c r="AG710" s="48"/>
      <c r="AH710" s="48"/>
      <c r="AI710" s="48"/>
      <c r="AJ710" s="48"/>
      <c r="AK710" s="48"/>
      <c r="AL710" s="48"/>
      <c r="AM710" s="48"/>
      <c r="AN710" s="48"/>
      <c r="AO710" s="48"/>
      <c r="AP710" s="48"/>
      <c r="AQ710" s="48"/>
      <c r="AR710" s="48"/>
      <c r="AS710" s="48"/>
      <c r="AT710" s="48"/>
      <c r="AU710" s="48"/>
      <c r="AV710" s="48"/>
      <c r="AW710" s="48"/>
      <c r="AX710" s="48"/>
      <c r="AY710" s="48"/>
      <c r="AZ710" s="48"/>
      <c r="BA710" s="48"/>
      <c r="BB710" s="48"/>
      <c r="BC710" s="48"/>
      <c r="BD710" s="48"/>
      <c r="BE710" s="48"/>
      <c r="BF710" s="48"/>
      <c r="BG710" s="48"/>
      <c r="BH710" s="48"/>
      <c r="BI710" s="48"/>
      <c r="BJ710" s="48"/>
      <c r="BK710" s="48"/>
      <c r="BL710" s="48"/>
      <c r="BM710" s="48"/>
      <c r="BN710" s="48"/>
      <c r="BO710" s="48"/>
      <c r="BP710" s="48"/>
      <c r="BQ710" s="48"/>
      <c r="BR710" s="48"/>
      <c r="BS710" s="48"/>
      <c r="BT710" s="48"/>
      <c r="BU710" s="48"/>
      <c r="BV710" s="48"/>
      <c r="BW710" s="48"/>
      <c r="BX710" s="48"/>
      <c r="BY710" s="48"/>
      <c r="BZ710" s="48"/>
      <c r="CA710" s="48"/>
      <c r="CB710" s="48"/>
      <c r="CC710" s="48"/>
      <c r="CD710" s="48"/>
      <c r="CE710" s="48"/>
      <c r="CF710" s="48"/>
      <c r="CG710" s="48"/>
      <c r="CH710" s="48"/>
    </row>
    <row r="711" spans="5:86" s="46" customFormat="1" x14ac:dyDescent="0.55000000000000004">
      <c r="E711" s="48"/>
      <c r="F711" s="48"/>
      <c r="G711" s="48"/>
      <c r="H711" s="48"/>
      <c r="I711" s="48"/>
      <c r="L711" s="166"/>
      <c r="M711" s="48"/>
      <c r="N711" s="48"/>
      <c r="O711" s="48"/>
      <c r="P711" s="48"/>
      <c r="Q711" s="48"/>
      <c r="R711" s="48"/>
      <c r="S711" s="48"/>
      <c r="T711" s="48"/>
      <c r="U711" s="48"/>
      <c r="V711" s="48"/>
      <c r="W711" s="48"/>
      <c r="X711" s="48"/>
      <c r="Y711" s="48"/>
      <c r="Z711" s="48"/>
      <c r="AA711" s="48"/>
      <c r="AB711" s="48"/>
      <c r="AC711" s="48"/>
      <c r="AD711" s="48"/>
      <c r="AE711" s="48"/>
      <c r="AF711" s="48"/>
      <c r="AG711" s="48"/>
      <c r="AH711" s="48"/>
      <c r="AI711" s="48"/>
      <c r="AJ711" s="48"/>
      <c r="AK711" s="48"/>
      <c r="AL711" s="48"/>
      <c r="AM711" s="48"/>
      <c r="AN711" s="48"/>
      <c r="AO711" s="48"/>
      <c r="AP711" s="48"/>
      <c r="AQ711" s="48"/>
      <c r="AR711" s="48"/>
      <c r="AS711" s="48"/>
      <c r="AT711" s="48"/>
      <c r="AU711" s="48"/>
      <c r="AV711" s="48"/>
      <c r="AW711" s="48"/>
      <c r="AX711" s="48"/>
      <c r="AY711" s="48"/>
      <c r="AZ711" s="48"/>
      <c r="BA711" s="48"/>
      <c r="BB711" s="48"/>
      <c r="BC711" s="48"/>
      <c r="BD711" s="48"/>
      <c r="BE711" s="48"/>
      <c r="BF711" s="48"/>
      <c r="BG711" s="48"/>
      <c r="BH711" s="48"/>
      <c r="BI711" s="48"/>
      <c r="BJ711" s="48"/>
      <c r="BK711" s="48"/>
      <c r="BL711" s="48"/>
      <c r="BM711" s="48"/>
      <c r="BN711" s="48"/>
      <c r="BO711" s="48"/>
      <c r="BP711" s="48"/>
      <c r="BQ711" s="48"/>
      <c r="BR711" s="48"/>
      <c r="BS711" s="48"/>
      <c r="BT711" s="48"/>
      <c r="BU711" s="48"/>
      <c r="BV711" s="48"/>
      <c r="BW711" s="48"/>
      <c r="BX711" s="48"/>
      <c r="BY711" s="48"/>
      <c r="BZ711" s="48"/>
      <c r="CA711" s="48"/>
      <c r="CB711" s="48"/>
      <c r="CC711" s="48"/>
      <c r="CD711" s="48"/>
      <c r="CE711" s="48"/>
      <c r="CF711" s="48"/>
      <c r="CG711" s="48"/>
      <c r="CH711" s="48"/>
    </row>
    <row r="712" spans="5:86" s="46" customFormat="1" x14ac:dyDescent="0.55000000000000004">
      <c r="E712" s="48"/>
      <c r="F712" s="48"/>
      <c r="G712" s="48"/>
      <c r="H712" s="48"/>
      <c r="I712" s="48"/>
      <c r="L712" s="166"/>
      <c r="M712" s="48"/>
      <c r="N712" s="48"/>
      <c r="O712" s="48"/>
      <c r="P712" s="48"/>
      <c r="Q712" s="48"/>
      <c r="R712" s="48"/>
      <c r="S712" s="48"/>
      <c r="T712" s="48"/>
      <c r="U712" s="48"/>
      <c r="V712" s="48"/>
      <c r="W712" s="48"/>
      <c r="X712" s="48"/>
      <c r="Y712" s="48"/>
      <c r="Z712" s="48"/>
      <c r="AA712" s="48"/>
      <c r="AB712" s="48"/>
      <c r="AC712" s="48"/>
      <c r="AD712" s="48"/>
      <c r="AE712" s="48"/>
      <c r="AF712" s="48"/>
      <c r="AG712" s="48"/>
      <c r="AH712" s="48"/>
      <c r="AI712" s="48"/>
      <c r="AJ712" s="48"/>
      <c r="AK712" s="48"/>
      <c r="AL712" s="48"/>
      <c r="AM712" s="48"/>
      <c r="AN712" s="48"/>
      <c r="AO712" s="48"/>
      <c r="AP712" s="48"/>
      <c r="AQ712" s="48"/>
      <c r="AR712" s="48"/>
      <c r="AS712" s="48"/>
      <c r="AT712" s="48"/>
      <c r="AU712" s="48"/>
      <c r="AV712" s="48"/>
      <c r="AW712" s="48"/>
      <c r="AX712" s="48"/>
      <c r="AY712" s="48"/>
      <c r="AZ712" s="48"/>
      <c r="BA712" s="48"/>
      <c r="BB712" s="48"/>
      <c r="BC712" s="48"/>
      <c r="BD712" s="48"/>
      <c r="BE712" s="48"/>
      <c r="BF712" s="48"/>
      <c r="BG712" s="48"/>
      <c r="BH712" s="48"/>
      <c r="BI712" s="48"/>
      <c r="BJ712" s="48"/>
      <c r="BK712" s="48"/>
      <c r="BL712" s="48"/>
      <c r="BM712" s="48"/>
      <c r="BN712" s="48"/>
      <c r="BO712" s="48"/>
      <c r="BP712" s="48"/>
      <c r="BQ712" s="48"/>
      <c r="BR712" s="48"/>
      <c r="BS712" s="48"/>
      <c r="BT712" s="48"/>
      <c r="BU712" s="48"/>
      <c r="BV712" s="48"/>
      <c r="BW712" s="48"/>
      <c r="BX712" s="48"/>
      <c r="BY712" s="48"/>
      <c r="BZ712" s="48"/>
      <c r="CA712" s="48"/>
      <c r="CB712" s="48"/>
      <c r="CC712" s="48"/>
      <c r="CD712" s="48"/>
      <c r="CE712" s="48"/>
      <c r="CF712" s="48"/>
      <c r="CG712" s="48"/>
      <c r="CH712" s="48"/>
    </row>
    <row r="713" spans="5:86" s="46" customFormat="1" x14ac:dyDescent="0.55000000000000004">
      <c r="E713" s="48"/>
      <c r="F713" s="48"/>
      <c r="G713" s="48"/>
      <c r="H713" s="48"/>
      <c r="I713" s="48"/>
      <c r="L713" s="166"/>
      <c r="M713" s="48"/>
      <c r="N713" s="48"/>
      <c r="O713" s="48"/>
      <c r="P713" s="48"/>
      <c r="Q713" s="48"/>
      <c r="R713" s="48"/>
      <c r="S713" s="48"/>
      <c r="T713" s="48"/>
      <c r="U713" s="48"/>
      <c r="V713" s="48"/>
      <c r="W713" s="48"/>
      <c r="X713" s="48"/>
      <c r="Y713" s="48"/>
      <c r="Z713" s="48"/>
      <c r="AA713" s="48"/>
      <c r="AB713" s="48"/>
      <c r="AC713" s="48"/>
      <c r="AD713" s="48"/>
      <c r="AE713" s="48"/>
      <c r="AF713" s="48"/>
      <c r="AG713" s="48"/>
      <c r="AH713" s="48"/>
      <c r="AI713" s="48"/>
      <c r="AJ713" s="48"/>
      <c r="AK713" s="48"/>
      <c r="AL713" s="48"/>
      <c r="AM713" s="48"/>
      <c r="AN713" s="48"/>
      <c r="AO713" s="48"/>
      <c r="AP713" s="48"/>
      <c r="AQ713" s="48"/>
      <c r="AR713" s="48"/>
      <c r="AS713" s="48"/>
      <c r="AT713" s="48"/>
      <c r="AU713" s="48"/>
      <c r="AV713" s="48"/>
      <c r="AW713" s="48"/>
      <c r="AX713" s="48"/>
      <c r="AY713" s="48"/>
      <c r="AZ713" s="48"/>
      <c r="BA713" s="48"/>
      <c r="BB713" s="48"/>
      <c r="BC713" s="48"/>
      <c r="BD713" s="48"/>
      <c r="BE713" s="48"/>
      <c r="BF713" s="48"/>
      <c r="BG713" s="48"/>
      <c r="BH713" s="48"/>
      <c r="BI713" s="48"/>
      <c r="BJ713" s="48"/>
      <c r="BK713" s="48"/>
      <c r="BL713" s="48"/>
      <c r="BM713" s="48"/>
      <c r="BN713" s="48"/>
      <c r="BO713" s="48"/>
      <c r="BP713" s="48"/>
      <c r="BQ713" s="48"/>
      <c r="BR713" s="48"/>
      <c r="BS713" s="48"/>
      <c r="BT713" s="48"/>
      <c r="BU713" s="48"/>
      <c r="BV713" s="48"/>
      <c r="BW713" s="48"/>
      <c r="BX713" s="48"/>
      <c r="BY713" s="48"/>
      <c r="BZ713" s="48"/>
      <c r="CA713" s="48"/>
      <c r="CB713" s="48"/>
      <c r="CC713" s="48"/>
      <c r="CD713" s="48"/>
      <c r="CE713" s="48"/>
      <c r="CF713" s="48"/>
      <c r="CG713" s="48"/>
      <c r="CH713" s="48"/>
    </row>
    <row r="714" spans="5:86" s="46" customFormat="1" x14ac:dyDescent="0.55000000000000004">
      <c r="E714" s="48"/>
      <c r="F714" s="48"/>
      <c r="G714" s="48"/>
      <c r="H714" s="48"/>
      <c r="I714" s="48"/>
      <c r="L714" s="166"/>
      <c r="M714" s="48"/>
      <c r="N714" s="48"/>
      <c r="O714" s="48"/>
      <c r="P714" s="48"/>
      <c r="Q714" s="48"/>
      <c r="R714" s="48"/>
      <c r="S714" s="48"/>
      <c r="T714" s="48"/>
      <c r="U714" s="48"/>
      <c r="V714" s="48"/>
      <c r="W714" s="48"/>
      <c r="X714" s="48"/>
      <c r="Y714" s="48"/>
      <c r="Z714" s="48"/>
      <c r="AA714" s="48"/>
      <c r="AB714" s="48"/>
      <c r="AC714" s="48"/>
      <c r="AD714" s="48"/>
      <c r="AE714" s="48"/>
      <c r="AF714" s="48"/>
      <c r="AG714" s="48"/>
      <c r="AH714" s="48"/>
      <c r="AI714" s="48"/>
      <c r="AJ714" s="48"/>
      <c r="AK714" s="48"/>
      <c r="AL714" s="48"/>
      <c r="AM714" s="48"/>
      <c r="AN714" s="48"/>
      <c r="AO714" s="48"/>
      <c r="AP714" s="48"/>
      <c r="AQ714" s="48"/>
      <c r="AR714" s="48"/>
      <c r="AS714" s="48"/>
      <c r="AT714" s="48"/>
      <c r="AU714" s="48"/>
      <c r="AV714" s="48"/>
      <c r="AW714" s="48"/>
      <c r="AX714" s="48"/>
      <c r="AY714" s="48"/>
      <c r="AZ714" s="48"/>
      <c r="BA714" s="48"/>
      <c r="BB714" s="48"/>
      <c r="BC714" s="48"/>
      <c r="BD714" s="48"/>
      <c r="BE714" s="48"/>
      <c r="BF714" s="48"/>
      <c r="BG714" s="48"/>
      <c r="BH714" s="48"/>
      <c r="BI714" s="48"/>
      <c r="BJ714" s="48"/>
      <c r="BK714" s="48"/>
      <c r="BL714" s="48"/>
      <c r="BM714" s="48"/>
      <c r="BN714" s="48"/>
      <c r="BO714" s="48"/>
      <c r="BP714" s="48"/>
      <c r="BQ714" s="48"/>
      <c r="BR714" s="48"/>
      <c r="BS714" s="48"/>
      <c r="BT714" s="48"/>
      <c r="BU714" s="48"/>
      <c r="BV714" s="48"/>
      <c r="BW714" s="48"/>
      <c r="BX714" s="48"/>
      <c r="BY714" s="48"/>
      <c r="BZ714" s="48"/>
      <c r="CA714" s="48"/>
      <c r="CB714" s="48"/>
      <c r="CC714" s="48"/>
      <c r="CD714" s="48"/>
      <c r="CE714" s="48"/>
      <c r="CF714" s="48"/>
      <c r="CG714" s="48"/>
      <c r="CH714" s="48"/>
    </row>
    <row r="715" spans="5:86" s="46" customFormat="1" x14ac:dyDescent="0.55000000000000004">
      <c r="E715" s="48"/>
      <c r="F715" s="48"/>
      <c r="G715" s="48"/>
      <c r="H715" s="48"/>
      <c r="I715" s="48"/>
      <c r="L715" s="166"/>
      <c r="M715" s="48"/>
      <c r="N715" s="48"/>
      <c r="O715" s="48"/>
      <c r="P715" s="48"/>
      <c r="Q715" s="48"/>
      <c r="R715" s="48"/>
      <c r="S715" s="48"/>
      <c r="T715" s="48"/>
      <c r="U715" s="48"/>
      <c r="V715" s="48"/>
      <c r="W715" s="48"/>
      <c r="X715" s="48"/>
      <c r="Y715" s="48"/>
      <c r="Z715" s="48"/>
      <c r="AA715" s="48"/>
      <c r="AB715" s="48"/>
      <c r="AC715" s="48"/>
      <c r="AD715" s="48"/>
      <c r="AE715" s="48"/>
      <c r="AF715" s="48"/>
      <c r="AG715" s="48"/>
      <c r="AH715" s="48"/>
      <c r="AI715" s="48"/>
      <c r="AJ715" s="48"/>
      <c r="AK715" s="48"/>
      <c r="AL715" s="48"/>
      <c r="AM715" s="48"/>
      <c r="AN715" s="48"/>
      <c r="AO715" s="48"/>
      <c r="AP715" s="48"/>
      <c r="AQ715" s="48"/>
      <c r="AR715" s="48"/>
      <c r="AS715" s="48"/>
      <c r="AT715" s="48"/>
      <c r="AU715" s="48"/>
      <c r="AV715" s="48"/>
      <c r="AW715" s="48"/>
      <c r="AX715" s="48"/>
      <c r="AY715" s="48"/>
      <c r="AZ715" s="48"/>
      <c r="BA715" s="48"/>
      <c r="BB715" s="48"/>
      <c r="BC715" s="48"/>
      <c r="BD715" s="48"/>
      <c r="BE715" s="48"/>
      <c r="BF715" s="48"/>
      <c r="BG715" s="48"/>
      <c r="BH715" s="48"/>
      <c r="BI715" s="48"/>
      <c r="BJ715" s="48"/>
      <c r="BK715" s="48"/>
      <c r="BL715" s="48"/>
      <c r="BM715" s="48"/>
      <c r="BN715" s="48"/>
      <c r="BO715" s="48"/>
      <c r="BP715" s="48"/>
      <c r="BQ715" s="48"/>
      <c r="BR715" s="48"/>
      <c r="BS715" s="48"/>
      <c r="BT715" s="48"/>
      <c r="BU715" s="48"/>
      <c r="BV715" s="48"/>
      <c r="BW715" s="48"/>
      <c r="BX715" s="48"/>
      <c r="BY715" s="48"/>
      <c r="BZ715" s="48"/>
      <c r="CA715" s="48"/>
      <c r="CB715" s="48"/>
      <c r="CC715" s="48"/>
      <c r="CD715" s="48"/>
      <c r="CE715" s="48"/>
      <c r="CF715" s="48"/>
      <c r="CG715" s="48"/>
      <c r="CH715" s="48"/>
    </row>
    <row r="716" spans="5:86" s="46" customFormat="1" x14ac:dyDescent="0.55000000000000004">
      <c r="E716" s="48"/>
      <c r="F716" s="48"/>
      <c r="G716" s="48"/>
      <c r="H716" s="48"/>
      <c r="I716" s="48"/>
      <c r="L716" s="166"/>
      <c r="M716" s="48"/>
      <c r="N716" s="48"/>
      <c r="O716" s="48"/>
      <c r="P716" s="48"/>
      <c r="Q716" s="48"/>
      <c r="R716" s="48"/>
      <c r="S716" s="48"/>
      <c r="T716" s="48"/>
      <c r="U716" s="48"/>
      <c r="V716" s="48"/>
      <c r="W716" s="48"/>
      <c r="X716" s="48"/>
      <c r="Y716" s="48"/>
      <c r="Z716" s="48"/>
      <c r="AA716" s="48"/>
      <c r="AB716" s="48"/>
      <c r="AC716" s="48"/>
      <c r="AD716" s="48"/>
      <c r="AE716" s="48"/>
      <c r="AF716" s="48"/>
      <c r="AG716" s="48"/>
      <c r="AH716" s="48"/>
      <c r="AI716" s="48"/>
      <c r="AJ716" s="48"/>
      <c r="AK716" s="48"/>
      <c r="AL716" s="48"/>
      <c r="AM716" s="48"/>
      <c r="AN716" s="48"/>
      <c r="AO716" s="48"/>
      <c r="AP716" s="48"/>
      <c r="AQ716" s="48"/>
      <c r="AR716" s="48"/>
      <c r="AS716" s="48"/>
      <c r="AT716" s="48"/>
      <c r="AU716" s="48"/>
      <c r="AV716" s="48"/>
      <c r="AW716" s="48"/>
      <c r="AX716" s="48"/>
      <c r="AY716" s="48"/>
      <c r="AZ716" s="48"/>
      <c r="BA716" s="48"/>
      <c r="BB716" s="48"/>
      <c r="BC716" s="48"/>
      <c r="BD716" s="48"/>
      <c r="BE716" s="48"/>
      <c r="BF716" s="48"/>
      <c r="BG716" s="48"/>
      <c r="BH716" s="48"/>
      <c r="BI716" s="48"/>
      <c r="BJ716" s="48"/>
      <c r="BK716" s="48"/>
      <c r="BL716" s="48"/>
      <c r="BM716" s="48"/>
      <c r="BN716" s="48"/>
      <c r="BO716" s="48"/>
      <c r="BP716" s="48"/>
      <c r="BQ716" s="48"/>
      <c r="BR716" s="48"/>
      <c r="BS716" s="48"/>
      <c r="BT716" s="48"/>
      <c r="BU716" s="48"/>
      <c r="BV716" s="48"/>
      <c r="BW716" s="48"/>
      <c r="BX716" s="48"/>
      <c r="BY716" s="48"/>
      <c r="BZ716" s="48"/>
      <c r="CA716" s="48"/>
      <c r="CB716" s="48"/>
      <c r="CC716" s="48"/>
      <c r="CD716" s="48"/>
      <c r="CE716" s="48"/>
      <c r="CF716" s="48"/>
      <c r="CG716" s="48"/>
      <c r="CH716" s="48"/>
    </row>
    <row r="717" spans="5:86" s="46" customFormat="1" x14ac:dyDescent="0.55000000000000004">
      <c r="E717" s="48"/>
      <c r="F717" s="48"/>
      <c r="G717" s="48"/>
      <c r="H717" s="48"/>
      <c r="I717" s="48"/>
      <c r="L717" s="166"/>
      <c r="M717" s="48"/>
      <c r="N717" s="48"/>
      <c r="O717" s="48"/>
      <c r="P717" s="48"/>
      <c r="Q717" s="48"/>
      <c r="R717" s="48"/>
      <c r="S717" s="48"/>
      <c r="T717" s="48"/>
      <c r="U717" s="48"/>
      <c r="V717" s="48"/>
      <c r="W717" s="48"/>
      <c r="X717" s="48"/>
      <c r="Y717" s="48"/>
      <c r="Z717" s="48"/>
      <c r="AA717" s="48"/>
      <c r="AB717" s="48"/>
      <c r="AC717" s="48"/>
      <c r="AD717" s="48"/>
      <c r="AE717" s="48"/>
      <c r="AF717" s="48"/>
      <c r="AG717" s="48"/>
      <c r="AH717" s="48"/>
      <c r="AI717" s="48"/>
      <c r="AJ717" s="48"/>
      <c r="AK717" s="48"/>
      <c r="AL717" s="48"/>
      <c r="AM717" s="48"/>
      <c r="AN717" s="48"/>
      <c r="AO717" s="48"/>
      <c r="AP717" s="48"/>
      <c r="AQ717" s="48"/>
      <c r="AR717" s="48"/>
      <c r="AS717" s="48"/>
      <c r="AT717" s="48"/>
      <c r="AU717" s="48"/>
      <c r="AV717" s="48"/>
      <c r="AW717" s="48"/>
      <c r="AX717" s="48"/>
      <c r="AY717" s="48"/>
      <c r="AZ717" s="48"/>
      <c r="BA717" s="48"/>
      <c r="BB717" s="48"/>
      <c r="BC717" s="48"/>
      <c r="BD717" s="48"/>
      <c r="BE717" s="48"/>
      <c r="BF717" s="48"/>
      <c r="BG717" s="48"/>
      <c r="BH717" s="48"/>
      <c r="BI717" s="48"/>
      <c r="BJ717" s="48"/>
      <c r="BK717" s="48"/>
      <c r="BL717" s="48"/>
      <c r="BM717" s="48"/>
      <c r="BN717" s="48"/>
      <c r="BO717" s="48"/>
      <c r="BP717" s="48"/>
      <c r="BQ717" s="48"/>
      <c r="BR717" s="48"/>
      <c r="BS717" s="48"/>
      <c r="BT717" s="48"/>
      <c r="BU717" s="48"/>
      <c r="BV717" s="48"/>
      <c r="BW717" s="48"/>
      <c r="BX717" s="48"/>
      <c r="BY717" s="48"/>
      <c r="BZ717" s="48"/>
      <c r="CA717" s="48"/>
      <c r="CB717" s="48"/>
      <c r="CC717" s="48"/>
      <c r="CD717" s="48"/>
      <c r="CE717" s="48"/>
      <c r="CF717" s="48"/>
      <c r="CG717" s="48"/>
      <c r="CH717" s="48"/>
    </row>
    <row r="718" spans="5:86" s="46" customFormat="1" x14ac:dyDescent="0.55000000000000004">
      <c r="E718" s="48"/>
      <c r="F718" s="48"/>
      <c r="G718" s="48"/>
      <c r="H718" s="48"/>
      <c r="I718" s="48"/>
      <c r="L718" s="166"/>
      <c r="M718" s="48"/>
      <c r="N718" s="48"/>
      <c r="O718" s="48"/>
      <c r="P718" s="48"/>
      <c r="Q718" s="48"/>
      <c r="R718" s="48"/>
      <c r="S718" s="48"/>
      <c r="T718" s="48"/>
      <c r="U718" s="48"/>
      <c r="V718" s="48"/>
      <c r="W718" s="48"/>
      <c r="X718" s="48"/>
      <c r="Y718" s="48"/>
      <c r="Z718" s="48"/>
      <c r="AA718" s="48"/>
      <c r="AB718" s="48"/>
      <c r="AC718" s="48"/>
      <c r="AD718" s="48"/>
      <c r="AE718" s="48"/>
      <c r="AF718" s="48"/>
      <c r="AG718" s="48"/>
      <c r="AH718" s="48"/>
      <c r="AI718" s="48"/>
      <c r="AJ718" s="48"/>
      <c r="AK718" s="48"/>
      <c r="AL718" s="48"/>
      <c r="AM718" s="48"/>
      <c r="AN718" s="48"/>
      <c r="AO718" s="48"/>
      <c r="AP718" s="48"/>
      <c r="AQ718" s="48"/>
      <c r="AR718" s="48"/>
      <c r="AS718" s="48"/>
      <c r="AT718" s="48"/>
      <c r="AU718" s="48"/>
      <c r="AV718" s="48"/>
      <c r="AW718" s="48"/>
      <c r="AX718" s="48"/>
      <c r="AY718" s="48"/>
      <c r="AZ718" s="48"/>
      <c r="BA718" s="48"/>
      <c r="BB718" s="48"/>
      <c r="BC718" s="48"/>
      <c r="BD718" s="48"/>
      <c r="BE718" s="48"/>
      <c r="BF718" s="48"/>
      <c r="BG718" s="48"/>
      <c r="BH718" s="48"/>
      <c r="BI718" s="48"/>
      <c r="BJ718" s="48"/>
      <c r="BK718" s="48"/>
      <c r="BL718" s="48"/>
      <c r="BM718" s="48"/>
      <c r="BN718" s="48"/>
      <c r="BO718" s="48"/>
      <c r="BP718" s="48"/>
      <c r="BQ718" s="48"/>
      <c r="BR718" s="48"/>
      <c r="BS718" s="48"/>
      <c r="BT718" s="48"/>
      <c r="BU718" s="48"/>
      <c r="BV718" s="48"/>
      <c r="BW718" s="48"/>
      <c r="BX718" s="48"/>
      <c r="BY718" s="48"/>
      <c r="BZ718" s="48"/>
      <c r="CA718" s="48"/>
      <c r="CB718" s="48"/>
      <c r="CC718" s="48"/>
      <c r="CD718" s="48"/>
      <c r="CE718" s="48"/>
      <c r="CF718" s="48"/>
      <c r="CG718" s="48"/>
      <c r="CH718" s="48"/>
    </row>
    <row r="719" spans="5:86" s="46" customFormat="1" x14ac:dyDescent="0.55000000000000004">
      <c r="E719" s="48"/>
      <c r="F719" s="48"/>
      <c r="G719" s="48"/>
      <c r="H719" s="48"/>
      <c r="I719" s="48"/>
      <c r="L719" s="166"/>
      <c r="M719" s="48"/>
      <c r="N719" s="48"/>
      <c r="O719" s="48"/>
      <c r="P719" s="48"/>
      <c r="Q719" s="48"/>
      <c r="R719" s="48"/>
      <c r="S719" s="48"/>
      <c r="T719" s="48"/>
      <c r="U719" s="48"/>
      <c r="V719" s="48"/>
      <c r="W719" s="48"/>
      <c r="X719" s="48"/>
      <c r="Y719" s="48"/>
      <c r="Z719" s="48"/>
      <c r="AA719" s="48"/>
      <c r="AB719" s="48"/>
      <c r="AC719" s="48"/>
      <c r="AD719" s="48"/>
      <c r="AE719" s="48"/>
      <c r="AF719" s="48"/>
      <c r="AG719" s="48"/>
      <c r="AH719" s="48"/>
      <c r="AI719" s="48"/>
      <c r="AJ719" s="48"/>
      <c r="AK719" s="48"/>
      <c r="AL719" s="48"/>
      <c r="AM719" s="48"/>
      <c r="AN719" s="48"/>
      <c r="AO719" s="48"/>
      <c r="AP719" s="48"/>
      <c r="AQ719" s="48"/>
      <c r="AR719" s="48"/>
      <c r="AS719" s="48"/>
      <c r="AT719" s="48"/>
      <c r="AU719" s="48"/>
      <c r="AV719" s="48"/>
      <c r="AW719" s="48"/>
      <c r="AX719" s="48"/>
      <c r="AY719" s="48"/>
      <c r="AZ719" s="48"/>
      <c r="BA719" s="48"/>
      <c r="BB719" s="48"/>
      <c r="BC719" s="48"/>
      <c r="BD719" s="48"/>
      <c r="BE719" s="48"/>
      <c r="BF719" s="48"/>
      <c r="BG719" s="48"/>
      <c r="BH719" s="48"/>
      <c r="BI719" s="48"/>
      <c r="BJ719" s="48"/>
      <c r="BK719" s="48"/>
      <c r="BL719" s="48"/>
      <c r="BM719" s="48"/>
      <c r="BN719" s="48"/>
      <c r="BO719" s="48"/>
      <c r="BP719" s="48"/>
      <c r="BQ719" s="48"/>
      <c r="BR719" s="48"/>
      <c r="BS719" s="48"/>
      <c r="BT719" s="48"/>
      <c r="BU719" s="48"/>
      <c r="BV719" s="48"/>
      <c r="BW719" s="48"/>
      <c r="BX719" s="48"/>
      <c r="BY719" s="48"/>
      <c r="BZ719" s="48"/>
      <c r="CA719" s="48"/>
      <c r="CB719" s="48"/>
      <c r="CC719" s="48"/>
      <c r="CD719" s="48"/>
      <c r="CE719" s="48"/>
      <c r="CF719" s="48"/>
      <c r="CG719" s="48"/>
      <c r="CH719" s="48"/>
    </row>
    <row r="720" spans="5:86" s="46" customFormat="1" x14ac:dyDescent="0.55000000000000004">
      <c r="E720" s="48"/>
      <c r="F720" s="48"/>
      <c r="G720" s="48"/>
      <c r="H720" s="48"/>
      <c r="I720" s="48"/>
      <c r="L720" s="166"/>
      <c r="M720" s="48"/>
      <c r="N720" s="48"/>
      <c r="O720" s="48"/>
      <c r="P720" s="48"/>
      <c r="Q720" s="48"/>
      <c r="R720" s="48"/>
      <c r="S720" s="48"/>
      <c r="T720" s="48"/>
      <c r="U720" s="48"/>
      <c r="V720" s="48"/>
      <c r="W720" s="48"/>
      <c r="X720" s="48"/>
      <c r="Y720" s="48"/>
      <c r="Z720" s="48"/>
      <c r="AA720" s="48"/>
      <c r="AB720" s="48"/>
      <c r="AC720" s="48"/>
      <c r="AD720" s="48"/>
      <c r="AE720" s="48"/>
      <c r="AF720" s="48"/>
      <c r="AG720" s="48"/>
      <c r="AH720" s="48"/>
      <c r="AI720" s="48"/>
      <c r="AJ720" s="48"/>
      <c r="AK720" s="48"/>
      <c r="AL720" s="48"/>
      <c r="AM720" s="48"/>
      <c r="AN720" s="48"/>
      <c r="AO720" s="48"/>
      <c r="AP720" s="48"/>
      <c r="AQ720" s="48"/>
      <c r="AR720" s="48"/>
      <c r="AS720" s="48"/>
      <c r="AT720" s="48"/>
      <c r="AU720" s="48"/>
      <c r="AV720" s="48"/>
      <c r="AW720" s="48"/>
      <c r="AX720" s="48"/>
      <c r="AY720" s="48"/>
      <c r="AZ720" s="48"/>
      <c r="BA720" s="48"/>
      <c r="BB720" s="48"/>
      <c r="BC720" s="48"/>
      <c r="BD720" s="48"/>
      <c r="BE720" s="48"/>
      <c r="BF720" s="48"/>
      <c r="BG720" s="48"/>
      <c r="BH720" s="48"/>
      <c r="BI720" s="48"/>
      <c r="BJ720" s="48"/>
      <c r="BK720" s="48"/>
      <c r="BL720" s="48"/>
      <c r="BM720" s="48"/>
      <c r="BN720" s="48"/>
      <c r="BO720" s="48"/>
      <c r="BP720" s="48"/>
      <c r="BQ720" s="48"/>
      <c r="BR720" s="48"/>
      <c r="BS720" s="48"/>
      <c r="BT720" s="48"/>
      <c r="BU720" s="48"/>
      <c r="BV720" s="48"/>
      <c r="BW720" s="48"/>
      <c r="BX720" s="48"/>
      <c r="BY720" s="48"/>
      <c r="BZ720" s="48"/>
      <c r="CA720" s="48"/>
      <c r="CB720" s="48"/>
      <c r="CC720" s="48"/>
      <c r="CD720" s="48"/>
      <c r="CE720" s="48"/>
      <c r="CF720" s="48"/>
      <c r="CG720" s="48"/>
      <c r="CH720" s="48"/>
    </row>
    <row r="721" spans="5:86" s="46" customFormat="1" x14ac:dyDescent="0.55000000000000004">
      <c r="E721" s="48"/>
      <c r="F721" s="48"/>
      <c r="G721" s="48"/>
      <c r="H721" s="48"/>
      <c r="I721" s="48"/>
      <c r="L721" s="166"/>
      <c r="M721" s="48"/>
      <c r="N721" s="48"/>
      <c r="O721" s="48"/>
      <c r="P721" s="48"/>
      <c r="Q721" s="48"/>
      <c r="R721" s="48"/>
      <c r="S721" s="48"/>
      <c r="T721" s="48"/>
      <c r="U721" s="48"/>
      <c r="V721" s="48"/>
      <c r="W721" s="48"/>
      <c r="X721" s="48"/>
      <c r="Y721" s="48"/>
      <c r="Z721" s="48"/>
      <c r="AA721" s="48"/>
      <c r="AB721" s="48"/>
      <c r="AC721" s="48"/>
      <c r="AD721" s="48"/>
      <c r="AE721" s="48"/>
      <c r="AF721" s="48"/>
      <c r="AG721" s="48"/>
      <c r="AH721" s="48"/>
      <c r="AI721" s="48"/>
      <c r="AJ721" s="48"/>
      <c r="AK721" s="48"/>
      <c r="AL721" s="48"/>
      <c r="AM721" s="48"/>
      <c r="AN721" s="48"/>
      <c r="AO721" s="48"/>
      <c r="AP721" s="48"/>
      <c r="AQ721" s="48"/>
      <c r="AR721" s="48"/>
      <c r="AS721" s="48"/>
      <c r="AT721" s="48"/>
      <c r="AU721" s="48"/>
      <c r="AV721" s="48"/>
      <c r="AW721" s="48"/>
      <c r="AX721" s="48"/>
      <c r="AY721" s="48"/>
      <c r="AZ721" s="48"/>
      <c r="BA721" s="48"/>
      <c r="BB721" s="48"/>
      <c r="BC721" s="48"/>
      <c r="BD721" s="48"/>
      <c r="BE721" s="48"/>
      <c r="BF721" s="48"/>
      <c r="BG721" s="48"/>
      <c r="BH721" s="48"/>
      <c r="BI721" s="48"/>
      <c r="BJ721" s="48"/>
      <c r="BK721" s="48"/>
      <c r="BL721" s="48"/>
      <c r="BM721" s="48"/>
      <c r="BN721" s="48"/>
      <c r="BO721" s="48"/>
      <c r="BP721" s="48"/>
      <c r="BQ721" s="48"/>
      <c r="BR721" s="48"/>
      <c r="BS721" s="48"/>
      <c r="BT721" s="48"/>
      <c r="BU721" s="48"/>
      <c r="BV721" s="48"/>
      <c r="BW721" s="48"/>
      <c r="BX721" s="48"/>
      <c r="BY721" s="48"/>
      <c r="BZ721" s="48"/>
      <c r="CA721" s="48"/>
      <c r="CB721" s="48"/>
      <c r="CC721" s="48"/>
      <c r="CD721" s="48"/>
      <c r="CE721" s="48"/>
      <c r="CF721" s="48"/>
      <c r="CG721" s="48"/>
      <c r="CH721" s="48"/>
    </row>
    <row r="722" spans="5:86" s="46" customFormat="1" x14ac:dyDescent="0.55000000000000004">
      <c r="E722" s="48"/>
      <c r="F722" s="48"/>
      <c r="G722" s="48"/>
      <c r="H722" s="48"/>
      <c r="I722" s="48"/>
      <c r="L722" s="166"/>
      <c r="M722" s="48"/>
      <c r="N722" s="48"/>
      <c r="O722" s="48"/>
      <c r="P722" s="48"/>
      <c r="Q722" s="48"/>
      <c r="R722" s="48"/>
      <c r="S722" s="48"/>
      <c r="T722" s="48"/>
      <c r="U722" s="48"/>
      <c r="V722" s="48"/>
      <c r="W722" s="48"/>
      <c r="X722" s="48"/>
      <c r="Y722" s="48"/>
      <c r="Z722" s="48"/>
      <c r="AA722" s="48"/>
      <c r="AB722" s="48"/>
      <c r="AC722" s="48"/>
      <c r="AD722" s="48"/>
      <c r="AE722" s="48"/>
      <c r="AF722" s="48"/>
      <c r="AG722" s="48"/>
      <c r="AH722" s="48"/>
      <c r="AI722" s="48"/>
      <c r="AJ722" s="48"/>
      <c r="AK722" s="48"/>
      <c r="AL722" s="48"/>
      <c r="AM722" s="48"/>
      <c r="AN722" s="48"/>
      <c r="AO722" s="48"/>
      <c r="AP722" s="48"/>
      <c r="AQ722" s="48"/>
      <c r="AR722" s="48"/>
      <c r="AS722" s="48"/>
      <c r="AT722" s="48"/>
      <c r="AU722" s="48"/>
      <c r="AV722" s="48"/>
      <c r="AW722" s="48"/>
      <c r="AX722" s="48"/>
      <c r="AY722" s="48"/>
      <c r="AZ722" s="48"/>
      <c r="BA722" s="48"/>
      <c r="BB722" s="48"/>
      <c r="BC722" s="48"/>
      <c r="BD722" s="48"/>
      <c r="BE722" s="48"/>
      <c r="BF722" s="48"/>
      <c r="BG722" s="48"/>
      <c r="BH722" s="48"/>
      <c r="BI722" s="48"/>
      <c r="BJ722" s="48"/>
      <c r="BK722" s="48"/>
      <c r="BL722" s="48"/>
      <c r="BM722" s="48"/>
      <c r="BN722" s="48"/>
      <c r="BO722" s="48"/>
      <c r="BP722" s="48"/>
      <c r="BQ722" s="48"/>
      <c r="BR722" s="48"/>
      <c r="BS722" s="48"/>
      <c r="BT722" s="48"/>
      <c r="BU722" s="48"/>
      <c r="BV722" s="48"/>
      <c r="BW722" s="48"/>
      <c r="BX722" s="48"/>
      <c r="BY722" s="48"/>
      <c r="BZ722" s="48"/>
      <c r="CA722" s="48"/>
      <c r="CB722" s="48"/>
      <c r="CC722" s="48"/>
      <c r="CD722" s="48"/>
      <c r="CE722" s="48"/>
      <c r="CF722" s="48"/>
      <c r="CG722" s="48"/>
      <c r="CH722" s="48"/>
    </row>
    <row r="723" spans="5:86" s="46" customFormat="1" x14ac:dyDescent="0.55000000000000004">
      <c r="E723" s="48"/>
      <c r="F723" s="48"/>
      <c r="G723" s="48"/>
      <c r="H723" s="48"/>
      <c r="I723" s="48"/>
      <c r="L723" s="166"/>
      <c r="M723" s="48"/>
      <c r="N723" s="48"/>
      <c r="O723" s="48"/>
      <c r="P723" s="48"/>
      <c r="Q723" s="48"/>
      <c r="R723" s="48"/>
      <c r="S723" s="48"/>
      <c r="T723" s="48"/>
      <c r="U723" s="48"/>
      <c r="V723" s="48"/>
      <c r="W723" s="48"/>
      <c r="X723" s="48"/>
      <c r="Y723" s="48"/>
      <c r="Z723" s="48"/>
      <c r="AA723" s="48"/>
      <c r="AB723" s="48"/>
      <c r="AC723" s="48"/>
      <c r="AD723" s="48"/>
      <c r="AE723" s="48"/>
      <c r="AF723" s="48"/>
      <c r="AG723" s="48"/>
      <c r="AH723" s="48"/>
      <c r="AI723" s="48"/>
      <c r="AJ723" s="48"/>
      <c r="AK723" s="48"/>
      <c r="AL723" s="48"/>
      <c r="AM723" s="48"/>
      <c r="AN723" s="48"/>
      <c r="AO723" s="48"/>
      <c r="AP723" s="48"/>
      <c r="AQ723" s="48"/>
      <c r="AR723" s="48"/>
      <c r="AS723" s="48"/>
      <c r="AT723" s="48"/>
      <c r="AU723" s="48"/>
      <c r="AV723" s="48"/>
      <c r="AW723" s="48"/>
      <c r="AX723" s="48"/>
      <c r="AY723" s="48"/>
      <c r="AZ723" s="48"/>
      <c r="BA723" s="48"/>
      <c r="BB723" s="48"/>
      <c r="BC723" s="48"/>
      <c r="BD723" s="48"/>
      <c r="BE723" s="48"/>
      <c r="BF723" s="48"/>
      <c r="BG723" s="48"/>
      <c r="BH723" s="48"/>
      <c r="BI723" s="48"/>
      <c r="BJ723" s="48"/>
      <c r="BK723" s="48"/>
      <c r="BL723" s="48"/>
      <c r="BM723" s="48"/>
      <c r="BN723" s="48"/>
      <c r="BO723" s="48"/>
      <c r="BP723" s="48"/>
      <c r="BQ723" s="48"/>
      <c r="BR723" s="48"/>
      <c r="BS723" s="48"/>
      <c r="BT723" s="48"/>
      <c r="BU723" s="48"/>
      <c r="BV723" s="48"/>
      <c r="BW723" s="48"/>
      <c r="BX723" s="48"/>
      <c r="BY723" s="48"/>
      <c r="BZ723" s="48"/>
      <c r="CA723" s="48"/>
      <c r="CB723" s="48"/>
      <c r="CC723" s="48"/>
      <c r="CD723" s="48"/>
      <c r="CE723" s="48"/>
      <c r="CF723" s="48"/>
      <c r="CG723" s="48"/>
      <c r="CH723" s="48"/>
    </row>
    <row r="724" spans="5:86" s="46" customFormat="1" x14ac:dyDescent="0.55000000000000004">
      <c r="E724" s="48"/>
      <c r="F724" s="48"/>
      <c r="G724" s="48"/>
      <c r="H724" s="48"/>
      <c r="I724" s="48"/>
      <c r="L724" s="166"/>
      <c r="M724" s="48"/>
      <c r="N724" s="48"/>
      <c r="O724" s="48"/>
      <c r="P724" s="48"/>
      <c r="Q724" s="48"/>
      <c r="R724" s="48"/>
      <c r="S724" s="48"/>
      <c r="T724" s="48"/>
      <c r="U724" s="48"/>
      <c r="V724" s="48"/>
      <c r="W724" s="48"/>
      <c r="X724" s="48"/>
      <c r="Y724" s="48"/>
      <c r="Z724" s="48"/>
      <c r="AA724" s="48"/>
      <c r="AB724" s="48"/>
      <c r="AC724" s="48"/>
      <c r="AD724" s="48"/>
      <c r="AE724" s="48"/>
      <c r="AF724" s="48"/>
      <c r="AG724" s="48"/>
      <c r="AH724" s="48"/>
      <c r="AI724" s="48"/>
      <c r="AJ724" s="48"/>
      <c r="AK724" s="48"/>
      <c r="AL724" s="48"/>
      <c r="AM724" s="48"/>
      <c r="AN724" s="48"/>
      <c r="AO724" s="48"/>
      <c r="AP724" s="48"/>
      <c r="AQ724" s="48"/>
      <c r="AR724" s="48"/>
      <c r="AS724" s="48"/>
      <c r="AT724" s="48"/>
      <c r="AU724" s="48"/>
      <c r="AV724" s="48"/>
      <c r="AW724" s="48"/>
      <c r="AX724" s="48"/>
      <c r="AY724" s="48"/>
      <c r="AZ724" s="48"/>
      <c r="BA724" s="48"/>
      <c r="BB724" s="48"/>
      <c r="BC724" s="48"/>
      <c r="BD724" s="48"/>
      <c r="BE724" s="48"/>
      <c r="BF724" s="48"/>
      <c r="BG724" s="48"/>
      <c r="BH724" s="48"/>
      <c r="BI724" s="48"/>
      <c r="BJ724" s="48"/>
      <c r="BK724" s="48"/>
      <c r="BL724" s="48"/>
      <c r="BM724" s="48"/>
      <c r="BN724" s="48"/>
      <c r="BO724" s="48"/>
      <c r="BP724" s="48"/>
      <c r="BQ724" s="48"/>
      <c r="BR724" s="48"/>
      <c r="BS724" s="48"/>
      <c r="BT724" s="48"/>
      <c r="BU724" s="48"/>
      <c r="BV724" s="48"/>
      <c r="BW724" s="48"/>
      <c r="BX724" s="48"/>
      <c r="BY724" s="48"/>
      <c r="BZ724" s="48"/>
      <c r="CA724" s="48"/>
      <c r="CB724" s="48"/>
      <c r="CC724" s="48"/>
      <c r="CD724" s="48"/>
      <c r="CE724" s="48"/>
      <c r="CF724" s="48"/>
      <c r="CG724" s="48"/>
      <c r="CH724" s="48"/>
    </row>
    <row r="725" spans="5:86" s="46" customFormat="1" x14ac:dyDescent="0.55000000000000004">
      <c r="E725" s="48"/>
      <c r="F725" s="48"/>
      <c r="G725" s="48"/>
      <c r="H725" s="48"/>
      <c r="I725" s="48"/>
      <c r="L725" s="166"/>
      <c r="M725" s="48"/>
      <c r="N725" s="48"/>
      <c r="O725" s="48"/>
      <c r="P725" s="48"/>
      <c r="Q725" s="48"/>
      <c r="R725" s="48"/>
      <c r="S725" s="48"/>
      <c r="T725" s="48"/>
      <c r="U725" s="48"/>
      <c r="V725" s="48"/>
      <c r="W725" s="48"/>
      <c r="X725" s="48"/>
      <c r="Y725" s="48"/>
      <c r="Z725" s="48"/>
      <c r="AA725" s="48"/>
      <c r="AB725" s="48"/>
      <c r="AC725" s="48"/>
      <c r="AD725" s="48"/>
      <c r="AE725" s="48"/>
      <c r="AF725" s="48"/>
      <c r="AG725" s="48"/>
      <c r="AH725" s="48"/>
      <c r="AI725" s="48"/>
      <c r="AJ725" s="48"/>
      <c r="AK725" s="48"/>
      <c r="AL725" s="48"/>
      <c r="AM725" s="48"/>
      <c r="AN725" s="48"/>
      <c r="AO725" s="48"/>
      <c r="AP725" s="48"/>
      <c r="AQ725" s="48"/>
      <c r="AR725" s="48"/>
      <c r="AS725" s="48"/>
      <c r="AT725" s="48"/>
      <c r="AU725" s="48"/>
      <c r="AV725" s="48"/>
      <c r="AW725" s="48"/>
      <c r="AX725" s="48"/>
      <c r="AY725" s="48"/>
      <c r="AZ725" s="48"/>
      <c r="BA725" s="48"/>
      <c r="BB725" s="48"/>
      <c r="BC725" s="48"/>
      <c r="BD725" s="48"/>
      <c r="BE725" s="48"/>
      <c r="BF725" s="48"/>
      <c r="BG725" s="48"/>
      <c r="BH725" s="48"/>
      <c r="BI725" s="48"/>
      <c r="BJ725" s="48"/>
      <c r="BK725" s="48"/>
      <c r="BL725" s="48"/>
      <c r="BM725" s="48"/>
      <c r="BN725" s="48"/>
      <c r="BO725" s="48"/>
      <c r="BP725" s="48"/>
      <c r="BQ725" s="48"/>
      <c r="BR725" s="48"/>
      <c r="BS725" s="48"/>
      <c r="BT725" s="48"/>
      <c r="BU725" s="48"/>
      <c r="BV725" s="48"/>
      <c r="BW725" s="48"/>
      <c r="BX725" s="48"/>
      <c r="BY725" s="48"/>
      <c r="BZ725" s="48"/>
      <c r="CA725" s="48"/>
      <c r="CB725" s="48"/>
      <c r="CC725" s="48"/>
      <c r="CD725" s="48"/>
      <c r="CE725" s="48"/>
      <c r="CF725" s="48"/>
      <c r="CG725" s="48"/>
      <c r="CH725" s="48"/>
    </row>
    <row r="726" spans="5:86" s="46" customFormat="1" x14ac:dyDescent="0.55000000000000004">
      <c r="E726" s="48"/>
      <c r="F726" s="48"/>
      <c r="G726" s="48"/>
      <c r="H726" s="48"/>
      <c r="I726" s="48"/>
      <c r="L726" s="166"/>
      <c r="M726" s="48"/>
      <c r="N726" s="48"/>
      <c r="O726" s="48"/>
      <c r="P726" s="48"/>
      <c r="Q726" s="48"/>
      <c r="R726" s="48"/>
      <c r="S726" s="48"/>
      <c r="T726" s="48"/>
      <c r="U726" s="48"/>
      <c r="V726" s="48"/>
      <c r="W726" s="48"/>
      <c r="X726" s="48"/>
      <c r="Y726" s="48"/>
      <c r="Z726" s="48"/>
      <c r="AA726" s="48"/>
      <c r="AB726" s="48"/>
      <c r="AC726" s="48"/>
      <c r="AD726" s="48"/>
      <c r="AE726" s="48"/>
      <c r="AF726" s="48"/>
      <c r="AG726" s="48"/>
      <c r="AH726" s="48"/>
      <c r="AI726" s="48"/>
      <c r="AJ726" s="48"/>
      <c r="AK726" s="48"/>
      <c r="AL726" s="48"/>
      <c r="AM726" s="48"/>
      <c r="AN726" s="48"/>
      <c r="AO726" s="48"/>
      <c r="AP726" s="48"/>
      <c r="AQ726" s="48"/>
      <c r="AR726" s="48"/>
      <c r="AS726" s="48"/>
      <c r="AT726" s="48"/>
      <c r="AU726" s="48"/>
      <c r="AV726" s="48"/>
      <c r="AW726" s="48"/>
      <c r="AX726" s="48"/>
      <c r="AY726" s="48"/>
      <c r="AZ726" s="48"/>
      <c r="BA726" s="48"/>
      <c r="BB726" s="48"/>
      <c r="BC726" s="48"/>
      <c r="BD726" s="48"/>
      <c r="BE726" s="48"/>
      <c r="BF726" s="48"/>
      <c r="BG726" s="48"/>
      <c r="BH726" s="48"/>
      <c r="BI726" s="48"/>
      <c r="BJ726" s="48"/>
      <c r="BK726" s="48"/>
      <c r="BL726" s="48"/>
      <c r="BM726" s="48"/>
      <c r="BN726" s="48"/>
      <c r="BO726" s="48"/>
      <c r="BP726" s="48"/>
      <c r="BQ726" s="48"/>
      <c r="BR726" s="48"/>
      <c r="BS726" s="48"/>
      <c r="BT726" s="48"/>
      <c r="BU726" s="48"/>
      <c r="BV726" s="48"/>
      <c r="BW726" s="48"/>
      <c r="BX726" s="48"/>
      <c r="BY726" s="48"/>
      <c r="BZ726" s="48"/>
      <c r="CA726" s="48"/>
      <c r="CB726" s="48"/>
      <c r="CC726" s="48"/>
      <c r="CD726" s="48"/>
      <c r="CE726" s="48"/>
      <c r="CF726" s="48"/>
      <c r="CG726" s="48"/>
      <c r="CH726" s="48"/>
    </row>
    <row r="727" spans="5:86" s="46" customFormat="1" x14ac:dyDescent="0.55000000000000004">
      <c r="E727" s="48"/>
      <c r="F727" s="48"/>
      <c r="G727" s="48"/>
      <c r="H727" s="48"/>
      <c r="I727" s="48"/>
      <c r="L727" s="166"/>
      <c r="M727" s="48"/>
      <c r="N727" s="48"/>
      <c r="O727" s="48"/>
      <c r="P727" s="48"/>
      <c r="Q727" s="48"/>
      <c r="R727" s="48"/>
      <c r="S727" s="48"/>
      <c r="T727" s="48"/>
      <c r="U727" s="48"/>
      <c r="V727" s="48"/>
      <c r="W727" s="48"/>
      <c r="X727" s="48"/>
      <c r="Y727" s="48"/>
      <c r="Z727" s="48"/>
      <c r="AA727" s="48"/>
      <c r="AB727" s="48"/>
      <c r="AC727" s="48"/>
      <c r="AD727" s="48"/>
      <c r="AE727" s="48"/>
      <c r="AF727" s="48"/>
      <c r="AG727" s="48"/>
      <c r="AH727" s="48"/>
      <c r="AI727" s="48"/>
      <c r="AJ727" s="48"/>
      <c r="AK727" s="48"/>
      <c r="AL727" s="48"/>
      <c r="AM727" s="48"/>
      <c r="AN727" s="48"/>
      <c r="AO727" s="48"/>
      <c r="AP727" s="48"/>
      <c r="AQ727" s="48"/>
      <c r="AR727" s="48"/>
      <c r="AS727" s="48"/>
      <c r="AT727" s="48"/>
      <c r="AU727" s="48"/>
      <c r="AV727" s="48"/>
      <c r="AW727" s="48"/>
      <c r="AX727" s="48"/>
      <c r="AY727" s="48"/>
      <c r="AZ727" s="48"/>
      <c r="BA727" s="48"/>
      <c r="BB727" s="48"/>
      <c r="BC727" s="48"/>
      <c r="BD727" s="48"/>
      <c r="BE727" s="48"/>
      <c r="BF727" s="48"/>
      <c r="BG727" s="48"/>
      <c r="BH727" s="48"/>
      <c r="BI727" s="48"/>
      <c r="BJ727" s="48"/>
      <c r="BK727" s="48"/>
      <c r="BL727" s="48"/>
      <c r="BM727" s="48"/>
      <c r="BN727" s="48"/>
      <c r="BO727" s="48"/>
      <c r="BP727" s="48"/>
      <c r="BQ727" s="48"/>
      <c r="BR727" s="48"/>
      <c r="BS727" s="48"/>
      <c r="BT727" s="48"/>
      <c r="BU727" s="48"/>
      <c r="BV727" s="48"/>
      <c r="BW727" s="48"/>
      <c r="BX727" s="48"/>
      <c r="BY727" s="48"/>
      <c r="BZ727" s="48"/>
      <c r="CA727" s="48"/>
      <c r="CB727" s="48"/>
      <c r="CC727" s="48"/>
      <c r="CD727" s="48"/>
      <c r="CE727" s="48"/>
      <c r="CF727" s="48"/>
      <c r="CG727" s="48"/>
      <c r="CH727" s="48"/>
    </row>
    <row r="728" spans="5:86" s="46" customFormat="1" x14ac:dyDescent="0.55000000000000004">
      <c r="E728" s="48"/>
      <c r="F728" s="48"/>
      <c r="G728" s="48"/>
      <c r="H728" s="48"/>
      <c r="I728" s="48"/>
      <c r="L728" s="166"/>
      <c r="M728" s="48"/>
      <c r="N728" s="48"/>
      <c r="O728" s="48"/>
      <c r="P728" s="48"/>
      <c r="Q728" s="48"/>
      <c r="R728" s="48"/>
      <c r="S728" s="48"/>
      <c r="T728" s="48"/>
      <c r="U728" s="48"/>
      <c r="V728" s="48"/>
      <c r="W728" s="48"/>
      <c r="X728" s="48"/>
      <c r="Y728" s="48"/>
      <c r="Z728" s="48"/>
      <c r="AA728" s="48"/>
      <c r="AB728" s="48"/>
      <c r="AC728" s="48"/>
      <c r="AD728" s="48"/>
      <c r="AE728" s="48"/>
      <c r="AF728" s="48"/>
      <c r="AG728" s="48"/>
      <c r="AH728" s="48"/>
      <c r="AI728" s="48"/>
      <c r="AJ728" s="48"/>
      <c r="AK728" s="48"/>
      <c r="AL728" s="48"/>
      <c r="AM728" s="48"/>
      <c r="AN728" s="48"/>
      <c r="AO728" s="48"/>
      <c r="AP728" s="48"/>
      <c r="AQ728" s="48"/>
      <c r="AR728" s="48"/>
      <c r="AS728" s="48"/>
      <c r="AT728" s="48"/>
      <c r="AU728" s="48"/>
      <c r="AV728" s="48"/>
      <c r="AW728" s="48"/>
      <c r="AX728" s="48"/>
      <c r="AY728" s="48"/>
      <c r="AZ728" s="48"/>
      <c r="BA728" s="48"/>
      <c r="BB728" s="48"/>
      <c r="BC728" s="48"/>
      <c r="BD728" s="48"/>
      <c r="BE728" s="48"/>
      <c r="BF728" s="48"/>
      <c r="BG728" s="48"/>
      <c r="BH728" s="48"/>
      <c r="BI728" s="48"/>
      <c r="BJ728" s="48"/>
      <c r="BK728" s="48"/>
      <c r="BL728" s="48"/>
      <c r="BM728" s="48"/>
      <c r="BN728" s="48"/>
      <c r="BO728" s="48"/>
      <c r="BP728" s="48"/>
      <c r="BQ728" s="48"/>
      <c r="BR728" s="48"/>
      <c r="BS728" s="48"/>
      <c r="BT728" s="48"/>
      <c r="BU728" s="48"/>
      <c r="BV728" s="48"/>
      <c r="BW728" s="48"/>
      <c r="BX728" s="48"/>
      <c r="BY728" s="48"/>
      <c r="BZ728" s="48"/>
      <c r="CA728" s="48"/>
      <c r="CB728" s="48"/>
      <c r="CC728" s="48"/>
      <c r="CD728" s="48"/>
      <c r="CE728" s="48"/>
      <c r="CF728" s="48"/>
      <c r="CG728" s="48"/>
      <c r="CH728" s="48"/>
    </row>
    <row r="729" spans="5:86" s="46" customFormat="1" x14ac:dyDescent="0.55000000000000004">
      <c r="E729" s="48"/>
      <c r="F729" s="48"/>
      <c r="G729" s="48"/>
      <c r="H729" s="48"/>
      <c r="I729" s="48"/>
      <c r="L729" s="166"/>
      <c r="M729" s="48"/>
      <c r="N729" s="48"/>
      <c r="O729" s="48"/>
      <c r="P729" s="48"/>
      <c r="Q729" s="48"/>
      <c r="R729" s="48"/>
      <c r="S729" s="48"/>
      <c r="T729" s="48"/>
      <c r="U729" s="48"/>
      <c r="V729" s="48"/>
      <c r="W729" s="48"/>
      <c r="X729" s="48"/>
      <c r="Y729" s="48"/>
      <c r="Z729" s="48"/>
      <c r="AA729" s="48"/>
      <c r="AB729" s="48"/>
      <c r="AC729" s="48"/>
      <c r="AD729" s="48"/>
      <c r="AE729" s="48"/>
      <c r="AF729" s="48"/>
      <c r="AG729" s="48"/>
      <c r="AH729" s="48"/>
      <c r="AI729" s="48"/>
      <c r="AJ729" s="48"/>
      <c r="AK729" s="48"/>
      <c r="AL729" s="48"/>
      <c r="AM729" s="48"/>
      <c r="AN729" s="48"/>
      <c r="AO729" s="48"/>
      <c r="AP729" s="48"/>
      <c r="AQ729" s="48"/>
      <c r="AR729" s="48"/>
      <c r="AS729" s="48"/>
      <c r="AT729" s="48"/>
      <c r="AU729" s="48"/>
      <c r="AV729" s="48"/>
      <c r="AW729" s="48"/>
      <c r="AX729" s="48"/>
      <c r="AY729" s="48"/>
      <c r="AZ729" s="48"/>
      <c r="BA729" s="48"/>
      <c r="BB729" s="48"/>
      <c r="BC729" s="48"/>
      <c r="BD729" s="48"/>
      <c r="BE729" s="48"/>
      <c r="BF729" s="48"/>
      <c r="BG729" s="48"/>
      <c r="BH729" s="48"/>
      <c r="BI729" s="48"/>
      <c r="BJ729" s="48"/>
      <c r="BK729" s="48"/>
      <c r="BL729" s="48"/>
      <c r="BM729" s="48"/>
      <c r="BN729" s="48"/>
      <c r="BO729" s="48"/>
      <c r="BP729" s="48"/>
      <c r="BQ729" s="48"/>
      <c r="BR729" s="48"/>
      <c r="BS729" s="48"/>
      <c r="BT729" s="48"/>
      <c r="BU729" s="48"/>
      <c r="BV729" s="48"/>
      <c r="BW729" s="48"/>
      <c r="BX729" s="48"/>
      <c r="BY729" s="48"/>
      <c r="BZ729" s="48"/>
      <c r="CA729" s="48"/>
      <c r="CB729" s="48"/>
      <c r="CC729" s="48"/>
      <c r="CD729" s="48"/>
      <c r="CE729" s="48"/>
      <c r="CF729" s="48"/>
      <c r="CG729" s="48"/>
      <c r="CH729" s="48"/>
    </row>
    <row r="730" spans="5:86" s="46" customFormat="1" x14ac:dyDescent="0.55000000000000004">
      <c r="E730" s="48"/>
      <c r="F730" s="48"/>
      <c r="G730" s="48"/>
      <c r="H730" s="48"/>
      <c r="I730" s="48"/>
      <c r="L730" s="166"/>
      <c r="M730" s="48"/>
      <c r="N730" s="48"/>
      <c r="O730" s="48"/>
      <c r="P730" s="48"/>
      <c r="Q730" s="48"/>
      <c r="R730" s="48"/>
      <c r="S730" s="48"/>
      <c r="T730" s="48"/>
      <c r="U730" s="48"/>
      <c r="V730" s="48"/>
      <c r="W730" s="48"/>
      <c r="X730" s="48"/>
      <c r="Y730" s="48"/>
      <c r="Z730" s="48"/>
      <c r="AA730" s="48"/>
      <c r="AB730" s="48"/>
      <c r="AC730" s="48"/>
      <c r="AD730" s="48"/>
      <c r="AE730" s="48"/>
      <c r="AF730" s="48"/>
      <c r="AG730" s="48"/>
      <c r="AH730" s="48"/>
      <c r="AI730" s="48"/>
      <c r="AJ730" s="48"/>
      <c r="AK730" s="48"/>
      <c r="AL730" s="48"/>
      <c r="AM730" s="48"/>
      <c r="AN730" s="48"/>
      <c r="AO730" s="48"/>
      <c r="AP730" s="48"/>
      <c r="AQ730" s="48"/>
      <c r="AR730" s="48"/>
      <c r="AS730" s="48"/>
      <c r="AT730" s="48"/>
      <c r="AU730" s="48"/>
      <c r="AV730" s="48"/>
      <c r="AW730" s="48"/>
      <c r="AX730" s="48"/>
      <c r="AY730" s="48"/>
      <c r="AZ730" s="48"/>
      <c r="BA730" s="48"/>
      <c r="BB730" s="48"/>
      <c r="BC730" s="48"/>
      <c r="BD730" s="48"/>
      <c r="BE730" s="48"/>
      <c r="BF730" s="48"/>
      <c r="BG730" s="48"/>
      <c r="BH730" s="48"/>
      <c r="BI730" s="48"/>
      <c r="BJ730" s="48"/>
      <c r="BK730" s="48"/>
      <c r="BL730" s="48"/>
      <c r="BM730" s="48"/>
      <c r="BN730" s="48"/>
      <c r="BO730" s="48"/>
      <c r="BP730" s="48"/>
      <c r="BQ730" s="48"/>
      <c r="BR730" s="48"/>
      <c r="BS730" s="48"/>
      <c r="BT730" s="48"/>
      <c r="BU730" s="48"/>
      <c r="BV730" s="48"/>
      <c r="BW730" s="48"/>
      <c r="BX730" s="48"/>
      <c r="BY730" s="48"/>
      <c r="BZ730" s="48"/>
      <c r="CA730" s="48"/>
      <c r="CB730" s="48"/>
      <c r="CC730" s="48"/>
      <c r="CD730" s="48"/>
      <c r="CE730" s="48"/>
      <c r="CF730" s="48"/>
      <c r="CG730" s="48"/>
      <c r="CH730" s="48"/>
    </row>
    <row r="731" spans="5:86" s="46" customFormat="1" x14ac:dyDescent="0.55000000000000004">
      <c r="E731" s="48"/>
      <c r="F731" s="48"/>
      <c r="G731" s="48"/>
      <c r="H731" s="48"/>
      <c r="I731" s="48"/>
      <c r="L731" s="166"/>
      <c r="M731" s="48"/>
      <c r="N731" s="48"/>
      <c r="O731" s="48"/>
      <c r="P731" s="48"/>
      <c r="Q731" s="48"/>
      <c r="R731" s="48"/>
      <c r="S731" s="48"/>
      <c r="T731" s="48"/>
      <c r="U731" s="48"/>
      <c r="V731" s="48"/>
      <c r="W731" s="48"/>
      <c r="X731" s="48"/>
      <c r="Y731" s="48"/>
      <c r="Z731" s="48"/>
      <c r="AA731" s="48"/>
      <c r="AB731" s="48"/>
      <c r="AC731" s="48"/>
      <c r="AD731" s="48"/>
      <c r="AE731" s="48"/>
      <c r="AF731" s="48"/>
      <c r="AG731" s="48"/>
      <c r="AH731" s="48"/>
      <c r="AI731" s="48"/>
      <c r="AJ731" s="48"/>
      <c r="AK731" s="48"/>
      <c r="AL731" s="48"/>
      <c r="AM731" s="48"/>
      <c r="AN731" s="48"/>
      <c r="AO731" s="48"/>
      <c r="AP731" s="48"/>
      <c r="AQ731" s="48"/>
      <c r="AR731" s="48"/>
      <c r="AS731" s="48"/>
      <c r="AT731" s="48"/>
      <c r="AU731" s="48"/>
      <c r="AV731" s="48"/>
      <c r="AW731" s="48"/>
      <c r="AX731" s="48"/>
      <c r="AY731" s="48"/>
      <c r="AZ731" s="48"/>
      <c r="BA731" s="48"/>
      <c r="BB731" s="48"/>
      <c r="BC731" s="48"/>
      <c r="BD731" s="48"/>
      <c r="BE731" s="48"/>
      <c r="BF731" s="48"/>
      <c r="BG731" s="48"/>
      <c r="BH731" s="48"/>
      <c r="BI731" s="48"/>
      <c r="BJ731" s="48"/>
      <c r="BK731" s="48"/>
      <c r="BL731" s="48"/>
      <c r="BM731" s="48"/>
      <c r="BN731" s="48"/>
      <c r="BO731" s="48"/>
      <c r="BP731" s="48"/>
      <c r="BQ731" s="48"/>
      <c r="BR731" s="48"/>
      <c r="BS731" s="48"/>
      <c r="BT731" s="48"/>
      <c r="BU731" s="48"/>
      <c r="BV731" s="48"/>
      <c r="BW731" s="48"/>
      <c r="BX731" s="48"/>
      <c r="BY731" s="48"/>
      <c r="BZ731" s="48"/>
      <c r="CA731" s="48"/>
      <c r="CB731" s="48"/>
      <c r="CC731" s="48"/>
      <c r="CD731" s="48"/>
      <c r="CE731" s="48"/>
      <c r="CF731" s="48"/>
      <c r="CG731" s="48"/>
      <c r="CH731" s="48"/>
    </row>
    <row r="732" spans="5:86" s="46" customFormat="1" x14ac:dyDescent="0.55000000000000004">
      <c r="E732" s="48"/>
      <c r="F732" s="48"/>
      <c r="G732" s="48"/>
      <c r="H732" s="48"/>
      <c r="I732" s="48"/>
      <c r="L732" s="166"/>
      <c r="M732" s="48"/>
      <c r="N732" s="48"/>
      <c r="O732" s="48"/>
      <c r="P732" s="48"/>
      <c r="Q732" s="48"/>
      <c r="R732" s="48"/>
      <c r="S732" s="48"/>
      <c r="T732" s="48"/>
      <c r="U732" s="48"/>
      <c r="V732" s="48"/>
      <c r="W732" s="48"/>
      <c r="X732" s="48"/>
      <c r="Y732" s="48"/>
      <c r="Z732" s="48"/>
      <c r="AA732" s="48"/>
      <c r="AB732" s="48"/>
      <c r="AC732" s="48"/>
      <c r="AD732" s="48"/>
      <c r="AE732" s="48"/>
      <c r="AF732" s="48"/>
      <c r="AG732" s="48"/>
      <c r="AH732" s="48"/>
      <c r="AI732" s="48"/>
      <c r="AJ732" s="48"/>
      <c r="AK732" s="48"/>
      <c r="AL732" s="48"/>
      <c r="AM732" s="48"/>
      <c r="AN732" s="48"/>
      <c r="AO732" s="48"/>
      <c r="AP732" s="48"/>
      <c r="AQ732" s="48"/>
      <c r="AR732" s="48"/>
      <c r="AS732" s="48"/>
      <c r="AT732" s="48"/>
      <c r="AU732" s="48"/>
      <c r="AV732" s="48"/>
      <c r="AW732" s="48"/>
      <c r="AX732" s="48"/>
      <c r="AY732" s="48"/>
      <c r="AZ732" s="48"/>
      <c r="BA732" s="48"/>
      <c r="BB732" s="48"/>
      <c r="BC732" s="48"/>
      <c r="BD732" s="48"/>
      <c r="BE732" s="48"/>
      <c r="BF732" s="48"/>
      <c r="BG732" s="48"/>
      <c r="BH732" s="48"/>
      <c r="BI732" s="48"/>
      <c r="BJ732" s="48"/>
      <c r="BK732" s="48"/>
      <c r="BL732" s="48"/>
      <c r="BM732" s="48"/>
      <c r="BN732" s="48"/>
      <c r="BO732" s="48"/>
      <c r="BP732" s="48"/>
      <c r="BQ732" s="48"/>
      <c r="BR732" s="48"/>
      <c r="BS732" s="48"/>
      <c r="BT732" s="48"/>
      <c r="BU732" s="48"/>
      <c r="BV732" s="48"/>
      <c r="BW732" s="48"/>
      <c r="BX732" s="48"/>
      <c r="BY732" s="48"/>
      <c r="BZ732" s="48"/>
      <c r="CA732" s="48"/>
      <c r="CB732" s="48"/>
      <c r="CC732" s="48"/>
      <c r="CD732" s="48"/>
      <c r="CE732" s="48"/>
      <c r="CF732" s="48"/>
      <c r="CG732" s="48"/>
      <c r="CH732" s="48"/>
    </row>
    <row r="733" spans="5:86" s="46" customFormat="1" x14ac:dyDescent="0.55000000000000004">
      <c r="E733" s="48"/>
      <c r="F733" s="48"/>
      <c r="G733" s="48"/>
      <c r="H733" s="48"/>
      <c r="I733" s="48"/>
      <c r="L733" s="166"/>
      <c r="M733" s="48"/>
      <c r="N733" s="48"/>
      <c r="O733" s="48"/>
      <c r="P733" s="48"/>
      <c r="Q733" s="48"/>
      <c r="R733" s="48"/>
      <c r="S733" s="48"/>
      <c r="T733" s="48"/>
      <c r="U733" s="48"/>
      <c r="V733" s="48"/>
      <c r="W733" s="48"/>
      <c r="X733" s="48"/>
      <c r="Y733" s="48"/>
      <c r="Z733" s="48"/>
      <c r="AA733" s="48"/>
      <c r="AB733" s="48"/>
      <c r="AC733" s="48"/>
      <c r="AD733" s="48"/>
      <c r="AE733" s="48"/>
      <c r="AF733" s="48"/>
      <c r="AG733" s="48"/>
      <c r="AH733" s="48"/>
      <c r="AI733" s="48"/>
      <c r="AJ733" s="48"/>
      <c r="AK733" s="48"/>
      <c r="AL733" s="48"/>
      <c r="AM733" s="48"/>
      <c r="AN733" s="48"/>
      <c r="AO733" s="48"/>
      <c r="AP733" s="48"/>
      <c r="AQ733" s="48"/>
      <c r="AR733" s="48"/>
      <c r="AS733" s="48"/>
      <c r="AT733" s="48"/>
      <c r="AU733" s="48"/>
      <c r="AV733" s="48"/>
      <c r="AW733" s="48"/>
      <c r="AX733" s="48"/>
      <c r="AY733" s="48"/>
      <c r="AZ733" s="48"/>
      <c r="BA733" s="48"/>
      <c r="BB733" s="48"/>
      <c r="BC733" s="48"/>
      <c r="BD733" s="48"/>
      <c r="BE733" s="48"/>
      <c r="BF733" s="48"/>
      <c r="BG733" s="48"/>
      <c r="BH733" s="48"/>
      <c r="BI733" s="48"/>
      <c r="BJ733" s="48"/>
      <c r="BK733" s="48"/>
      <c r="BL733" s="48"/>
      <c r="BM733" s="48"/>
      <c r="BN733" s="48"/>
      <c r="BO733" s="48"/>
      <c r="BP733" s="48"/>
      <c r="BQ733" s="48"/>
      <c r="BR733" s="48"/>
      <c r="BS733" s="48"/>
      <c r="BT733" s="48"/>
      <c r="BU733" s="48"/>
      <c r="BV733" s="48"/>
      <c r="BW733" s="48"/>
      <c r="BX733" s="48"/>
      <c r="BY733" s="48"/>
      <c r="BZ733" s="48"/>
      <c r="CA733" s="48"/>
      <c r="CB733" s="48"/>
      <c r="CC733" s="48"/>
      <c r="CD733" s="48"/>
      <c r="CE733" s="48"/>
      <c r="CF733" s="48"/>
      <c r="CG733" s="48"/>
      <c r="CH733" s="48"/>
    </row>
    <row r="734" spans="5:86" s="46" customFormat="1" x14ac:dyDescent="0.55000000000000004">
      <c r="E734" s="48"/>
      <c r="F734" s="48"/>
      <c r="G734" s="48"/>
      <c r="H734" s="48"/>
      <c r="I734" s="48"/>
      <c r="L734" s="166"/>
      <c r="M734" s="48"/>
      <c r="N734" s="48"/>
      <c r="O734" s="48"/>
      <c r="P734" s="48"/>
      <c r="Q734" s="48"/>
      <c r="R734" s="48"/>
      <c r="S734" s="48"/>
      <c r="T734" s="48"/>
      <c r="U734" s="48"/>
      <c r="V734" s="48"/>
      <c r="W734" s="48"/>
      <c r="X734" s="48"/>
      <c r="Y734" s="48"/>
      <c r="Z734" s="48"/>
      <c r="AA734" s="48"/>
      <c r="AB734" s="48"/>
      <c r="AC734" s="48"/>
      <c r="AD734" s="48"/>
      <c r="AE734" s="48"/>
      <c r="AF734" s="48"/>
      <c r="AG734" s="48"/>
      <c r="AH734" s="48"/>
      <c r="AI734" s="48"/>
      <c r="AJ734" s="48"/>
      <c r="AK734" s="48"/>
      <c r="AL734" s="48"/>
      <c r="AM734" s="48"/>
      <c r="AN734" s="48"/>
      <c r="AO734" s="48"/>
      <c r="AP734" s="48"/>
      <c r="AQ734" s="48"/>
      <c r="AR734" s="48"/>
      <c r="AS734" s="48"/>
      <c r="AT734" s="48"/>
      <c r="AU734" s="48"/>
      <c r="AV734" s="48"/>
      <c r="AW734" s="48"/>
      <c r="AX734" s="48"/>
      <c r="AY734" s="48"/>
      <c r="AZ734" s="48"/>
      <c r="BA734" s="48"/>
      <c r="BB734" s="48"/>
      <c r="BC734" s="48"/>
      <c r="BD734" s="48"/>
      <c r="BE734" s="48"/>
      <c r="BF734" s="48"/>
      <c r="BG734" s="48"/>
      <c r="BH734" s="48"/>
      <c r="BI734" s="48"/>
      <c r="BJ734" s="48"/>
      <c r="BK734" s="48"/>
      <c r="BL734" s="48"/>
      <c r="BM734" s="48"/>
      <c r="BN734" s="48"/>
      <c r="BO734" s="48"/>
      <c r="BP734" s="48"/>
      <c r="BQ734" s="48"/>
      <c r="BR734" s="48"/>
      <c r="BS734" s="48"/>
      <c r="BT734" s="48"/>
      <c r="BU734" s="48"/>
      <c r="BV734" s="48"/>
      <c r="BW734" s="48"/>
      <c r="BX734" s="48"/>
      <c r="BY734" s="48"/>
      <c r="BZ734" s="48"/>
      <c r="CA734" s="48"/>
      <c r="CB734" s="48"/>
      <c r="CC734" s="48"/>
      <c r="CD734" s="48"/>
      <c r="CE734" s="48"/>
      <c r="CF734" s="48"/>
      <c r="CG734" s="48"/>
      <c r="CH734" s="48"/>
    </row>
    <row r="735" spans="5:86" s="46" customFormat="1" x14ac:dyDescent="0.55000000000000004">
      <c r="E735" s="48"/>
      <c r="F735" s="48"/>
      <c r="G735" s="48"/>
      <c r="H735" s="48"/>
      <c r="I735" s="48"/>
      <c r="L735" s="166"/>
      <c r="M735" s="48"/>
      <c r="N735" s="48"/>
      <c r="O735" s="48"/>
      <c r="P735" s="48"/>
      <c r="Q735" s="48"/>
      <c r="R735" s="48"/>
      <c r="S735" s="48"/>
      <c r="T735" s="48"/>
      <c r="U735" s="48"/>
      <c r="V735" s="48"/>
      <c r="W735" s="48"/>
      <c r="X735" s="48"/>
      <c r="Y735" s="48"/>
      <c r="Z735" s="48"/>
      <c r="AA735" s="48"/>
      <c r="AB735" s="48"/>
      <c r="AC735" s="48"/>
      <c r="AD735" s="48"/>
      <c r="AE735" s="48"/>
      <c r="AF735" s="48"/>
      <c r="AG735" s="48"/>
      <c r="AH735" s="48"/>
      <c r="AI735" s="48"/>
      <c r="AJ735" s="48"/>
      <c r="AK735" s="48"/>
      <c r="AL735" s="48"/>
      <c r="AM735" s="48"/>
      <c r="AN735" s="48"/>
      <c r="AO735" s="48"/>
      <c r="AP735" s="48"/>
      <c r="AQ735" s="48"/>
      <c r="AR735" s="48"/>
      <c r="AS735" s="48"/>
      <c r="AT735" s="48"/>
      <c r="AU735" s="48"/>
      <c r="AV735" s="48"/>
      <c r="AW735" s="48"/>
      <c r="AX735" s="48"/>
      <c r="AY735" s="48"/>
      <c r="AZ735" s="48"/>
      <c r="BA735" s="48"/>
      <c r="BB735" s="48"/>
      <c r="BC735" s="48"/>
      <c r="BD735" s="48"/>
      <c r="BE735" s="48"/>
      <c r="BF735" s="48"/>
      <c r="BG735" s="48"/>
      <c r="BH735" s="48"/>
      <c r="BI735" s="48"/>
      <c r="BJ735" s="48"/>
      <c r="BK735" s="48"/>
      <c r="BL735" s="48"/>
      <c r="BM735" s="48"/>
      <c r="BN735" s="48"/>
      <c r="BO735" s="48"/>
      <c r="BP735" s="48"/>
      <c r="BQ735" s="48"/>
      <c r="BR735" s="48"/>
      <c r="BS735" s="48"/>
      <c r="BT735" s="48"/>
      <c r="BU735" s="48"/>
      <c r="BV735" s="48"/>
      <c r="BW735" s="48"/>
      <c r="BX735" s="48"/>
      <c r="BY735" s="48"/>
      <c r="BZ735" s="48"/>
      <c r="CA735" s="48"/>
      <c r="CB735" s="48"/>
      <c r="CC735" s="48"/>
      <c r="CD735" s="48"/>
      <c r="CE735" s="48"/>
      <c r="CF735" s="48"/>
      <c r="CG735" s="48"/>
      <c r="CH735" s="48"/>
    </row>
    <row r="736" spans="5:86" s="46" customFormat="1" x14ac:dyDescent="0.55000000000000004">
      <c r="E736" s="48"/>
      <c r="F736" s="48"/>
      <c r="G736" s="48"/>
      <c r="H736" s="48"/>
      <c r="I736" s="48"/>
      <c r="L736" s="166"/>
      <c r="M736" s="48"/>
      <c r="N736" s="48"/>
      <c r="O736" s="48"/>
      <c r="P736" s="48"/>
      <c r="Q736" s="48"/>
      <c r="R736" s="48"/>
      <c r="S736" s="48"/>
      <c r="T736" s="48"/>
      <c r="U736" s="48"/>
      <c r="V736" s="48"/>
      <c r="W736" s="48"/>
      <c r="X736" s="48"/>
      <c r="Y736" s="48"/>
      <c r="Z736" s="48"/>
      <c r="AA736" s="48"/>
      <c r="AB736" s="48"/>
      <c r="AC736" s="48"/>
      <c r="AD736" s="48"/>
      <c r="AE736" s="48"/>
      <c r="AF736" s="48"/>
      <c r="AG736" s="48"/>
      <c r="AH736" s="48"/>
      <c r="AI736" s="48"/>
      <c r="AJ736" s="48"/>
      <c r="AK736" s="48"/>
      <c r="AL736" s="48"/>
      <c r="AM736" s="48"/>
      <c r="AN736" s="48"/>
      <c r="AO736" s="48"/>
      <c r="AP736" s="48"/>
      <c r="AQ736" s="48"/>
      <c r="AR736" s="48"/>
      <c r="AS736" s="48"/>
      <c r="AT736" s="48"/>
      <c r="AU736" s="48"/>
      <c r="AV736" s="48"/>
      <c r="AW736" s="48"/>
      <c r="AX736" s="48"/>
      <c r="AY736" s="48"/>
      <c r="AZ736" s="48"/>
      <c r="BA736" s="48"/>
      <c r="BB736" s="48"/>
      <c r="BC736" s="48"/>
      <c r="BD736" s="48"/>
      <c r="BE736" s="48"/>
      <c r="BF736" s="48"/>
      <c r="BG736" s="48"/>
      <c r="BH736" s="48"/>
      <c r="BI736" s="48"/>
      <c r="BJ736" s="48"/>
      <c r="BK736" s="48"/>
      <c r="BL736" s="48"/>
      <c r="BM736" s="48"/>
      <c r="BN736" s="48"/>
      <c r="BO736" s="48"/>
      <c r="BP736" s="48"/>
      <c r="BQ736" s="48"/>
      <c r="BR736" s="48"/>
      <c r="BS736" s="48"/>
      <c r="BT736" s="48"/>
      <c r="BU736" s="48"/>
      <c r="BV736" s="48"/>
      <c r="BW736" s="48"/>
      <c r="BX736" s="48"/>
      <c r="BY736" s="48"/>
      <c r="BZ736" s="48"/>
      <c r="CA736" s="48"/>
      <c r="CB736" s="48"/>
      <c r="CC736" s="48"/>
      <c r="CD736" s="48"/>
      <c r="CE736" s="48"/>
      <c r="CF736" s="48"/>
      <c r="CG736" s="48"/>
      <c r="CH736" s="48"/>
    </row>
    <row r="737" spans="5:86" s="46" customFormat="1" x14ac:dyDescent="0.55000000000000004">
      <c r="E737" s="48"/>
      <c r="F737" s="48"/>
      <c r="G737" s="48"/>
      <c r="H737" s="48"/>
      <c r="I737" s="48"/>
      <c r="L737" s="166"/>
      <c r="M737" s="48"/>
      <c r="N737" s="48"/>
      <c r="O737" s="48"/>
      <c r="P737" s="48"/>
      <c r="Q737" s="48"/>
      <c r="R737" s="48"/>
      <c r="S737" s="48"/>
      <c r="T737" s="48"/>
      <c r="U737" s="48"/>
      <c r="V737" s="48"/>
      <c r="W737" s="48"/>
      <c r="X737" s="48"/>
      <c r="Y737" s="48"/>
      <c r="Z737" s="48"/>
      <c r="AA737" s="48"/>
      <c r="AB737" s="48"/>
      <c r="AC737" s="48"/>
      <c r="AD737" s="48"/>
      <c r="AE737" s="48"/>
      <c r="AF737" s="48"/>
      <c r="AG737" s="48"/>
      <c r="AH737" s="48"/>
      <c r="AI737" s="48"/>
      <c r="AJ737" s="48"/>
      <c r="AK737" s="48"/>
      <c r="AL737" s="48"/>
      <c r="AM737" s="48"/>
      <c r="AN737" s="48"/>
      <c r="AO737" s="48"/>
      <c r="AP737" s="48"/>
      <c r="AQ737" s="48"/>
      <c r="AR737" s="48"/>
      <c r="AS737" s="48"/>
      <c r="AT737" s="48"/>
      <c r="AU737" s="48"/>
      <c r="AV737" s="48"/>
      <c r="AW737" s="48"/>
      <c r="AX737" s="48"/>
      <c r="AY737" s="48"/>
      <c r="AZ737" s="48"/>
      <c r="BA737" s="48"/>
      <c r="BB737" s="48"/>
      <c r="BC737" s="48"/>
      <c r="BD737" s="48"/>
      <c r="BE737" s="48"/>
      <c r="BF737" s="48"/>
      <c r="BG737" s="48"/>
      <c r="BH737" s="48"/>
      <c r="BI737" s="48"/>
      <c r="BJ737" s="48"/>
      <c r="BK737" s="48"/>
      <c r="BL737" s="48"/>
      <c r="BM737" s="48"/>
      <c r="BN737" s="48"/>
      <c r="BO737" s="48"/>
      <c r="BP737" s="48"/>
      <c r="BQ737" s="48"/>
      <c r="BR737" s="48"/>
      <c r="BS737" s="48"/>
      <c r="BT737" s="48"/>
      <c r="BU737" s="48"/>
      <c r="BV737" s="48"/>
      <c r="BW737" s="48"/>
      <c r="BX737" s="48"/>
      <c r="BY737" s="48"/>
      <c r="BZ737" s="48"/>
      <c r="CA737" s="48"/>
      <c r="CB737" s="48"/>
      <c r="CC737" s="48"/>
      <c r="CD737" s="48"/>
      <c r="CE737" s="48"/>
      <c r="CF737" s="48"/>
      <c r="CG737" s="48"/>
      <c r="CH737" s="48"/>
    </row>
    <row r="738" spans="5:86" s="46" customFormat="1" x14ac:dyDescent="0.55000000000000004">
      <c r="E738" s="48"/>
      <c r="F738" s="48"/>
      <c r="G738" s="48"/>
      <c r="H738" s="48"/>
      <c r="I738" s="48"/>
      <c r="L738" s="166"/>
      <c r="M738" s="48"/>
      <c r="N738" s="48"/>
      <c r="O738" s="48"/>
      <c r="P738" s="48"/>
      <c r="Q738" s="48"/>
      <c r="R738" s="48"/>
      <c r="S738" s="48"/>
      <c r="T738" s="48"/>
      <c r="U738" s="48"/>
      <c r="V738" s="48"/>
      <c r="W738" s="48"/>
      <c r="X738" s="48"/>
      <c r="Y738" s="48"/>
      <c r="Z738" s="48"/>
      <c r="AA738" s="48"/>
      <c r="AB738" s="48"/>
      <c r="AC738" s="48"/>
      <c r="AD738" s="48"/>
      <c r="AE738" s="48"/>
      <c r="AF738" s="48"/>
      <c r="AG738" s="48"/>
      <c r="AH738" s="48"/>
      <c r="AI738" s="48"/>
      <c r="AJ738" s="48"/>
      <c r="AK738" s="48"/>
      <c r="AL738" s="48"/>
      <c r="AM738" s="48"/>
      <c r="AN738" s="48"/>
      <c r="AO738" s="48"/>
      <c r="AP738" s="48"/>
      <c r="AQ738" s="48"/>
      <c r="AR738" s="48"/>
      <c r="AS738" s="48"/>
      <c r="AT738" s="48"/>
      <c r="AU738" s="48"/>
      <c r="AV738" s="48"/>
      <c r="AW738" s="48"/>
      <c r="AX738" s="48"/>
      <c r="AY738" s="48"/>
      <c r="AZ738" s="48"/>
      <c r="BA738" s="48"/>
      <c r="BB738" s="48"/>
      <c r="BC738" s="48"/>
      <c r="BD738" s="48"/>
      <c r="BE738" s="48"/>
      <c r="BF738" s="48"/>
      <c r="BG738" s="48"/>
      <c r="BH738" s="48"/>
      <c r="BI738" s="48"/>
      <c r="BJ738" s="48"/>
      <c r="BK738" s="48"/>
      <c r="BL738" s="48"/>
      <c r="BM738" s="48"/>
      <c r="BN738" s="48"/>
      <c r="BO738" s="48"/>
      <c r="BP738" s="48"/>
      <c r="BQ738" s="48"/>
      <c r="BR738" s="48"/>
      <c r="BS738" s="48"/>
      <c r="BT738" s="48"/>
      <c r="BU738" s="48"/>
      <c r="BV738" s="48"/>
      <c r="BW738" s="48"/>
      <c r="BX738" s="48"/>
      <c r="BY738" s="48"/>
      <c r="BZ738" s="48"/>
      <c r="CA738" s="48"/>
      <c r="CB738" s="48"/>
      <c r="CC738" s="48"/>
      <c r="CD738" s="48"/>
      <c r="CE738" s="48"/>
      <c r="CF738" s="48"/>
      <c r="CG738" s="48"/>
      <c r="CH738" s="48"/>
    </row>
    <row r="739" spans="5:86" s="46" customFormat="1" x14ac:dyDescent="0.55000000000000004">
      <c r="E739" s="48"/>
      <c r="F739" s="48"/>
      <c r="G739" s="48"/>
      <c r="H739" s="48"/>
      <c r="I739" s="48"/>
      <c r="L739" s="166"/>
      <c r="M739" s="48"/>
      <c r="N739" s="48"/>
      <c r="O739" s="48"/>
      <c r="P739" s="48"/>
      <c r="Q739" s="48"/>
      <c r="R739" s="48"/>
      <c r="S739" s="48"/>
      <c r="T739" s="48"/>
      <c r="U739" s="48"/>
      <c r="V739" s="48"/>
      <c r="W739" s="48"/>
      <c r="X739" s="48"/>
      <c r="Y739" s="48"/>
      <c r="Z739" s="48"/>
      <c r="AA739" s="48"/>
      <c r="AB739" s="48"/>
      <c r="AC739" s="48"/>
      <c r="AD739" s="48"/>
      <c r="AE739" s="48"/>
      <c r="AF739" s="48"/>
      <c r="AG739" s="48"/>
      <c r="AH739" s="48"/>
      <c r="AI739" s="48"/>
      <c r="AJ739" s="48"/>
      <c r="AK739" s="48"/>
      <c r="AL739" s="48"/>
      <c r="AM739" s="48"/>
      <c r="AN739" s="48"/>
      <c r="AO739" s="48"/>
      <c r="AP739" s="48"/>
      <c r="AQ739" s="48"/>
      <c r="AR739" s="48"/>
      <c r="AS739" s="48"/>
      <c r="AT739" s="48"/>
      <c r="AU739" s="48"/>
      <c r="AV739" s="48"/>
      <c r="AW739" s="48"/>
      <c r="AX739" s="48"/>
      <c r="AY739" s="48"/>
      <c r="AZ739" s="48"/>
      <c r="BA739" s="48"/>
      <c r="BB739" s="48"/>
      <c r="BC739" s="48"/>
      <c r="BD739" s="48"/>
      <c r="BE739" s="48"/>
      <c r="BF739" s="48"/>
      <c r="BG739" s="48"/>
      <c r="BH739" s="48"/>
      <c r="BI739" s="48"/>
      <c r="BJ739" s="48"/>
      <c r="BK739" s="48"/>
      <c r="BL739" s="48"/>
      <c r="BM739" s="48"/>
      <c r="BN739" s="48"/>
      <c r="BO739" s="48"/>
      <c r="BP739" s="48"/>
      <c r="BQ739" s="48"/>
      <c r="BR739" s="48"/>
      <c r="BS739" s="48"/>
      <c r="BT739" s="48"/>
      <c r="BU739" s="48"/>
      <c r="BV739" s="48"/>
      <c r="BW739" s="48"/>
      <c r="BX739" s="48"/>
      <c r="BY739" s="48"/>
      <c r="BZ739" s="48"/>
      <c r="CA739" s="48"/>
      <c r="CB739" s="48"/>
      <c r="CC739" s="48"/>
      <c r="CD739" s="48"/>
      <c r="CE739" s="48"/>
      <c r="CF739" s="48"/>
      <c r="CG739" s="48"/>
      <c r="CH739" s="48"/>
    </row>
    <row r="740" spans="5:86" s="46" customFormat="1" x14ac:dyDescent="0.55000000000000004">
      <c r="E740" s="48"/>
      <c r="F740" s="48"/>
      <c r="G740" s="48"/>
      <c r="H740" s="48"/>
      <c r="I740" s="48"/>
      <c r="L740" s="166"/>
      <c r="M740" s="48"/>
      <c r="N740" s="48"/>
      <c r="O740" s="48"/>
      <c r="P740" s="48"/>
      <c r="Q740" s="48"/>
      <c r="R740" s="48"/>
      <c r="S740" s="48"/>
      <c r="T740" s="48"/>
      <c r="U740" s="48"/>
      <c r="V740" s="48"/>
      <c r="W740" s="48"/>
      <c r="X740" s="48"/>
      <c r="Y740" s="48"/>
      <c r="Z740" s="48"/>
      <c r="AA740" s="48"/>
      <c r="AB740" s="48"/>
      <c r="AC740" s="48"/>
      <c r="AD740" s="48"/>
      <c r="AE740" s="48"/>
      <c r="AF740" s="48"/>
      <c r="AG740" s="48"/>
      <c r="AH740" s="48"/>
      <c r="AI740" s="48"/>
      <c r="AJ740" s="48"/>
      <c r="AK740" s="48"/>
      <c r="AL740" s="48"/>
      <c r="AM740" s="48"/>
      <c r="AN740" s="48"/>
      <c r="AO740" s="48"/>
      <c r="AP740" s="48"/>
      <c r="AQ740" s="48"/>
      <c r="AR740" s="48"/>
      <c r="AS740" s="48"/>
      <c r="AT740" s="48"/>
      <c r="AU740" s="48"/>
      <c r="AV740" s="48"/>
      <c r="AW740" s="48"/>
      <c r="AX740" s="48"/>
      <c r="AY740" s="48"/>
      <c r="AZ740" s="48"/>
      <c r="BA740" s="48"/>
      <c r="BB740" s="48"/>
      <c r="BC740" s="48"/>
      <c r="BD740" s="48"/>
      <c r="BE740" s="48"/>
      <c r="BF740" s="48"/>
      <c r="BG740" s="48"/>
      <c r="BH740" s="48"/>
      <c r="BI740" s="48"/>
      <c r="BJ740" s="48"/>
      <c r="BK740" s="48"/>
      <c r="BL740" s="48"/>
      <c r="BM740" s="48"/>
      <c r="BN740" s="48"/>
      <c r="BO740" s="48"/>
      <c r="BP740" s="48"/>
      <c r="BQ740" s="48"/>
      <c r="BR740" s="48"/>
      <c r="BS740" s="48"/>
      <c r="BT740" s="48"/>
      <c r="BU740" s="48"/>
      <c r="BV740" s="48"/>
      <c r="BW740" s="48"/>
      <c r="BX740" s="48"/>
      <c r="BY740" s="48"/>
      <c r="BZ740" s="48"/>
      <c r="CA740" s="48"/>
      <c r="CB740" s="48"/>
      <c r="CC740" s="48"/>
      <c r="CD740" s="48"/>
      <c r="CE740" s="48"/>
      <c r="CF740" s="48"/>
      <c r="CG740" s="48"/>
      <c r="CH740" s="48"/>
    </row>
    <row r="741" spans="5:86" s="46" customFormat="1" x14ac:dyDescent="0.55000000000000004">
      <c r="E741" s="48"/>
      <c r="F741" s="48"/>
      <c r="G741" s="48"/>
      <c r="H741" s="48"/>
      <c r="I741" s="48"/>
      <c r="L741" s="166"/>
      <c r="M741" s="48"/>
      <c r="N741" s="48"/>
      <c r="O741" s="48"/>
      <c r="P741" s="48"/>
      <c r="Q741" s="48"/>
      <c r="R741" s="48"/>
      <c r="S741" s="48"/>
      <c r="T741" s="48"/>
      <c r="U741" s="48"/>
      <c r="V741" s="48"/>
      <c r="W741" s="48"/>
      <c r="X741" s="48"/>
      <c r="Y741" s="48"/>
      <c r="Z741" s="48"/>
      <c r="AA741" s="48"/>
      <c r="AB741" s="48"/>
      <c r="AC741" s="48"/>
      <c r="AD741" s="48"/>
      <c r="AE741" s="48"/>
      <c r="AF741" s="48"/>
      <c r="AG741" s="48"/>
      <c r="AH741" s="48"/>
      <c r="AI741" s="48"/>
      <c r="AJ741" s="48"/>
      <c r="AK741" s="48"/>
      <c r="AL741" s="48"/>
      <c r="AM741" s="48"/>
      <c r="AN741" s="48"/>
      <c r="AO741" s="48"/>
      <c r="AP741" s="48"/>
      <c r="AQ741" s="48"/>
      <c r="AR741" s="48"/>
      <c r="AS741" s="48"/>
      <c r="AT741" s="48"/>
      <c r="AU741" s="48"/>
      <c r="AV741" s="48"/>
      <c r="AW741" s="48"/>
      <c r="AX741" s="48"/>
      <c r="AY741" s="48"/>
      <c r="AZ741" s="48"/>
      <c r="BA741" s="48"/>
      <c r="BB741" s="48"/>
      <c r="BC741" s="48"/>
      <c r="BD741" s="48"/>
      <c r="BE741" s="48"/>
      <c r="BF741" s="48"/>
      <c r="BG741" s="48"/>
      <c r="BH741" s="48"/>
      <c r="BI741" s="48"/>
      <c r="BJ741" s="48"/>
      <c r="BK741" s="48"/>
      <c r="BL741" s="48"/>
      <c r="BM741" s="48"/>
      <c r="BN741" s="48"/>
      <c r="BO741" s="48"/>
      <c r="BP741" s="48"/>
      <c r="BQ741" s="48"/>
      <c r="BR741" s="48"/>
      <c r="BS741" s="48"/>
      <c r="BT741" s="48"/>
      <c r="BU741" s="48"/>
      <c r="BV741" s="48"/>
      <c r="BW741" s="48"/>
      <c r="BX741" s="48"/>
      <c r="BY741" s="48"/>
      <c r="BZ741" s="48"/>
      <c r="CA741" s="48"/>
      <c r="CB741" s="48"/>
      <c r="CC741" s="48"/>
      <c r="CD741" s="48"/>
      <c r="CE741" s="48"/>
      <c r="CF741" s="48"/>
      <c r="CG741" s="48"/>
      <c r="CH741" s="48"/>
    </row>
    <row r="742" spans="5:86" s="46" customFormat="1" x14ac:dyDescent="0.55000000000000004">
      <c r="E742" s="48"/>
      <c r="F742" s="48"/>
      <c r="G742" s="48"/>
      <c r="H742" s="48"/>
      <c r="I742" s="48"/>
      <c r="L742" s="166"/>
      <c r="M742" s="48"/>
      <c r="N742" s="48"/>
      <c r="O742" s="48"/>
      <c r="P742" s="48"/>
      <c r="Q742" s="48"/>
      <c r="R742" s="48"/>
      <c r="S742" s="48"/>
      <c r="T742" s="48"/>
      <c r="U742" s="48"/>
      <c r="V742" s="48"/>
      <c r="W742" s="48"/>
      <c r="X742" s="48"/>
      <c r="Y742" s="48"/>
      <c r="Z742" s="48"/>
      <c r="AA742" s="48"/>
      <c r="AB742" s="48"/>
      <c r="AC742" s="48"/>
      <c r="AD742" s="48"/>
      <c r="AE742" s="48"/>
      <c r="AF742" s="48"/>
      <c r="AG742" s="48"/>
      <c r="AH742" s="48"/>
      <c r="AI742" s="48"/>
      <c r="AJ742" s="48"/>
      <c r="AK742" s="48"/>
      <c r="AL742" s="48"/>
      <c r="AM742" s="48"/>
      <c r="AN742" s="48"/>
      <c r="AO742" s="48"/>
      <c r="AP742" s="48"/>
      <c r="AQ742" s="48"/>
      <c r="AR742" s="48"/>
      <c r="AS742" s="48"/>
      <c r="AT742" s="48"/>
      <c r="AU742" s="48"/>
      <c r="AV742" s="48"/>
      <c r="AW742" s="48"/>
      <c r="AX742" s="48"/>
      <c r="AY742" s="48"/>
      <c r="AZ742" s="48"/>
      <c r="BA742" s="48"/>
      <c r="BB742" s="48"/>
      <c r="BC742" s="48"/>
      <c r="BD742" s="48"/>
      <c r="BE742" s="48"/>
      <c r="BF742" s="48"/>
      <c r="BG742" s="48"/>
      <c r="BH742" s="48"/>
      <c r="BI742" s="48"/>
      <c r="BJ742" s="48"/>
      <c r="BK742" s="48"/>
      <c r="BL742" s="48"/>
      <c r="BM742" s="48"/>
      <c r="BN742" s="48"/>
      <c r="BO742" s="48"/>
      <c r="BP742" s="48"/>
      <c r="BQ742" s="48"/>
      <c r="BR742" s="48"/>
      <c r="BS742" s="48"/>
      <c r="BT742" s="48"/>
      <c r="BU742" s="48"/>
      <c r="BV742" s="48"/>
      <c r="BW742" s="48"/>
      <c r="BX742" s="48"/>
      <c r="BY742" s="48"/>
      <c r="BZ742" s="48"/>
      <c r="CA742" s="48"/>
      <c r="CB742" s="48"/>
      <c r="CC742" s="48"/>
      <c r="CD742" s="48"/>
      <c r="CE742" s="48"/>
      <c r="CF742" s="48"/>
      <c r="CG742" s="48"/>
      <c r="CH742" s="48"/>
    </row>
    <row r="743" spans="5:86" s="46" customFormat="1" x14ac:dyDescent="0.55000000000000004">
      <c r="E743" s="48"/>
      <c r="F743" s="48"/>
      <c r="G743" s="48"/>
      <c r="H743" s="48"/>
      <c r="I743" s="48"/>
      <c r="L743" s="166"/>
      <c r="M743" s="48"/>
      <c r="N743" s="48"/>
      <c r="O743" s="48"/>
      <c r="P743" s="48"/>
      <c r="Q743" s="48"/>
      <c r="R743" s="48"/>
      <c r="S743" s="48"/>
      <c r="T743" s="48"/>
      <c r="U743" s="48"/>
      <c r="V743" s="48"/>
      <c r="W743" s="48"/>
      <c r="X743" s="48"/>
      <c r="Y743" s="48"/>
      <c r="Z743" s="48"/>
      <c r="AA743" s="48"/>
      <c r="AB743" s="48"/>
      <c r="AC743" s="48"/>
      <c r="AD743" s="48"/>
      <c r="AE743" s="48"/>
      <c r="AF743" s="48"/>
      <c r="AG743" s="48"/>
      <c r="AH743" s="48"/>
      <c r="AI743" s="48"/>
      <c r="AJ743" s="48"/>
      <c r="AK743" s="48"/>
      <c r="AL743" s="48"/>
      <c r="AM743" s="48"/>
      <c r="AN743" s="48"/>
      <c r="AO743" s="48"/>
      <c r="AP743" s="48"/>
      <c r="AQ743" s="48"/>
      <c r="AR743" s="48"/>
      <c r="AS743" s="48"/>
      <c r="AT743" s="48"/>
      <c r="AU743" s="48"/>
      <c r="AV743" s="48"/>
      <c r="AW743" s="48"/>
      <c r="AX743" s="48"/>
      <c r="AY743" s="48"/>
      <c r="AZ743" s="48"/>
      <c r="BA743" s="48"/>
      <c r="BB743" s="48"/>
      <c r="BC743" s="48"/>
      <c r="BD743" s="48"/>
      <c r="BE743" s="48"/>
      <c r="BF743" s="48"/>
      <c r="BG743" s="48"/>
      <c r="BH743" s="48"/>
      <c r="BI743" s="48"/>
      <c r="BJ743" s="48"/>
      <c r="BK743" s="48"/>
      <c r="BL743" s="48"/>
      <c r="BM743" s="48"/>
      <c r="BN743" s="48"/>
      <c r="BO743" s="48"/>
      <c r="BP743" s="48"/>
      <c r="BQ743" s="48"/>
      <c r="BR743" s="48"/>
      <c r="BS743" s="48"/>
      <c r="BT743" s="48"/>
      <c r="BU743" s="48"/>
      <c r="BV743" s="48"/>
      <c r="BW743" s="48"/>
      <c r="BX743" s="48"/>
      <c r="BY743" s="48"/>
      <c r="BZ743" s="48"/>
      <c r="CA743" s="48"/>
      <c r="CB743" s="48"/>
      <c r="CC743" s="48"/>
      <c r="CD743" s="48"/>
      <c r="CE743" s="48"/>
      <c r="CF743" s="48"/>
      <c r="CG743" s="48"/>
      <c r="CH743" s="48"/>
    </row>
    <row r="744" spans="5:86" s="46" customFormat="1" x14ac:dyDescent="0.55000000000000004">
      <c r="E744" s="48"/>
      <c r="F744" s="48"/>
      <c r="G744" s="48"/>
      <c r="H744" s="48"/>
      <c r="I744" s="48"/>
      <c r="L744" s="166"/>
      <c r="M744" s="48"/>
      <c r="N744" s="48"/>
      <c r="O744" s="48"/>
      <c r="P744" s="48"/>
      <c r="Q744" s="48"/>
      <c r="R744" s="48"/>
      <c r="S744" s="48"/>
      <c r="T744" s="48"/>
      <c r="U744" s="48"/>
      <c r="V744" s="48"/>
      <c r="W744" s="48"/>
      <c r="X744" s="48"/>
      <c r="Y744" s="48"/>
      <c r="Z744" s="48"/>
      <c r="AA744" s="48"/>
      <c r="AB744" s="48"/>
      <c r="AC744" s="48"/>
      <c r="AD744" s="48"/>
      <c r="AE744" s="48"/>
      <c r="AF744" s="48"/>
      <c r="AG744" s="48"/>
      <c r="AH744" s="48"/>
      <c r="AI744" s="48"/>
      <c r="AJ744" s="48"/>
      <c r="AK744" s="48"/>
      <c r="AL744" s="48"/>
      <c r="AM744" s="48"/>
      <c r="AN744" s="48"/>
      <c r="AO744" s="48"/>
      <c r="AP744" s="48"/>
      <c r="AQ744" s="48"/>
      <c r="AR744" s="48"/>
      <c r="AS744" s="48"/>
      <c r="AT744" s="48"/>
      <c r="AU744" s="48"/>
      <c r="AV744" s="48"/>
      <c r="AW744" s="48"/>
      <c r="AX744" s="48"/>
      <c r="AY744" s="48"/>
      <c r="AZ744" s="48"/>
      <c r="BA744" s="48"/>
      <c r="BB744" s="48"/>
      <c r="BC744" s="48"/>
      <c r="BD744" s="48"/>
      <c r="BE744" s="48"/>
      <c r="BF744" s="48"/>
      <c r="BG744" s="48"/>
      <c r="BH744" s="48"/>
      <c r="BI744" s="48"/>
      <c r="BJ744" s="48"/>
      <c r="BK744" s="48"/>
      <c r="BL744" s="48"/>
      <c r="BM744" s="48"/>
      <c r="BN744" s="48"/>
      <c r="BO744" s="48"/>
      <c r="BP744" s="48"/>
      <c r="BQ744" s="48"/>
      <c r="BR744" s="48"/>
      <c r="BS744" s="48"/>
      <c r="BT744" s="48"/>
      <c r="BU744" s="48"/>
      <c r="BV744" s="48"/>
      <c r="BW744" s="48"/>
      <c r="BX744" s="48"/>
      <c r="BY744" s="48"/>
      <c r="BZ744" s="48"/>
      <c r="CA744" s="48"/>
      <c r="CB744" s="48"/>
      <c r="CC744" s="48"/>
      <c r="CD744" s="48"/>
      <c r="CE744" s="48"/>
      <c r="CF744" s="48"/>
      <c r="CG744" s="48"/>
      <c r="CH744" s="48"/>
    </row>
    <row r="745" spans="5:86" s="46" customFormat="1" x14ac:dyDescent="0.55000000000000004">
      <c r="E745" s="48"/>
      <c r="F745" s="48"/>
      <c r="G745" s="48"/>
      <c r="H745" s="48"/>
      <c r="I745" s="48"/>
      <c r="L745" s="166"/>
      <c r="M745" s="48"/>
      <c r="N745" s="48"/>
      <c r="O745" s="48"/>
      <c r="P745" s="48"/>
      <c r="Q745" s="48"/>
      <c r="R745" s="48"/>
      <c r="S745" s="48"/>
      <c r="T745" s="48"/>
      <c r="U745" s="48"/>
      <c r="V745" s="48"/>
      <c r="W745" s="48"/>
      <c r="X745" s="48"/>
      <c r="Y745" s="48"/>
      <c r="Z745" s="48"/>
      <c r="AA745" s="48"/>
      <c r="AB745" s="48"/>
      <c r="AC745" s="48"/>
      <c r="AD745" s="48"/>
      <c r="AE745" s="48"/>
      <c r="AF745" s="48"/>
      <c r="AG745" s="48"/>
      <c r="AH745" s="48"/>
      <c r="AI745" s="48"/>
      <c r="AJ745" s="48"/>
      <c r="AK745" s="48"/>
      <c r="AL745" s="48"/>
      <c r="AM745" s="48"/>
      <c r="AN745" s="48"/>
      <c r="AO745" s="48"/>
      <c r="AP745" s="48"/>
      <c r="AQ745" s="48"/>
      <c r="AR745" s="48"/>
      <c r="AS745" s="48"/>
      <c r="AT745" s="48"/>
      <c r="AU745" s="48"/>
      <c r="AV745" s="48"/>
      <c r="AW745" s="48"/>
      <c r="AX745" s="48"/>
      <c r="AY745" s="48"/>
      <c r="AZ745" s="48"/>
      <c r="BA745" s="48"/>
      <c r="BB745" s="48"/>
      <c r="BC745" s="48"/>
      <c r="BD745" s="48"/>
      <c r="BE745" s="48"/>
      <c r="BF745" s="48"/>
      <c r="BG745" s="48"/>
      <c r="BH745" s="48"/>
      <c r="BI745" s="48"/>
      <c r="BJ745" s="48"/>
      <c r="BK745" s="48"/>
      <c r="BL745" s="48"/>
      <c r="BM745" s="48"/>
      <c r="BN745" s="48"/>
      <c r="BO745" s="48"/>
      <c r="BP745" s="48"/>
      <c r="BQ745" s="48"/>
      <c r="BR745" s="48"/>
      <c r="BS745" s="48"/>
      <c r="BT745" s="48"/>
      <c r="BU745" s="48"/>
      <c r="BV745" s="48"/>
      <c r="BW745" s="48"/>
      <c r="BX745" s="48"/>
      <c r="BY745" s="48"/>
      <c r="BZ745" s="48"/>
      <c r="CA745" s="48"/>
      <c r="CB745" s="48"/>
      <c r="CC745" s="48"/>
      <c r="CD745" s="48"/>
      <c r="CE745" s="48"/>
      <c r="CF745" s="48"/>
      <c r="CG745" s="48"/>
      <c r="CH745" s="48"/>
    </row>
    <row r="746" spans="5:86" s="46" customFormat="1" x14ac:dyDescent="0.55000000000000004">
      <c r="E746" s="48"/>
      <c r="F746" s="48"/>
      <c r="G746" s="48"/>
      <c r="H746" s="48"/>
      <c r="I746" s="48"/>
      <c r="L746" s="166"/>
      <c r="M746" s="48"/>
      <c r="N746" s="48"/>
      <c r="O746" s="48"/>
      <c r="P746" s="48"/>
      <c r="Q746" s="48"/>
      <c r="R746" s="48"/>
      <c r="S746" s="48"/>
      <c r="T746" s="48"/>
      <c r="U746" s="48"/>
      <c r="V746" s="48"/>
      <c r="W746" s="48"/>
      <c r="X746" s="48"/>
      <c r="Y746" s="48"/>
      <c r="Z746" s="48"/>
      <c r="AA746" s="48"/>
      <c r="AB746" s="48"/>
      <c r="AC746" s="48"/>
      <c r="AD746" s="48"/>
      <c r="AE746" s="48"/>
      <c r="AF746" s="48"/>
      <c r="AG746" s="48"/>
      <c r="AH746" s="48"/>
      <c r="AI746" s="48"/>
      <c r="AJ746" s="48"/>
      <c r="AK746" s="48"/>
      <c r="AL746" s="48"/>
      <c r="AM746" s="48"/>
      <c r="AN746" s="48"/>
      <c r="AO746" s="48"/>
      <c r="AP746" s="48"/>
      <c r="AQ746" s="48"/>
      <c r="AR746" s="48"/>
      <c r="AS746" s="48"/>
      <c r="AT746" s="48"/>
      <c r="AU746" s="48"/>
      <c r="AV746" s="48"/>
      <c r="AW746" s="48"/>
      <c r="AX746" s="48"/>
      <c r="AY746" s="48"/>
      <c r="AZ746" s="48"/>
      <c r="BA746" s="48"/>
      <c r="BB746" s="48"/>
      <c r="BC746" s="48"/>
      <c r="BD746" s="48"/>
      <c r="BE746" s="48"/>
      <c r="BF746" s="48"/>
      <c r="BG746" s="48"/>
      <c r="BH746" s="48"/>
      <c r="BI746" s="48"/>
      <c r="BJ746" s="48"/>
      <c r="BK746" s="48"/>
      <c r="BL746" s="48"/>
      <c r="BM746" s="48"/>
      <c r="BN746" s="48"/>
      <c r="BO746" s="48"/>
      <c r="BP746" s="48"/>
      <c r="BQ746" s="48"/>
      <c r="BR746" s="48"/>
      <c r="BS746" s="48"/>
      <c r="BT746" s="48"/>
      <c r="BU746" s="48"/>
      <c r="BV746" s="48"/>
      <c r="BW746" s="48"/>
      <c r="BX746" s="48"/>
      <c r="BY746" s="48"/>
      <c r="BZ746" s="48"/>
      <c r="CA746" s="48"/>
      <c r="CB746" s="48"/>
      <c r="CC746" s="48"/>
      <c r="CD746" s="48"/>
      <c r="CE746" s="48"/>
      <c r="CF746" s="48"/>
      <c r="CG746" s="48"/>
      <c r="CH746" s="48"/>
    </row>
    <row r="747" spans="5:86" s="46" customFormat="1" x14ac:dyDescent="0.55000000000000004">
      <c r="E747" s="48"/>
      <c r="F747" s="48"/>
      <c r="G747" s="48"/>
      <c r="H747" s="48"/>
      <c r="I747" s="48"/>
      <c r="L747" s="166"/>
      <c r="M747" s="48"/>
      <c r="N747" s="48"/>
      <c r="O747" s="48"/>
      <c r="P747" s="48"/>
      <c r="Q747" s="48"/>
      <c r="R747" s="48"/>
      <c r="S747" s="48"/>
      <c r="T747" s="48"/>
      <c r="U747" s="48"/>
      <c r="V747" s="48"/>
      <c r="W747" s="48"/>
      <c r="X747" s="48"/>
      <c r="Y747" s="48"/>
      <c r="Z747" s="48"/>
      <c r="AA747" s="48"/>
      <c r="AB747" s="48"/>
      <c r="AC747" s="48"/>
      <c r="AD747" s="48"/>
      <c r="AE747" s="48"/>
      <c r="AF747" s="48"/>
      <c r="AG747" s="48"/>
      <c r="AH747" s="48"/>
      <c r="AI747" s="48"/>
      <c r="AJ747" s="48"/>
      <c r="AK747" s="48"/>
      <c r="AL747" s="48"/>
      <c r="AM747" s="48"/>
      <c r="AN747" s="48"/>
      <c r="AO747" s="48"/>
      <c r="AP747" s="48"/>
      <c r="AQ747" s="48"/>
      <c r="AR747" s="48"/>
      <c r="AS747" s="48"/>
      <c r="AT747" s="48"/>
      <c r="AU747" s="48"/>
      <c r="AV747" s="48"/>
      <c r="AW747" s="48"/>
      <c r="AX747" s="48"/>
      <c r="AY747" s="48"/>
      <c r="AZ747" s="48"/>
      <c r="BA747" s="48"/>
      <c r="BB747" s="48"/>
      <c r="BC747" s="48"/>
      <c r="BD747" s="48"/>
      <c r="BE747" s="48"/>
      <c r="BF747" s="48"/>
      <c r="BG747" s="48"/>
      <c r="BH747" s="48"/>
      <c r="BI747" s="48"/>
      <c r="BJ747" s="48"/>
      <c r="BK747" s="48"/>
      <c r="BL747" s="48"/>
      <c r="BM747" s="48"/>
      <c r="BN747" s="48"/>
      <c r="BO747" s="48"/>
      <c r="BP747" s="48"/>
      <c r="BQ747" s="48"/>
      <c r="BR747" s="48"/>
      <c r="BS747" s="48"/>
      <c r="BT747" s="48"/>
      <c r="BU747" s="48"/>
      <c r="BV747" s="48"/>
      <c r="BW747" s="48"/>
      <c r="BX747" s="48"/>
      <c r="BY747" s="48"/>
      <c r="BZ747" s="48"/>
      <c r="CA747" s="48"/>
      <c r="CB747" s="48"/>
      <c r="CC747" s="48"/>
      <c r="CD747" s="48"/>
      <c r="CE747" s="48"/>
      <c r="CF747" s="48"/>
      <c r="CG747" s="48"/>
      <c r="CH747" s="48"/>
    </row>
    <row r="748" spans="5:86" s="46" customFormat="1" x14ac:dyDescent="0.55000000000000004">
      <c r="E748" s="48"/>
      <c r="F748" s="48"/>
      <c r="G748" s="48"/>
      <c r="H748" s="48"/>
      <c r="I748" s="48"/>
      <c r="L748" s="166"/>
      <c r="M748" s="48"/>
      <c r="N748" s="48"/>
      <c r="O748" s="48"/>
      <c r="P748" s="48"/>
      <c r="Q748" s="48"/>
      <c r="R748" s="48"/>
      <c r="S748" s="48"/>
      <c r="T748" s="48"/>
      <c r="U748" s="48"/>
      <c r="V748" s="48"/>
      <c r="W748" s="48"/>
      <c r="X748" s="48"/>
      <c r="Y748" s="48"/>
      <c r="Z748" s="48"/>
      <c r="AA748" s="48"/>
      <c r="AB748" s="48"/>
      <c r="AC748" s="48"/>
      <c r="AD748" s="48"/>
      <c r="AE748" s="48"/>
      <c r="AF748" s="48"/>
      <c r="AG748" s="48"/>
      <c r="AH748" s="48"/>
      <c r="AI748" s="48"/>
      <c r="AJ748" s="48"/>
      <c r="AK748" s="48"/>
      <c r="AL748" s="48"/>
      <c r="AM748" s="48"/>
      <c r="AN748" s="48"/>
      <c r="AO748" s="48"/>
      <c r="AP748" s="48"/>
      <c r="AQ748" s="48"/>
      <c r="AR748" s="48"/>
      <c r="AS748" s="48"/>
      <c r="AT748" s="48"/>
      <c r="AU748" s="48"/>
      <c r="AV748" s="48"/>
      <c r="AW748" s="48"/>
      <c r="AX748" s="48"/>
      <c r="AY748" s="48"/>
      <c r="AZ748" s="48"/>
      <c r="BA748" s="48"/>
      <c r="BB748" s="48"/>
      <c r="BC748" s="48"/>
      <c r="BD748" s="48"/>
      <c r="BE748" s="48"/>
      <c r="BF748" s="48"/>
      <c r="BG748" s="48"/>
      <c r="BH748" s="48"/>
      <c r="BI748" s="48"/>
      <c r="BJ748" s="48"/>
      <c r="BK748" s="48"/>
      <c r="BL748" s="48"/>
      <c r="BM748" s="48"/>
      <c r="BN748" s="48"/>
      <c r="BO748" s="48"/>
      <c r="BP748" s="48"/>
      <c r="BQ748" s="48"/>
      <c r="BR748" s="48"/>
      <c r="BS748" s="48"/>
      <c r="BT748" s="48"/>
      <c r="BU748" s="48"/>
      <c r="BV748" s="48"/>
      <c r="BW748" s="48"/>
      <c r="BX748" s="48"/>
      <c r="BY748" s="48"/>
      <c r="BZ748" s="48"/>
      <c r="CA748" s="48"/>
      <c r="CB748" s="48"/>
      <c r="CC748" s="48"/>
      <c r="CD748" s="48"/>
      <c r="CE748" s="48"/>
      <c r="CF748" s="48"/>
      <c r="CG748" s="48"/>
      <c r="CH748" s="48"/>
    </row>
    <row r="749" spans="5:86" s="46" customFormat="1" x14ac:dyDescent="0.55000000000000004">
      <c r="E749" s="48"/>
      <c r="F749" s="48"/>
      <c r="G749" s="48"/>
      <c r="H749" s="48"/>
      <c r="I749" s="48"/>
      <c r="L749" s="166"/>
      <c r="M749" s="48"/>
      <c r="N749" s="48"/>
      <c r="O749" s="48"/>
      <c r="P749" s="48"/>
      <c r="Q749" s="48"/>
      <c r="R749" s="48"/>
      <c r="S749" s="48"/>
      <c r="T749" s="48"/>
      <c r="U749" s="48"/>
      <c r="V749" s="48"/>
      <c r="W749" s="48"/>
      <c r="X749" s="48"/>
      <c r="Y749" s="48"/>
      <c r="Z749" s="48"/>
      <c r="AA749" s="48"/>
      <c r="AB749" s="48"/>
      <c r="AC749" s="48"/>
      <c r="AD749" s="48"/>
      <c r="AE749" s="48"/>
      <c r="AF749" s="48"/>
      <c r="AG749" s="48"/>
      <c r="AH749" s="48"/>
      <c r="AI749" s="48"/>
      <c r="AJ749" s="48"/>
      <c r="AK749" s="48"/>
      <c r="AL749" s="48"/>
      <c r="AM749" s="48"/>
      <c r="AN749" s="48"/>
      <c r="AO749" s="48"/>
      <c r="AP749" s="48"/>
      <c r="AQ749" s="48"/>
      <c r="AR749" s="48"/>
      <c r="AS749" s="48"/>
      <c r="AT749" s="48"/>
      <c r="AU749" s="48"/>
      <c r="AV749" s="48"/>
      <c r="AW749" s="48"/>
      <c r="AX749" s="48"/>
      <c r="AY749" s="48"/>
      <c r="AZ749" s="48"/>
      <c r="BA749" s="48"/>
      <c r="BB749" s="48"/>
      <c r="BC749" s="48"/>
      <c r="BD749" s="48"/>
      <c r="BE749" s="48"/>
      <c r="BF749" s="48"/>
      <c r="BG749" s="48"/>
      <c r="BH749" s="48"/>
      <c r="BI749" s="48"/>
      <c r="BJ749" s="48"/>
      <c r="BK749" s="48"/>
      <c r="BL749" s="48"/>
      <c r="BM749" s="48"/>
      <c r="BN749" s="48"/>
      <c r="BO749" s="48"/>
      <c r="BP749" s="48"/>
      <c r="BQ749" s="48"/>
      <c r="BR749" s="48"/>
      <c r="BS749" s="48"/>
      <c r="BT749" s="48"/>
      <c r="BU749" s="48"/>
      <c r="BV749" s="48"/>
      <c r="BW749" s="48"/>
      <c r="BX749" s="48"/>
      <c r="BY749" s="48"/>
      <c r="BZ749" s="48"/>
      <c r="CA749" s="48"/>
      <c r="CB749" s="48"/>
      <c r="CC749" s="48"/>
      <c r="CD749" s="48"/>
      <c r="CE749" s="48"/>
      <c r="CF749" s="48"/>
      <c r="CG749" s="48"/>
      <c r="CH749" s="48"/>
    </row>
    <row r="750" spans="5:86" s="46" customFormat="1" x14ac:dyDescent="0.55000000000000004">
      <c r="E750" s="48"/>
      <c r="F750" s="48"/>
      <c r="G750" s="48"/>
      <c r="H750" s="48"/>
      <c r="I750" s="48"/>
      <c r="L750" s="166"/>
      <c r="M750" s="48"/>
      <c r="N750" s="48"/>
      <c r="O750" s="48"/>
      <c r="P750" s="48"/>
      <c r="Q750" s="48"/>
      <c r="R750" s="48"/>
      <c r="S750" s="48"/>
      <c r="T750" s="48"/>
      <c r="U750" s="48"/>
      <c r="V750" s="48"/>
      <c r="W750" s="48"/>
      <c r="X750" s="48"/>
      <c r="Y750" s="48"/>
      <c r="Z750" s="48"/>
      <c r="AA750" s="48"/>
      <c r="AB750" s="48"/>
      <c r="AC750" s="48"/>
      <c r="AD750" s="48"/>
      <c r="AE750" s="48"/>
      <c r="AF750" s="48"/>
      <c r="AG750" s="48"/>
      <c r="AH750" s="48"/>
      <c r="AI750" s="48"/>
      <c r="AJ750" s="48"/>
      <c r="AK750" s="48"/>
      <c r="AL750" s="48"/>
      <c r="AM750" s="48"/>
      <c r="AN750" s="48"/>
      <c r="AO750" s="48"/>
      <c r="AP750" s="48"/>
      <c r="AQ750" s="48"/>
      <c r="AR750" s="48"/>
      <c r="AS750" s="48"/>
      <c r="AT750" s="48"/>
      <c r="AU750" s="48"/>
      <c r="AV750" s="48"/>
      <c r="AW750" s="48"/>
      <c r="AX750" s="48"/>
      <c r="AY750" s="48"/>
      <c r="AZ750" s="48"/>
      <c r="BA750" s="48"/>
      <c r="BB750" s="48"/>
      <c r="BC750" s="48"/>
      <c r="BD750" s="48"/>
      <c r="BE750" s="48"/>
      <c r="BF750" s="48"/>
      <c r="BG750" s="48"/>
      <c r="BH750" s="48"/>
      <c r="BI750" s="48"/>
      <c r="BJ750" s="48"/>
      <c r="BK750" s="48"/>
      <c r="BL750" s="48"/>
      <c r="BM750" s="48"/>
      <c r="BN750" s="48"/>
      <c r="BO750" s="48"/>
      <c r="BP750" s="48"/>
      <c r="BQ750" s="48"/>
      <c r="BR750" s="48"/>
      <c r="BS750" s="48"/>
      <c r="BT750" s="48"/>
      <c r="BU750" s="48"/>
      <c r="BV750" s="48"/>
      <c r="BW750" s="48"/>
      <c r="BX750" s="48"/>
      <c r="BY750" s="48"/>
      <c r="BZ750" s="48"/>
      <c r="CA750" s="48"/>
      <c r="CB750" s="48"/>
      <c r="CC750" s="48"/>
      <c r="CD750" s="48"/>
      <c r="CE750" s="48"/>
      <c r="CF750" s="48"/>
      <c r="CG750" s="48"/>
      <c r="CH750" s="48"/>
    </row>
    <row r="751" spans="5:86" s="46" customFormat="1" x14ac:dyDescent="0.55000000000000004">
      <c r="E751" s="48"/>
      <c r="F751" s="48"/>
      <c r="G751" s="48"/>
      <c r="H751" s="48"/>
      <c r="I751" s="48"/>
      <c r="L751" s="166"/>
      <c r="M751" s="48"/>
      <c r="N751" s="48"/>
      <c r="O751" s="48"/>
      <c r="P751" s="48"/>
      <c r="Q751" s="48"/>
      <c r="R751" s="48"/>
      <c r="S751" s="48"/>
      <c r="T751" s="48"/>
      <c r="U751" s="48"/>
      <c r="V751" s="48"/>
      <c r="W751" s="48"/>
      <c r="X751" s="48"/>
      <c r="Y751" s="48"/>
      <c r="Z751" s="48"/>
      <c r="AA751" s="48"/>
      <c r="AB751" s="48"/>
      <c r="AC751" s="48"/>
      <c r="AD751" s="48"/>
      <c r="AE751" s="48"/>
      <c r="AF751" s="48"/>
      <c r="AG751" s="48"/>
      <c r="AH751" s="48"/>
      <c r="AI751" s="48"/>
      <c r="AJ751" s="48"/>
      <c r="AK751" s="48"/>
      <c r="AL751" s="48"/>
      <c r="AM751" s="48"/>
      <c r="AN751" s="48"/>
      <c r="AO751" s="48"/>
      <c r="AP751" s="48"/>
      <c r="AQ751" s="48"/>
      <c r="AR751" s="48"/>
      <c r="AS751" s="48"/>
      <c r="AT751" s="48"/>
      <c r="AU751" s="48"/>
      <c r="AV751" s="48"/>
      <c r="AW751" s="48"/>
      <c r="AX751" s="48"/>
      <c r="AY751" s="48"/>
      <c r="AZ751" s="48"/>
      <c r="BA751" s="48"/>
      <c r="BB751" s="48"/>
      <c r="BC751" s="48"/>
      <c r="BD751" s="48"/>
      <c r="BE751" s="48"/>
      <c r="BF751" s="48"/>
      <c r="BG751" s="48"/>
      <c r="BH751" s="48"/>
      <c r="BI751" s="48"/>
      <c r="BJ751" s="48"/>
      <c r="BK751" s="48"/>
      <c r="BL751" s="48"/>
      <c r="BM751" s="48"/>
      <c r="BN751" s="48"/>
      <c r="BO751" s="48"/>
      <c r="BP751" s="48"/>
      <c r="BQ751" s="48"/>
      <c r="BR751" s="48"/>
      <c r="BS751" s="48"/>
      <c r="BT751" s="48"/>
      <c r="BU751" s="48"/>
      <c r="BV751" s="48"/>
      <c r="BW751" s="48"/>
      <c r="BX751" s="48"/>
      <c r="BY751" s="48"/>
      <c r="BZ751" s="48"/>
      <c r="CA751" s="48"/>
      <c r="CB751" s="48"/>
      <c r="CC751" s="48"/>
      <c r="CD751" s="48"/>
      <c r="CE751" s="48"/>
      <c r="CF751" s="48"/>
      <c r="CG751" s="48"/>
      <c r="CH751" s="48"/>
    </row>
    <row r="752" spans="5:86" s="46" customFormat="1" x14ac:dyDescent="0.55000000000000004">
      <c r="E752" s="48"/>
      <c r="F752" s="48"/>
      <c r="G752" s="48"/>
      <c r="H752" s="48"/>
      <c r="I752" s="48"/>
      <c r="L752" s="166"/>
      <c r="M752" s="48"/>
      <c r="N752" s="48"/>
      <c r="O752" s="48"/>
      <c r="P752" s="48"/>
      <c r="Q752" s="48"/>
      <c r="R752" s="48"/>
      <c r="S752" s="48"/>
      <c r="T752" s="48"/>
      <c r="U752" s="48"/>
      <c r="V752" s="48"/>
      <c r="W752" s="48"/>
      <c r="X752" s="48"/>
      <c r="Y752" s="48"/>
      <c r="Z752" s="48"/>
      <c r="AA752" s="48"/>
      <c r="AB752" s="48"/>
      <c r="AC752" s="48"/>
      <c r="AD752" s="48"/>
      <c r="AE752" s="48"/>
      <c r="AF752" s="48"/>
      <c r="AG752" s="48"/>
      <c r="AH752" s="48"/>
      <c r="AI752" s="48"/>
      <c r="AJ752" s="48"/>
      <c r="AK752" s="48"/>
      <c r="AL752" s="48"/>
      <c r="AM752" s="48"/>
      <c r="AN752" s="48"/>
      <c r="AO752" s="48"/>
      <c r="AP752" s="48"/>
      <c r="AQ752" s="48"/>
      <c r="AR752" s="48"/>
      <c r="AS752" s="48"/>
      <c r="AT752" s="48"/>
      <c r="AU752" s="48"/>
      <c r="AV752" s="48"/>
      <c r="AW752" s="48"/>
      <c r="AX752" s="48"/>
      <c r="AY752" s="48"/>
      <c r="AZ752" s="48"/>
      <c r="BA752" s="48"/>
      <c r="BB752" s="48"/>
      <c r="BC752" s="48"/>
      <c r="BD752" s="48"/>
      <c r="BE752" s="48"/>
      <c r="BF752" s="48"/>
      <c r="BG752" s="48"/>
      <c r="BH752" s="48"/>
      <c r="BI752" s="48"/>
      <c r="BJ752" s="48"/>
      <c r="BK752" s="48"/>
      <c r="BL752" s="48"/>
      <c r="BM752" s="48"/>
      <c r="BN752" s="48"/>
      <c r="BO752" s="48"/>
      <c r="BP752" s="48"/>
      <c r="BQ752" s="48"/>
      <c r="BR752" s="48"/>
      <c r="BS752" s="48"/>
      <c r="BT752" s="48"/>
      <c r="BU752" s="48"/>
      <c r="BV752" s="48"/>
      <c r="BW752" s="48"/>
      <c r="BX752" s="48"/>
      <c r="BY752" s="48"/>
      <c r="BZ752" s="48"/>
      <c r="CA752" s="48"/>
      <c r="CB752" s="48"/>
      <c r="CC752" s="48"/>
      <c r="CD752" s="48"/>
      <c r="CE752" s="48"/>
      <c r="CF752" s="48"/>
      <c r="CG752" s="48"/>
      <c r="CH752" s="48"/>
    </row>
    <row r="753" spans="5:86" s="46" customFormat="1" x14ac:dyDescent="0.55000000000000004">
      <c r="E753" s="48"/>
      <c r="F753" s="48"/>
      <c r="G753" s="48"/>
      <c r="H753" s="48"/>
      <c r="I753" s="48"/>
      <c r="L753" s="166"/>
      <c r="M753" s="48"/>
      <c r="N753" s="48"/>
      <c r="O753" s="48"/>
      <c r="P753" s="48"/>
      <c r="Q753" s="48"/>
      <c r="R753" s="48"/>
      <c r="S753" s="48"/>
      <c r="T753" s="48"/>
      <c r="U753" s="48"/>
      <c r="V753" s="48"/>
      <c r="W753" s="48"/>
      <c r="X753" s="48"/>
      <c r="Y753" s="48"/>
      <c r="Z753" s="48"/>
      <c r="AA753" s="48"/>
      <c r="AB753" s="48"/>
      <c r="AC753" s="48"/>
      <c r="AD753" s="48"/>
      <c r="AE753" s="48"/>
      <c r="AF753" s="48"/>
      <c r="AG753" s="48"/>
      <c r="AH753" s="48"/>
      <c r="AI753" s="48"/>
      <c r="AJ753" s="48"/>
      <c r="AK753" s="48"/>
      <c r="AL753" s="48"/>
      <c r="AM753" s="48"/>
      <c r="AN753" s="48"/>
      <c r="AO753" s="48"/>
      <c r="AP753" s="48"/>
      <c r="AQ753" s="48"/>
      <c r="AR753" s="48"/>
      <c r="AS753" s="48"/>
      <c r="AT753" s="48"/>
      <c r="AU753" s="48"/>
      <c r="AV753" s="48"/>
      <c r="AW753" s="48"/>
      <c r="AX753" s="48"/>
      <c r="AY753" s="48"/>
      <c r="AZ753" s="48"/>
      <c r="BA753" s="48"/>
      <c r="BB753" s="48"/>
      <c r="BC753" s="48"/>
      <c r="BD753" s="48"/>
      <c r="BE753" s="48"/>
      <c r="BF753" s="48"/>
      <c r="BG753" s="48"/>
      <c r="BH753" s="48"/>
      <c r="BI753" s="48"/>
      <c r="BJ753" s="48"/>
      <c r="BK753" s="48"/>
      <c r="BL753" s="48"/>
      <c r="BM753" s="48"/>
      <c r="BN753" s="48"/>
      <c r="BO753" s="48"/>
      <c r="BP753" s="48"/>
      <c r="BQ753" s="48"/>
      <c r="BR753" s="48"/>
      <c r="BS753" s="48"/>
      <c r="BT753" s="48"/>
      <c r="BU753" s="48"/>
      <c r="BV753" s="48"/>
      <c r="BW753" s="48"/>
      <c r="BX753" s="48"/>
      <c r="BY753" s="48"/>
      <c r="BZ753" s="48"/>
      <c r="CA753" s="48"/>
      <c r="CB753" s="48"/>
      <c r="CC753" s="48"/>
      <c r="CD753" s="48"/>
      <c r="CE753" s="48"/>
      <c r="CF753" s="48"/>
      <c r="CG753" s="48"/>
      <c r="CH753" s="48"/>
    </row>
    <row r="754" spans="5:86" s="46" customFormat="1" x14ac:dyDescent="0.55000000000000004">
      <c r="E754" s="48"/>
      <c r="F754" s="48"/>
      <c r="G754" s="48"/>
      <c r="H754" s="48"/>
      <c r="I754" s="48"/>
      <c r="L754" s="166"/>
      <c r="M754" s="48"/>
      <c r="N754" s="48"/>
      <c r="O754" s="48"/>
      <c r="P754" s="48"/>
      <c r="Q754" s="48"/>
      <c r="R754" s="48"/>
      <c r="S754" s="48"/>
      <c r="T754" s="48"/>
      <c r="U754" s="48"/>
      <c r="V754" s="48"/>
      <c r="W754" s="48"/>
      <c r="X754" s="48"/>
      <c r="Y754" s="48"/>
      <c r="Z754" s="48"/>
      <c r="AA754" s="48"/>
      <c r="AB754" s="48"/>
      <c r="AC754" s="48"/>
      <c r="AD754" s="48"/>
      <c r="AE754" s="48"/>
      <c r="AF754" s="48"/>
      <c r="AG754" s="48"/>
      <c r="AH754" s="48"/>
      <c r="AI754" s="48"/>
      <c r="AJ754" s="48"/>
      <c r="AK754" s="48"/>
      <c r="AL754" s="48"/>
      <c r="AM754" s="48"/>
      <c r="AN754" s="48"/>
      <c r="AO754" s="48"/>
      <c r="AP754" s="48"/>
      <c r="AQ754" s="48"/>
      <c r="AR754" s="48"/>
      <c r="AS754" s="48"/>
      <c r="AT754" s="48"/>
      <c r="AU754" s="48"/>
      <c r="AV754" s="48"/>
      <c r="AW754" s="48"/>
      <c r="AX754" s="48"/>
      <c r="AY754" s="48"/>
      <c r="AZ754" s="48"/>
      <c r="BA754" s="48"/>
      <c r="BB754" s="48"/>
      <c r="BC754" s="48"/>
      <c r="BD754" s="48"/>
      <c r="BE754" s="48"/>
      <c r="BF754" s="48"/>
      <c r="BG754" s="48"/>
      <c r="BH754" s="48"/>
      <c r="BI754" s="48"/>
      <c r="BJ754" s="48"/>
      <c r="BK754" s="48"/>
      <c r="BL754" s="48"/>
      <c r="BM754" s="48"/>
      <c r="BN754" s="48"/>
      <c r="BO754" s="48"/>
      <c r="BP754" s="48"/>
      <c r="BQ754" s="48"/>
      <c r="BR754" s="48"/>
      <c r="BS754" s="48"/>
      <c r="BT754" s="48"/>
      <c r="BU754" s="48"/>
      <c r="BV754" s="48"/>
      <c r="BW754" s="48"/>
      <c r="BX754" s="48"/>
      <c r="BY754" s="48"/>
      <c r="BZ754" s="48"/>
      <c r="CA754" s="48"/>
      <c r="CB754" s="48"/>
      <c r="CC754" s="48"/>
      <c r="CD754" s="48"/>
      <c r="CE754" s="48"/>
      <c r="CF754" s="48"/>
      <c r="CG754" s="48"/>
      <c r="CH754" s="48"/>
    </row>
    <row r="755" spans="5:86" s="46" customFormat="1" x14ac:dyDescent="0.55000000000000004">
      <c r="E755" s="48"/>
      <c r="F755" s="48"/>
      <c r="G755" s="48"/>
      <c r="H755" s="48"/>
      <c r="I755" s="48"/>
      <c r="L755" s="166"/>
      <c r="M755" s="48"/>
      <c r="N755" s="48"/>
      <c r="O755" s="48"/>
      <c r="P755" s="48"/>
      <c r="Q755" s="48"/>
      <c r="R755" s="48"/>
      <c r="S755" s="48"/>
      <c r="T755" s="48"/>
      <c r="U755" s="48"/>
      <c r="V755" s="48"/>
      <c r="W755" s="48"/>
      <c r="X755" s="48"/>
      <c r="Y755" s="48"/>
      <c r="Z755" s="48"/>
      <c r="AA755" s="48"/>
      <c r="AB755" s="48"/>
      <c r="AC755" s="48"/>
      <c r="AD755" s="48"/>
      <c r="AE755" s="48"/>
      <c r="AF755" s="48"/>
      <c r="AG755" s="48"/>
      <c r="AH755" s="48"/>
      <c r="AI755" s="48"/>
      <c r="AJ755" s="48"/>
      <c r="AK755" s="48"/>
      <c r="AL755" s="48"/>
      <c r="AM755" s="48"/>
      <c r="AN755" s="48"/>
      <c r="AO755" s="48"/>
      <c r="AP755" s="48"/>
      <c r="AQ755" s="48"/>
      <c r="AR755" s="48"/>
      <c r="AS755" s="48"/>
      <c r="AT755" s="48"/>
      <c r="AU755" s="48"/>
      <c r="AV755" s="48"/>
      <c r="AW755" s="48"/>
      <c r="AX755" s="48"/>
      <c r="AY755" s="48"/>
      <c r="AZ755" s="48"/>
      <c r="BA755" s="48"/>
      <c r="BB755" s="48"/>
      <c r="BC755" s="48"/>
      <c r="BD755" s="48"/>
      <c r="BE755" s="48"/>
      <c r="BF755" s="48"/>
      <c r="BG755" s="48"/>
      <c r="BH755" s="48"/>
      <c r="BI755" s="48"/>
      <c r="BJ755" s="48"/>
      <c r="BK755" s="48"/>
      <c r="BL755" s="48"/>
      <c r="BM755" s="48"/>
      <c r="BN755" s="48"/>
      <c r="BO755" s="48"/>
      <c r="BP755" s="48"/>
      <c r="BQ755" s="48"/>
      <c r="BR755" s="48"/>
      <c r="BS755" s="48"/>
      <c r="BT755" s="48"/>
      <c r="BU755" s="48"/>
      <c r="BV755" s="48"/>
      <c r="BW755" s="48"/>
      <c r="BX755" s="48"/>
      <c r="BY755" s="48"/>
      <c r="BZ755" s="48"/>
      <c r="CA755" s="48"/>
      <c r="CB755" s="48"/>
      <c r="CC755" s="48"/>
      <c r="CD755" s="48"/>
      <c r="CE755" s="48"/>
      <c r="CF755" s="48"/>
      <c r="CG755" s="48"/>
      <c r="CH755" s="48"/>
    </row>
    <row r="756" spans="5:86" s="46" customFormat="1" x14ac:dyDescent="0.55000000000000004">
      <c r="E756" s="48"/>
      <c r="F756" s="48"/>
      <c r="G756" s="48"/>
      <c r="H756" s="48"/>
      <c r="I756" s="48"/>
      <c r="L756" s="166"/>
      <c r="M756" s="48"/>
      <c r="N756" s="48"/>
      <c r="O756" s="48"/>
      <c r="P756" s="48"/>
      <c r="Q756" s="48"/>
      <c r="R756" s="48"/>
      <c r="S756" s="48"/>
      <c r="T756" s="48"/>
      <c r="U756" s="48"/>
      <c r="V756" s="48"/>
      <c r="W756" s="48"/>
      <c r="X756" s="48"/>
      <c r="Y756" s="48"/>
      <c r="Z756" s="48"/>
      <c r="AA756" s="48"/>
      <c r="AB756" s="48"/>
      <c r="AC756" s="48"/>
      <c r="AD756" s="48"/>
      <c r="AE756" s="48"/>
      <c r="AF756" s="48"/>
      <c r="AG756" s="48"/>
      <c r="AH756" s="48"/>
      <c r="AI756" s="48"/>
      <c r="AJ756" s="48"/>
      <c r="AK756" s="48"/>
      <c r="AL756" s="48"/>
      <c r="AM756" s="48"/>
      <c r="AN756" s="48"/>
      <c r="AO756" s="48"/>
      <c r="AP756" s="48"/>
      <c r="AQ756" s="48"/>
      <c r="AR756" s="48"/>
      <c r="AS756" s="48"/>
      <c r="AT756" s="48"/>
      <c r="AU756" s="48"/>
      <c r="AV756" s="48"/>
      <c r="AW756" s="48"/>
      <c r="AX756" s="48"/>
      <c r="AY756" s="48"/>
      <c r="AZ756" s="48"/>
      <c r="BA756" s="48"/>
      <c r="BB756" s="48"/>
      <c r="BC756" s="48"/>
      <c r="BD756" s="48"/>
      <c r="BE756" s="48"/>
      <c r="BF756" s="48"/>
      <c r="BG756" s="48"/>
      <c r="BH756" s="48"/>
      <c r="BI756" s="48"/>
      <c r="BJ756" s="48"/>
      <c r="BK756" s="48"/>
      <c r="BL756" s="48"/>
      <c r="BM756" s="48"/>
      <c r="BN756" s="48"/>
      <c r="BO756" s="48"/>
      <c r="BP756" s="48"/>
      <c r="BQ756" s="48"/>
      <c r="BR756" s="48"/>
      <c r="BS756" s="48"/>
      <c r="BT756" s="48"/>
      <c r="BU756" s="48"/>
      <c r="BV756" s="48"/>
      <c r="BW756" s="48"/>
      <c r="BX756" s="48"/>
      <c r="BY756" s="48"/>
      <c r="BZ756" s="48"/>
      <c r="CA756" s="48"/>
      <c r="CB756" s="48"/>
      <c r="CC756" s="48"/>
      <c r="CD756" s="48"/>
      <c r="CE756" s="48"/>
      <c r="CF756" s="48"/>
      <c r="CG756" s="48"/>
      <c r="CH756" s="48"/>
    </row>
    <row r="757" spans="5:86" s="46" customFormat="1" x14ac:dyDescent="0.55000000000000004">
      <c r="E757" s="48"/>
      <c r="F757" s="48"/>
      <c r="G757" s="48"/>
      <c r="H757" s="48"/>
      <c r="I757" s="48"/>
      <c r="L757" s="166"/>
      <c r="M757" s="48"/>
      <c r="N757" s="48"/>
      <c r="O757" s="48"/>
      <c r="P757" s="48"/>
      <c r="Q757" s="48"/>
      <c r="R757" s="48"/>
      <c r="S757" s="48"/>
      <c r="T757" s="48"/>
      <c r="U757" s="48"/>
      <c r="V757" s="48"/>
      <c r="W757" s="48"/>
      <c r="X757" s="48"/>
      <c r="Y757" s="48"/>
      <c r="Z757" s="48"/>
      <c r="AA757" s="48"/>
      <c r="AB757" s="48"/>
      <c r="AC757" s="48"/>
      <c r="AD757" s="48"/>
      <c r="AE757" s="48"/>
      <c r="AF757" s="48"/>
      <c r="AG757" s="48"/>
      <c r="AH757" s="48"/>
      <c r="AI757" s="48"/>
      <c r="AJ757" s="48"/>
      <c r="AK757" s="48"/>
      <c r="AL757" s="48"/>
      <c r="AM757" s="48"/>
      <c r="AN757" s="48"/>
      <c r="AO757" s="48"/>
      <c r="AP757" s="48"/>
      <c r="AQ757" s="48"/>
      <c r="AR757" s="48"/>
      <c r="AS757" s="48"/>
      <c r="AT757" s="48"/>
      <c r="AU757" s="48"/>
      <c r="AV757" s="48"/>
      <c r="AW757" s="48"/>
      <c r="AX757" s="48"/>
      <c r="AY757" s="48"/>
      <c r="AZ757" s="48"/>
      <c r="BA757" s="48"/>
      <c r="BB757" s="48"/>
      <c r="BC757" s="48"/>
      <c r="BD757" s="48"/>
      <c r="BE757" s="48"/>
      <c r="BF757" s="48"/>
      <c r="BG757" s="48"/>
      <c r="BH757" s="48"/>
      <c r="BI757" s="48"/>
      <c r="BJ757" s="48"/>
      <c r="BK757" s="48"/>
      <c r="BL757" s="48"/>
      <c r="BM757" s="48"/>
      <c r="BN757" s="48"/>
      <c r="BO757" s="48"/>
      <c r="BP757" s="48"/>
      <c r="BQ757" s="48"/>
      <c r="BR757" s="48"/>
      <c r="BS757" s="48"/>
      <c r="BT757" s="48"/>
      <c r="BU757" s="48"/>
      <c r="BV757" s="48"/>
      <c r="BW757" s="48"/>
      <c r="BX757" s="48"/>
      <c r="BY757" s="48"/>
      <c r="BZ757" s="48"/>
      <c r="CA757" s="48"/>
      <c r="CB757" s="48"/>
      <c r="CC757" s="48"/>
      <c r="CD757" s="48"/>
      <c r="CE757" s="48"/>
      <c r="CF757" s="48"/>
      <c r="CG757" s="48"/>
      <c r="CH757" s="48"/>
    </row>
    <row r="758" spans="5:86" s="46" customFormat="1" x14ac:dyDescent="0.55000000000000004">
      <c r="E758" s="48"/>
      <c r="F758" s="48"/>
      <c r="G758" s="48"/>
      <c r="H758" s="48"/>
      <c r="I758" s="48"/>
      <c r="L758" s="166"/>
      <c r="M758" s="48"/>
      <c r="N758" s="48"/>
      <c r="O758" s="48"/>
      <c r="P758" s="48"/>
      <c r="Q758" s="48"/>
      <c r="R758" s="48"/>
      <c r="S758" s="48"/>
      <c r="T758" s="48"/>
      <c r="U758" s="48"/>
      <c r="V758" s="48"/>
      <c r="W758" s="48"/>
      <c r="X758" s="48"/>
      <c r="Y758" s="48"/>
      <c r="Z758" s="48"/>
      <c r="AA758" s="48"/>
      <c r="AB758" s="48"/>
      <c r="AC758" s="48"/>
      <c r="AD758" s="48"/>
      <c r="AE758" s="48"/>
      <c r="AF758" s="48"/>
      <c r="AG758" s="48"/>
      <c r="AH758" s="48"/>
      <c r="AI758" s="48"/>
      <c r="AJ758" s="48"/>
      <c r="AK758" s="48"/>
      <c r="AL758" s="48"/>
      <c r="AM758" s="48"/>
      <c r="AN758" s="48"/>
      <c r="AO758" s="48"/>
      <c r="AP758" s="48"/>
      <c r="AQ758" s="48"/>
      <c r="AR758" s="48"/>
      <c r="AS758" s="48"/>
      <c r="AT758" s="48"/>
      <c r="AU758" s="48"/>
      <c r="AV758" s="48"/>
      <c r="AW758" s="48"/>
      <c r="AX758" s="48"/>
      <c r="AY758" s="48"/>
      <c r="AZ758" s="48"/>
      <c r="BA758" s="48"/>
      <c r="BB758" s="48"/>
      <c r="BC758" s="48"/>
      <c r="BD758" s="48"/>
      <c r="BE758" s="48"/>
      <c r="BF758" s="48"/>
      <c r="BG758" s="48"/>
      <c r="BH758" s="48"/>
      <c r="BI758" s="48"/>
      <c r="BJ758" s="48"/>
      <c r="BK758" s="48"/>
      <c r="BL758" s="48"/>
      <c r="BM758" s="48"/>
      <c r="BN758" s="48"/>
      <c r="BO758" s="48"/>
      <c r="BP758" s="48"/>
      <c r="BQ758" s="48"/>
      <c r="BR758" s="48"/>
      <c r="BS758" s="48"/>
      <c r="BT758" s="48"/>
      <c r="BU758" s="48"/>
      <c r="BV758" s="48"/>
      <c r="BW758" s="48"/>
      <c r="BX758" s="48"/>
      <c r="BY758" s="48"/>
      <c r="BZ758" s="48"/>
      <c r="CA758" s="48"/>
      <c r="CB758" s="48"/>
      <c r="CC758" s="48"/>
      <c r="CD758" s="48"/>
      <c r="CE758" s="48"/>
      <c r="CF758" s="48"/>
      <c r="CG758" s="48"/>
      <c r="CH758" s="48"/>
    </row>
    <row r="759" spans="5:86" s="46" customFormat="1" x14ac:dyDescent="0.55000000000000004">
      <c r="E759" s="48"/>
      <c r="F759" s="48"/>
      <c r="G759" s="48"/>
      <c r="H759" s="48"/>
      <c r="I759" s="48"/>
      <c r="L759" s="166"/>
      <c r="M759" s="48"/>
      <c r="N759" s="48"/>
      <c r="O759" s="48"/>
      <c r="P759" s="48"/>
      <c r="Q759" s="48"/>
      <c r="R759" s="48"/>
      <c r="S759" s="48"/>
      <c r="T759" s="48"/>
      <c r="U759" s="48"/>
      <c r="V759" s="48"/>
      <c r="W759" s="48"/>
      <c r="X759" s="48"/>
      <c r="Y759" s="48"/>
      <c r="Z759" s="48"/>
      <c r="AA759" s="48"/>
      <c r="AB759" s="48"/>
      <c r="AC759" s="48"/>
      <c r="AD759" s="48"/>
      <c r="AE759" s="48"/>
      <c r="AF759" s="48"/>
      <c r="AG759" s="48"/>
      <c r="AH759" s="48"/>
      <c r="AI759" s="48"/>
      <c r="AJ759" s="48"/>
      <c r="AK759" s="48"/>
      <c r="AL759" s="48"/>
      <c r="AM759" s="48"/>
      <c r="AN759" s="48"/>
      <c r="AO759" s="48"/>
      <c r="AP759" s="48"/>
      <c r="AQ759" s="48"/>
      <c r="AR759" s="48"/>
      <c r="AS759" s="48"/>
      <c r="AT759" s="48"/>
      <c r="AU759" s="48"/>
      <c r="AV759" s="48"/>
      <c r="AW759" s="48"/>
      <c r="AX759" s="48"/>
      <c r="AY759" s="48"/>
      <c r="AZ759" s="48"/>
      <c r="BA759" s="48"/>
      <c r="BB759" s="48"/>
      <c r="BC759" s="48"/>
      <c r="BD759" s="48"/>
      <c r="BE759" s="48"/>
      <c r="BF759" s="48"/>
      <c r="BG759" s="48"/>
      <c r="BH759" s="48"/>
      <c r="BI759" s="48"/>
      <c r="BJ759" s="48"/>
      <c r="BK759" s="48"/>
      <c r="BL759" s="48"/>
      <c r="BM759" s="48"/>
      <c r="BN759" s="48"/>
      <c r="BO759" s="48"/>
      <c r="BP759" s="48"/>
      <c r="BQ759" s="48"/>
      <c r="BR759" s="48"/>
      <c r="BS759" s="48"/>
      <c r="BT759" s="48"/>
      <c r="BU759" s="48"/>
      <c r="BV759" s="48"/>
      <c r="BW759" s="48"/>
      <c r="BX759" s="48"/>
      <c r="BY759" s="48"/>
      <c r="BZ759" s="48"/>
      <c r="CA759" s="48"/>
      <c r="CB759" s="48"/>
      <c r="CC759" s="48"/>
      <c r="CD759" s="48"/>
      <c r="CE759" s="48"/>
      <c r="CF759" s="48"/>
      <c r="CG759" s="48"/>
      <c r="CH759" s="48"/>
    </row>
    <row r="760" spans="5:86" s="46" customFormat="1" x14ac:dyDescent="0.55000000000000004">
      <c r="E760" s="48"/>
      <c r="F760" s="48"/>
      <c r="G760" s="48"/>
      <c r="H760" s="48"/>
      <c r="I760" s="48"/>
      <c r="L760" s="166"/>
      <c r="M760" s="48"/>
      <c r="N760" s="48"/>
      <c r="O760" s="48"/>
      <c r="P760" s="48"/>
      <c r="Q760" s="48"/>
      <c r="R760" s="48"/>
      <c r="S760" s="48"/>
      <c r="T760" s="48"/>
      <c r="U760" s="48"/>
      <c r="V760" s="48"/>
      <c r="W760" s="48"/>
      <c r="X760" s="48"/>
      <c r="Y760" s="48"/>
      <c r="Z760" s="48"/>
      <c r="AA760" s="48"/>
      <c r="AB760" s="48"/>
      <c r="AC760" s="48"/>
      <c r="AD760" s="48"/>
      <c r="AE760" s="48"/>
      <c r="AF760" s="48"/>
      <c r="AG760" s="48"/>
      <c r="AH760" s="48"/>
      <c r="AI760" s="48"/>
      <c r="AJ760" s="48"/>
      <c r="AK760" s="48"/>
      <c r="AL760" s="48"/>
      <c r="AM760" s="48"/>
      <c r="AN760" s="48"/>
      <c r="AO760" s="48"/>
      <c r="AP760" s="48"/>
      <c r="AQ760" s="48"/>
      <c r="AR760" s="48"/>
      <c r="AS760" s="48"/>
      <c r="AT760" s="48"/>
      <c r="AU760" s="48"/>
      <c r="AV760" s="48"/>
      <c r="AW760" s="48"/>
      <c r="AX760" s="48"/>
      <c r="AY760" s="48"/>
      <c r="AZ760" s="48"/>
      <c r="BA760" s="48"/>
      <c r="BB760" s="48"/>
      <c r="BC760" s="48"/>
      <c r="BD760" s="48"/>
      <c r="BE760" s="48"/>
      <c r="BF760" s="48"/>
      <c r="BG760" s="48"/>
      <c r="BH760" s="48"/>
      <c r="BI760" s="48"/>
      <c r="BJ760" s="48"/>
      <c r="BK760" s="48"/>
      <c r="BL760" s="48"/>
      <c r="BM760" s="48"/>
      <c r="BN760" s="48"/>
      <c r="BO760" s="48"/>
      <c r="BP760" s="48"/>
      <c r="BQ760" s="48"/>
      <c r="BR760" s="48"/>
      <c r="BS760" s="48"/>
      <c r="BT760" s="48"/>
      <c r="BU760" s="48"/>
      <c r="BV760" s="48"/>
      <c r="BW760" s="48"/>
      <c r="BX760" s="48"/>
      <c r="BY760" s="48"/>
      <c r="BZ760" s="48"/>
      <c r="CA760" s="48"/>
      <c r="CB760" s="48"/>
      <c r="CC760" s="48"/>
      <c r="CD760" s="48"/>
      <c r="CE760" s="48"/>
      <c r="CF760" s="48"/>
      <c r="CG760" s="48"/>
      <c r="CH760" s="48"/>
    </row>
    <row r="761" spans="5:86" s="46" customFormat="1" x14ac:dyDescent="0.55000000000000004">
      <c r="E761" s="48"/>
      <c r="F761" s="48"/>
      <c r="G761" s="48"/>
      <c r="H761" s="48"/>
      <c r="I761" s="48"/>
      <c r="L761" s="166"/>
      <c r="M761" s="48"/>
      <c r="N761" s="48"/>
      <c r="O761" s="48"/>
      <c r="P761" s="48"/>
      <c r="Q761" s="48"/>
      <c r="R761" s="48"/>
      <c r="S761" s="48"/>
      <c r="T761" s="48"/>
      <c r="U761" s="48"/>
      <c r="V761" s="48"/>
      <c r="W761" s="48"/>
      <c r="X761" s="48"/>
      <c r="Y761" s="48"/>
      <c r="Z761" s="48"/>
      <c r="AA761" s="48"/>
      <c r="AB761" s="48"/>
      <c r="AC761" s="48"/>
      <c r="AD761" s="48"/>
      <c r="AE761" s="48"/>
      <c r="AF761" s="48"/>
      <c r="AG761" s="48"/>
      <c r="AH761" s="48"/>
      <c r="AI761" s="48"/>
      <c r="AJ761" s="48"/>
      <c r="AK761" s="48"/>
      <c r="AL761" s="48"/>
      <c r="AM761" s="48"/>
      <c r="AN761" s="48"/>
      <c r="AO761" s="48"/>
      <c r="AP761" s="48"/>
      <c r="AQ761" s="48"/>
      <c r="AR761" s="48"/>
      <c r="AS761" s="48"/>
      <c r="AT761" s="48"/>
      <c r="AU761" s="48"/>
      <c r="AV761" s="48"/>
      <c r="AW761" s="48"/>
      <c r="AX761" s="48"/>
      <c r="AY761" s="48"/>
      <c r="AZ761" s="48"/>
      <c r="BA761" s="48"/>
      <c r="BB761" s="48"/>
      <c r="BC761" s="48"/>
      <c r="BD761" s="48"/>
      <c r="BE761" s="48"/>
      <c r="BF761" s="48"/>
      <c r="BG761" s="48"/>
      <c r="BH761" s="48"/>
      <c r="BI761" s="48"/>
      <c r="BJ761" s="48"/>
      <c r="BK761" s="48"/>
      <c r="BL761" s="48"/>
      <c r="BM761" s="48"/>
      <c r="BN761" s="48"/>
      <c r="BO761" s="48"/>
      <c r="BP761" s="48"/>
      <c r="BQ761" s="48"/>
      <c r="BR761" s="48"/>
      <c r="BS761" s="48"/>
      <c r="BT761" s="48"/>
      <c r="BU761" s="48"/>
      <c r="BV761" s="48"/>
      <c r="BW761" s="48"/>
      <c r="BX761" s="48"/>
      <c r="BY761" s="48"/>
      <c r="BZ761" s="48"/>
      <c r="CA761" s="48"/>
      <c r="CB761" s="48"/>
      <c r="CC761" s="48"/>
      <c r="CD761" s="48"/>
      <c r="CE761" s="48"/>
      <c r="CF761" s="48"/>
      <c r="CG761" s="48"/>
      <c r="CH761" s="48"/>
    </row>
    <row r="762" spans="5:86" s="46" customFormat="1" x14ac:dyDescent="0.55000000000000004">
      <c r="E762" s="48"/>
      <c r="F762" s="48"/>
      <c r="G762" s="48"/>
      <c r="H762" s="48"/>
      <c r="I762" s="48"/>
      <c r="L762" s="166"/>
      <c r="M762" s="48"/>
      <c r="N762" s="48"/>
      <c r="O762" s="48"/>
      <c r="P762" s="48"/>
      <c r="Q762" s="48"/>
      <c r="R762" s="48"/>
      <c r="S762" s="48"/>
      <c r="T762" s="48"/>
      <c r="U762" s="48"/>
      <c r="V762" s="48"/>
      <c r="W762" s="48"/>
      <c r="X762" s="48"/>
      <c r="Y762" s="48"/>
      <c r="Z762" s="48"/>
      <c r="AA762" s="48"/>
      <c r="AB762" s="48"/>
      <c r="AC762" s="48"/>
      <c r="AD762" s="48"/>
      <c r="AE762" s="48"/>
      <c r="AF762" s="48"/>
      <c r="AG762" s="48"/>
      <c r="AH762" s="48"/>
      <c r="AI762" s="48"/>
      <c r="AJ762" s="48"/>
      <c r="AK762" s="48"/>
      <c r="AL762" s="48"/>
      <c r="AM762" s="48"/>
      <c r="AN762" s="48"/>
      <c r="AO762" s="48"/>
      <c r="AP762" s="48"/>
      <c r="AQ762" s="48"/>
      <c r="AR762" s="48"/>
      <c r="AS762" s="48"/>
      <c r="AT762" s="48"/>
      <c r="AU762" s="48"/>
      <c r="AV762" s="48"/>
      <c r="AW762" s="48"/>
      <c r="AX762" s="48"/>
      <c r="AY762" s="48"/>
      <c r="AZ762" s="48"/>
      <c r="BA762" s="48"/>
      <c r="BB762" s="48"/>
      <c r="BC762" s="48"/>
      <c r="BD762" s="48"/>
      <c r="BE762" s="48"/>
      <c r="BF762" s="48"/>
      <c r="BG762" s="48"/>
      <c r="BH762" s="48"/>
      <c r="BI762" s="48"/>
      <c r="BJ762" s="48"/>
      <c r="BK762" s="48"/>
      <c r="BL762" s="48"/>
      <c r="BM762" s="48"/>
      <c r="BN762" s="48"/>
      <c r="BO762" s="48"/>
      <c r="BP762" s="48"/>
      <c r="BQ762" s="48"/>
      <c r="BR762" s="48"/>
      <c r="BS762" s="48"/>
      <c r="BT762" s="48"/>
      <c r="BU762" s="48"/>
      <c r="BV762" s="48"/>
      <c r="BW762" s="48"/>
      <c r="BX762" s="48"/>
      <c r="BY762" s="48"/>
      <c r="BZ762" s="48"/>
      <c r="CA762" s="48"/>
      <c r="CB762" s="48"/>
      <c r="CC762" s="48"/>
      <c r="CD762" s="48"/>
      <c r="CE762" s="48"/>
      <c r="CF762" s="48"/>
      <c r="CG762" s="48"/>
      <c r="CH762" s="48"/>
    </row>
    <row r="763" spans="5:86" s="46" customFormat="1" x14ac:dyDescent="0.55000000000000004">
      <c r="E763" s="48"/>
      <c r="F763" s="48"/>
      <c r="G763" s="48"/>
      <c r="H763" s="48"/>
      <c r="I763" s="48"/>
      <c r="L763" s="166"/>
      <c r="M763" s="48"/>
      <c r="N763" s="48"/>
      <c r="O763" s="48"/>
      <c r="P763" s="48"/>
      <c r="Q763" s="48"/>
      <c r="R763" s="48"/>
      <c r="S763" s="48"/>
      <c r="T763" s="48"/>
      <c r="U763" s="48"/>
      <c r="V763" s="48"/>
      <c r="W763" s="48"/>
      <c r="X763" s="48"/>
      <c r="Y763" s="48"/>
      <c r="Z763" s="48"/>
      <c r="AA763" s="48"/>
      <c r="AB763" s="48"/>
      <c r="AC763" s="48"/>
      <c r="AD763" s="48"/>
      <c r="AE763" s="48"/>
      <c r="AF763" s="48"/>
      <c r="AG763" s="48"/>
      <c r="AH763" s="48"/>
      <c r="AI763" s="48"/>
      <c r="AJ763" s="48"/>
      <c r="AK763" s="48"/>
      <c r="AL763" s="48"/>
      <c r="AM763" s="48"/>
      <c r="AN763" s="48"/>
      <c r="AO763" s="48"/>
      <c r="AP763" s="48"/>
      <c r="AQ763" s="48"/>
      <c r="AR763" s="48"/>
      <c r="AS763" s="48"/>
      <c r="AT763" s="48"/>
      <c r="AU763" s="48"/>
      <c r="AV763" s="48"/>
      <c r="AW763" s="48"/>
      <c r="AX763" s="48"/>
      <c r="AY763" s="48"/>
      <c r="AZ763" s="48"/>
      <c r="BA763" s="48"/>
      <c r="BB763" s="48"/>
      <c r="BC763" s="48"/>
      <c r="BD763" s="48"/>
      <c r="BE763" s="48"/>
      <c r="BF763" s="48"/>
      <c r="BG763" s="48"/>
      <c r="BH763" s="48"/>
      <c r="BI763" s="48"/>
      <c r="BJ763" s="48"/>
      <c r="BK763" s="48"/>
      <c r="BL763" s="48"/>
      <c r="BM763" s="48"/>
      <c r="BN763" s="48"/>
      <c r="BO763" s="48"/>
      <c r="BP763" s="48"/>
      <c r="BQ763" s="48"/>
      <c r="BR763" s="48"/>
      <c r="BS763" s="48"/>
      <c r="BT763" s="48"/>
      <c r="BU763" s="48"/>
      <c r="BV763" s="48"/>
      <c r="BW763" s="48"/>
      <c r="BX763" s="48"/>
      <c r="BY763" s="48"/>
      <c r="BZ763" s="48"/>
      <c r="CA763" s="48"/>
      <c r="CB763" s="48"/>
      <c r="CC763" s="48"/>
      <c r="CD763" s="48"/>
      <c r="CE763" s="48"/>
      <c r="CF763" s="48"/>
      <c r="CG763" s="48"/>
      <c r="CH763" s="48"/>
    </row>
    <row r="764" spans="5:86" s="46" customFormat="1" x14ac:dyDescent="0.55000000000000004">
      <c r="E764" s="48"/>
      <c r="F764" s="48"/>
      <c r="G764" s="48"/>
      <c r="H764" s="48"/>
      <c r="I764" s="48"/>
      <c r="L764" s="166"/>
      <c r="M764" s="48"/>
      <c r="N764" s="48"/>
      <c r="O764" s="48"/>
      <c r="P764" s="48"/>
      <c r="Q764" s="48"/>
      <c r="R764" s="48"/>
      <c r="S764" s="48"/>
      <c r="T764" s="48"/>
      <c r="U764" s="48"/>
      <c r="V764" s="48"/>
      <c r="W764" s="48"/>
      <c r="X764" s="48"/>
      <c r="Y764" s="48"/>
      <c r="Z764" s="48"/>
      <c r="AA764" s="48"/>
      <c r="AB764" s="48"/>
      <c r="AC764" s="48"/>
      <c r="AD764" s="48"/>
      <c r="AE764" s="48"/>
      <c r="AF764" s="48"/>
      <c r="AG764" s="48"/>
      <c r="AH764" s="48"/>
      <c r="AI764" s="48"/>
      <c r="AJ764" s="48"/>
      <c r="AK764" s="48"/>
      <c r="AL764" s="48"/>
      <c r="AM764" s="48"/>
      <c r="AN764" s="48"/>
      <c r="AO764" s="48"/>
      <c r="AP764" s="48"/>
      <c r="AQ764" s="48"/>
      <c r="AR764" s="48"/>
      <c r="AS764" s="48"/>
      <c r="AT764" s="48"/>
      <c r="AU764" s="48"/>
      <c r="AV764" s="48"/>
      <c r="AW764" s="48"/>
      <c r="AX764" s="48"/>
      <c r="AY764" s="48"/>
      <c r="AZ764" s="48"/>
      <c r="BA764" s="48"/>
      <c r="BB764" s="48"/>
      <c r="BC764" s="48"/>
      <c r="BD764" s="48"/>
      <c r="BE764" s="48"/>
      <c r="BF764" s="48"/>
      <c r="BG764" s="48"/>
      <c r="BH764" s="48"/>
      <c r="BI764" s="48"/>
      <c r="BJ764" s="48"/>
      <c r="BK764" s="48"/>
      <c r="BL764" s="48"/>
      <c r="BM764" s="48"/>
      <c r="BN764" s="48"/>
      <c r="BO764" s="48"/>
      <c r="BP764" s="48"/>
      <c r="BQ764" s="48"/>
      <c r="BR764" s="48"/>
      <c r="BS764" s="48"/>
      <c r="BT764" s="48"/>
      <c r="BU764" s="48"/>
      <c r="BV764" s="48"/>
      <c r="BW764" s="48"/>
      <c r="BX764" s="48"/>
      <c r="BY764" s="48"/>
      <c r="BZ764" s="48"/>
      <c r="CA764" s="48"/>
      <c r="CB764" s="48"/>
      <c r="CC764" s="48"/>
      <c r="CD764" s="48"/>
      <c r="CE764" s="48"/>
      <c r="CF764" s="48"/>
      <c r="CG764" s="48"/>
      <c r="CH764" s="48"/>
    </row>
    <row r="765" spans="5:86" s="46" customFormat="1" x14ac:dyDescent="0.55000000000000004">
      <c r="E765" s="48"/>
      <c r="F765" s="48"/>
      <c r="G765" s="48"/>
      <c r="H765" s="48"/>
      <c r="I765" s="48"/>
      <c r="L765" s="166"/>
      <c r="M765" s="48"/>
      <c r="N765" s="48"/>
      <c r="O765" s="48"/>
      <c r="P765" s="48"/>
      <c r="Q765" s="48"/>
      <c r="R765" s="48"/>
      <c r="S765" s="48"/>
      <c r="T765" s="48"/>
      <c r="U765" s="48"/>
      <c r="V765" s="48"/>
      <c r="W765" s="48"/>
      <c r="X765" s="48"/>
      <c r="Y765" s="48"/>
      <c r="Z765" s="48"/>
      <c r="AA765" s="48"/>
      <c r="AB765" s="48"/>
      <c r="AC765" s="48"/>
      <c r="AD765" s="48"/>
      <c r="AE765" s="48"/>
      <c r="AF765" s="48"/>
      <c r="AG765" s="48"/>
      <c r="AH765" s="48"/>
      <c r="AI765" s="48"/>
      <c r="AJ765" s="48"/>
      <c r="AK765" s="48"/>
      <c r="AL765" s="48"/>
      <c r="AM765" s="48"/>
      <c r="AN765" s="48"/>
      <c r="AO765" s="48"/>
      <c r="AP765" s="48"/>
      <c r="AQ765" s="48"/>
      <c r="AR765" s="48"/>
      <c r="AS765" s="48"/>
      <c r="AT765" s="48"/>
      <c r="AU765" s="48"/>
      <c r="AV765" s="48"/>
      <c r="AW765" s="48"/>
      <c r="AX765" s="48"/>
      <c r="AY765" s="48"/>
      <c r="AZ765" s="48"/>
      <c r="BA765" s="48"/>
      <c r="BB765" s="48"/>
      <c r="BC765" s="48"/>
      <c r="BD765" s="48"/>
      <c r="BE765" s="48"/>
      <c r="BF765" s="48"/>
      <c r="BG765" s="48"/>
      <c r="BH765" s="48"/>
      <c r="BI765" s="48"/>
      <c r="BJ765" s="48"/>
      <c r="BK765" s="48"/>
      <c r="BL765" s="48"/>
      <c r="BM765" s="48"/>
      <c r="BN765" s="48"/>
      <c r="BO765" s="48"/>
      <c r="BP765" s="48"/>
      <c r="BQ765" s="48"/>
      <c r="BR765" s="48"/>
      <c r="BS765" s="48"/>
      <c r="BT765" s="48"/>
      <c r="BU765" s="48"/>
      <c r="BV765" s="48"/>
      <c r="BW765" s="48"/>
      <c r="BX765" s="48"/>
      <c r="BY765" s="48"/>
      <c r="BZ765" s="48"/>
      <c r="CA765" s="48"/>
      <c r="CB765" s="48"/>
      <c r="CC765" s="48"/>
      <c r="CD765" s="48"/>
      <c r="CE765" s="48"/>
      <c r="CF765" s="48"/>
      <c r="CG765" s="48"/>
      <c r="CH765" s="48"/>
    </row>
    <row r="766" spans="5:86" s="46" customFormat="1" x14ac:dyDescent="0.55000000000000004">
      <c r="E766" s="48"/>
      <c r="F766" s="48"/>
      <c r="G766" s="48"/>
      <c r="H766" s="48"/>
      <c r="I766" s="48"/>
      <c r="L766" s="166"/>
      <c r="M766" s="48"/>
      <c r="N766" s="48"/>
      <c r="O766" s="48"/>
      <c r="P766" s="48"/>
      <c r="Q766" s="48"/>
      <c r="R766" s="48"/>
      <c r="S766" s="48"/>
      <c r="T766" s="48"/>
      <c r="U766" s="48"/>
      <c r="V766" s="48"/>
      <c r="W766" s="48"/>
      <c r="X766" s="48"/>
      <c r="Y766" s="48"/>
      <c r="Z766" s="48"/>
      <c r="AA766" s="48"/>
      <c r="AB766" s="48"/>
      <c r="AC766" s="48"/>
      <c r="AD766" s="48"/>
      <c r="AE766" s="48"/>
      <c r="AF766" s="48"/>
      <c r="AG766" s="48"/>
      <c r="AH766" s="48"/>
      <c r="AI766" s="48"/>
      <c r="AJ766" s="48"/>
      <c r="AK766" s="48"/>
      <c r="AL766" s="48"/>
      <c r="AM766" s="48"/>
      <c r="AN766" s="48"/>
      <c r="AO766" s="48"/>
      <c r="AP766" s="48"/>
      <c r="AQ766" s="48"/>
      <c r="AR766" s="48"/>
      <c r="AS766" s="48"/>
      <c r="AT766" s="48"/>
      <c r="AU766" s="48"/>
      <c r="AV766" s="48"/>
      <c r="AW766" s="48"/>
      <c r="AX766" s="48"/>
      <c r="AY766" s="48"/>
      <c r="AZ766" s="48"/>
      <c r="BA766" s="48"/>
      <c r="BB766" s="48"/>
      <c r="BC766" s="48"/>
      <c r="BD766" s="48"/>
      <c r="BE766" s="48"/>
      <c r="BF766" s="48"/>
      <c r="BG766" s="48"/>
      <c r="BH766" s="48"/>
      <c r="BI766" s="48"/>
      <c r="BJ766" s="48"/>
      <c r="BK766" s="48"/>
      <c r="BL766" s="48"/>
      <c r="BM766" s="48"/>
      <c r="BN766" s="48"/>
      <c r="BO766" s="48"/>
      <c r="BP766" s="48"/>
      <c r="BQ766" s="48"/>
      <c r="BR766" s="48"/>
      <c r="BS766" s="48"/>
      <c r="BT766" s="48"/>
      <c r="BU766" s="48"/>
      <c r="BV766" s="48"/>
      <c r="BW766" s="48"/>
      <c r="BX766" s="48"/>
      <c r="BY766" s="48"/>
      <c r="BZ766" s="48"/>
      <c r="CA766" s="48"/>
      <c r="CB766" s="48"/>
      <c r="CC766" s="48"/>
      <c r="CD766" s="48"/>
      <c r="CE766" s="48"/>
      <c r="CF766" s="48"/>
      <c r="CG766" s="48"/>
      <c r="CH766" s="48"/>
    </row>
    <row r="767" spans="5:86" s="46" customFormat="1" x14ac:dyDescent="0.55000000000000004">
      <c r="E767" s="48"/>
      <c r="F767" s="48"/>
      <c r="G767" s="48"/>
      <c r="H767" s="48"/>
      <c r="I767" s="48"/>
      <c r="L767" s="166"/>
      <c r="M767" s="48"/>
      <c r="N767" s="48"/>
      <c r="O767" s="48"/>
      <c r="P767" s="48"/>
      <c r="Q767" s="48"/>
      <c r="R767" s="48"/>
      <c r="S767" s="48"/>
      <c r="T767" s="48"/>
      <c r="U767" s="48"/>
      <c r="V767" s="48"/>
      <c r="W767" s="48"/>
      <c r="X767" s="48"/>
      <c r="Y767" s="48"/>
      <c r="Z767" s="48"/>
      <c r="AA767" s="48"/>
      <c r="AB767" s="48"/>
      <c r="AC767" s="48"/>
      <c r="AD767" s="48"/>
      <c r="AE767" s="48"/>
      <c r="AF767" s="48"/>
      <c r="AG767" s="48"/>
      <c r="AH767" s="48"/>
      <c r="AI767" s="48"/>
      <c r="AJ767" s="48"/>
      <c r="AK767" s="48"/>
      <c r="AL767" s="48"/>
      <c r="AM767" s="48"/>
      <c r="AN767" s="48"/>
      <c r="AO767" s="48"/>
      <c r="AP767" s="48"/>
      <c r="AQ767" s="48"/>
      <c r="AR767" s="48"/>
      <c r="AS767" s="48"/>
      <c r="AT767" s="48"/>
      <c r="AU767" s="48"/>
      <c r="AV767" s="48"/>
      <c r="AW767" s="48"/>
      <c r="AX767" s="48"/>
      <c r="AY767" s="48"/>
      <c r="AZ767" s="48"/>
      <c r="BA767" s="48"/>
      <c r="BB767" s="48"/>
      <c r="BC767" s="48"/>
      <c r="BD767" s="48"/>
      <c r="BE767" s="48"/>
      <c r="BF767" s="48"/>
      <c r="BG767" s="48"/>
      <c r="BH767" s="48"/>
      <c r="BI767" s="48"/>
      <c r="BJ767" s="48"/>
      <c r="BK767" s="48"/>
      <c r="BL767" s="48"/>
      <c r="BM767" s="48"/>
      <c r="BN767" s="48"/>
      <c r="BO767" s="48"/>
      <c r="BP767" s="48"/>
      <c r="BQ767" s="48"/>
      <c r="BR767" s="48"/>
      <c r="BS767" s="48"/>
      <c r="BT767" s="48"/>
      <c r="BU767" s="48"/>
      <c r="BV767" s="48"/>
      <c r="BW767" s="48"/>
      <c r="BX767" s="48"/>
      <c r="BY767" s="48"/>
      <c r="BZ767" s="48"/>
      <c r="CA767" s="48"/>
      <c r="CB767" s="48"/>
      <c r="CC767" s="48"/>
      <c r="CD767" s="48"/>
      <c r="CE767" s="48"/>
      <c r="CF767" s="48"/>
      <c r="CG767" s="48"/>
      <c r="CH767" s="48"/>
    </row>
    <row r="768" spans="5:86" s="46" customFormat="1" x14ac:dyDescent="0.55000000000000004">
      <c r="E768" s="48"/>
      <c r="F768" s="48"/>
      <c r="G768" s="48"/>
      <c r="H768" s="48"/>
      <c r="I768" s="48"/>
      <c r="L768" s="166"/>
      <c r="M768" s="48"/>
      <c r="N768" s="48"/>
      <c r="O768" s="48"/>
      <c r="P768" s="48"/>
      <c r="Q768" s="48"/>
      <c r="R768" s="48"/>
      <c r="S768" s="48"/>
      <c r="T768" s="48"/>
      <c r="U768" s="48"/>
      <c r="V768" s="48"/>
      <c r="W768" s="48"/>
      <c r="X768" s="48"/>
      <c r="Y768" s="48"/>
      <c r="Z768" s="48"/>
      <c r="AA768" s="48"/>
      <c r="AB768" s="48"/>
      <c r="AC768" s="48"/>
      <c r="AD768" s="48"/>
      <c r="AE768" s="48"/>
      <c r="AF768" s="48"/>
      <c r="AG768" s="48"/>
      <c r="AH768" s="48"/>
      <c r="AI768" s="48"/>
      <c r="AJ768" s="48"/>
      <c r="AK768" s="48"/>
      <c r="AL768" s="48"/>
      <c r="AM768" s="48"/>
      <c r="AN768" s="48"/>
      <c r="AO768" s="48"/>
      <c r="AP768" s="48"/>
      <c r="AQ768" s="48"/>
      <c r="AR768" s="48"/>
      <c r="AS768" s="48"/>
      <c r="AT768" s="48"/>
      <c r="AU768" s="48"/>
      <c r="AV768" s="48"/>
      <c r="AW768" s="48"/>
      <c r="AX768" s="48"/>
      <c r="AY768" s="48"/>
      <c r="AZ768" s="48"/>
      <c r="BA768" s="48"/>
      <c r="BB768" s="48"/>
      <c r="BC768" s="48"/>
      <c r="BD768" s="48"/>
      <c r="BE768" s="48"/>
      <c r="BF768" s="48"/>
      <c r="BG768" s="48"/>
      <c r="BH768" s="48"/>
      <c r="BI768" s="48"/>
      <c r="BJ768" s="48"/>
      <c r="BK768" s="48"/>
      <c r="BL768" s="48"/>
      <c r="BM768" s="48"/>
      <c r="BN768" s="48"/>
      <c r="BO768" s="48"/>
      <c r="BP768" s="48"/>
      <c r="BQ768" s="48"/>
      <c r="BR768" s="48"/>
      <c r="BS768" s="48"/>
      <c r="BT768" s="48"/>
      <c r="BU768" s="48"/>
      <c r="BV768" s="48"/>
      <c r="BW768" s="48"/>
      <c r="BX768" s="48"/>
      <c r="BY768" s="48"/>
      <c r="BZ768" s="48"/>
      <c r="CA768" s="48"/>
      <c r="CB768" s="48"/>
      <c r="CC768" s="48"/>
      <c r="CD768" s="48"/>
      <c r="CE768" s="48"/>
      <c r="CF768" s="48"/>
      <c r="CG768" s="48"/>
      <c r="CH768" s="48"/>
    </row>
    <row r="769" spans="5:86" s="46" customFormat="1" x14ac:dyDescent="0.55000000000000004">
      <c r="E769" s="48"/>
      <c r="F769" s="48"/>
      <c r="G769" s="48"/>
      <c r="H769" s="48"/>
      <c r="I769" s="48"/>
      <c r="L769" s="166"/>
      <c r="M769" s="48"/>
      <c r="N769" s="48"/>
      <c r="O769" s="48"/>
      <c r="P769" s="48"/>
      <c r="Q769" s="48"/>
      <c r="R769" s="48"/>
      <c r="S769" s="48"/>
      <c r="T769" s="48"/>
      <c r="U769" s="48"/>
      <c r="V769" s="48"/>
      <c r="W769" s="48"/>
      <c r="X769" s="48"/>
      <c r="Y769" s="48"/>
      <c r="Z769" s="48"/>
      <c r="AA769" s="48"/>
      <c r="AB769" s="48"/>
      <c r="AC769" s="48"/>
      <c r="AD769" s="48"/>
      <c r="AE769" s="48"/>
      <c r="AF769" s="48"/>
      <c r="AG769" s="48"/>
      <c r="AH769" s="48"/>
      <c r="AI769" s="48"/>
      <c r="AJ769" s="48"/>
      <c r="AK769" s="48"/>
      <c r="AL769" s="48"/>
      <c r="AM769" s="48"/>
      <c r="AN769" s="48"/>
      <c r="AO769" s="48"/>
      <c r="AP769" s="48"/>
      <c r="AQ769" s="48"/>
      <c r="AR769" s="48"/>
      <c r="AS769" s="48"/>
      <c r="AT769" s="48"/>
      <c r="AU769" s="48"/>
      <c r="AV769" s="48"/>
      <c r="AW769" s="48"/>
      <c r="AX769" s="48"/>
      <c r="AY769" s="48"/>
      <c r="AZ769" s="48"/>
      <c r="BA769" s="48"/>
      <c r="BB769" s="48"/>
      <c r="BC769" s="48"/>
      <c r="BD769" s="48"/>
      <c r="BE769" s="48"/>
      <c r="BF769" s="48"/>
      <c r="BG769" s="48"/>
      <c r="BH769" s="48"/>
      <c r="BI769" s="48"/>
      <c r="BJ769" s="48"/>
      <c r="BK769" s="48"/>
      <c r="BL769" s="48"/>
      <c r="BM769" s="48"/>
      <c r="BN769" s="48"/>
      <c r="BO769" s="48"/>
      <c r="BP769" s="48"/>
      <c r="BQ769" s="48"/>
      <c r="BR769" s="48"/>
      <c r="BS769" s="48"/>
      <c r="BT769" s="48"/>
      <c r="BU769" s="48"/>
      <c r="BV769" s="48"/>
      <c r="BW769" s="48"/>
      <c r="BX769" s="48"/>
      <c r="BY769" s="48"/>
      <c r="BZ769" s="48"/>
      <c r="CA769" s="48"/>
      <c r="CB769" s="48"/>
      <c r="CC769" s="48"/>
      <c r="CD769" s="48"/>
      <c r="CE769" s="48"/>
      <c r="CF769" s="48"/>
      <c r="CG769" s="48"/>
      <c r="CH769" s="48"/>
    </row>
    <row r="770" spans="5:86" s="46" customFormat="1" x14ac:dyDescent="0.55000000000000004">
      <c r="E770" s="48"/>
      <c r="F770" s="48"/>
      <c r="G770" s="48"/>
      <c r="H770" s="48"/>
      <c r="I770" s="48"/>
      <c r="L770" s="166"/>
      <c r="M770" s="48"/>
      <c r="N770" s="48"/>
      <c r="O770" s="48"/>
      <c r="P770" s="48"/>
      <c r="Q770" s="48"/>
      <c r="R770" s="48"/>
      <c r="S770" s="48"/>
      <c r="T770" s="48"/>
      <c r="U770" s="48"/>
      <c r="V770" s="48"/>
      <c r="W770" s="48"/>
      <c r="X770" s="48"/>
      <c r="Y770" s="48"/>
      <c r="Z770" s="48"/>
      <c r="AA770" s="48"/>
      <c r="AB770" s="48"/>
      <c r="AC770" s="48"/>
      <c r="AD770" s="48"/>
      <c r="AE770" s="48"/>
      <c r="AF770" s="48"/>
      <c r="AG770" s="48"/>
      <c r="AH770" s="48"/>
      <c r="AI770" s="48"/>
      <c r="AJ770" s="48"/>
      <c r="AK770" s="48"/>
      <c r="AL770" s="48"/>
      <c r="AM770" s="48"/>
      <c r="AN770" s="48"/>
      <c r="AO770" s="48"/>
      <c r="AP770" s="48"/>
      <c r="AQ770" s="48"/>
      <c r="AR770" s="48"/>
      <c r="AS770" s="48"/>
      <c r="AT770" s="48"/>
      <c r="AU770" s="48"/>
      <c r="AV770" s="48"/>
      <c r="AW770" s="48"/>
      <c r="AX770" s="48"/>
      <c r="AY770" s="48"/>
      <c r="AZ770" s="48"/>
      <c r="BA770" s="48"/>
      <c r="BB770" s="48"/>
      <c r="BC770" s="48"/>
      <c r="BD770" s="48"/>
      <c r="BE770" s="48"/>
      <c r="BF770" s="48"/>
      <c r="BG770" s="48"/>
      <c r="BH770" s="48"/>
      <c r="BI770" s="48"/>
      <c r="BJ770" s="48"/>
      <c r="BK770" s="48"/>
      <c r="BL770" s="48"/>
      <c r="BM770" s="48"/>
      <c r="BN770" s="48"/>
      <c r="BO770" s="48"/>
      <c r="BP770" s="48"/>
      <c r="BQ770" s="48"/>
      <c r="BR770" s="48"/>
      <c r="BS770" s="48"/>
      <c r="BT770" s="48"/>
      <c r="BU770" s="48"/>
      <c r="BV770" s="48"/>
      <c r="BW770" s="48"/>
      <c r="BX770" s="48"/>
      <c r="BY770" s="48"/>
      <c r="BZ770" s="48"/>
      <c r="CA770" s="48"/>
      <c r="CB770" s="48"/>
      <c r="CC770" s="48"/>
      <c r="CD770" s="48"/>
      <c r="CE770" s="48"/>
      <c r="CF770" s="48"/>
      <c r="CG770" s="48"/>
      <c r="CH770" s="48"/>
    </row>
    <row r="771" spans="5:86" s="46" customFormat="1" x14ac:dyDescent="0.55000000000000004">
      <c r="E771" s="48"/>
      <c r="F771" s="48"/>
      <c r="G771" s="48"/>
      <c r="H771" s="48"/>
      <c r="I771" s="48"/>
      <c r="L771" s="166"/>
      <c r="M771" s="48"/>
      <c r="N771" s="48"/>
      <c r="O771" s="48"/>
      <c r="P771" s="48"/>
      <c r="Q771" s="48"/>
      <c r="R771" s="48"/>
      <c r="S771" s="48"/>
      <c r="T771" s="48"/>
      <c r="U771" s="48"/>
      <c r="V771" s="48"/>
      <c r="W771" s="48"/>
      <c r="X771" s="48"/>
      <c r="Y771" s="48"/>
      <c r="Z771" s="48"/>
      <c r="AA771" s="48"/>
      <c r="AB771" s="48"/>
      <c r="AC771" s="48"/>
      <c r="AD771" s="48"/>
      <c r="AE771" s="48"/>
      <c r="AF771" s="48"/>
      <c r="AG771" s="48"/>
      <c r="AH771" s="48"/>
      <c r="AI771" s="48"/>
      <c r="AJ771" s="48"/>
      <c r="AK771" s="48"/>
      <c r="AL771" s="48"/>
      <c r="AM771" s="48"/>
      <c r="AN771" s="48"/>
      <c r="AO771" s="48"/>
      <c r="AP771" s="48"/>
      <c r="AQ771" s="48"/>
      <c r="AR771" s="48"/>
      <c r="AS771" s="48"/>
      <c r="AT771" s="48"/>
      <c r="AU771" s="48"/>
      <c r="AV771" s="48"/>
      <c r="AW771" s="48"/>
      <c r="AX771" s="48"/>
      <c r="AY771" s="48"/>
      <c r="AZ771" s="48"/>
      <c r="BA771" s="48"/>
      <c r="BB771" s="48"/>
      <c r="BC771" s="48"/>
      <c r="BD771" s="48"/>
      <c r="BE771" s="48"/>
      <c r="BF771" s="48"/>
      <c r="BG771" s="48"/>
      <c r="BH771" s="48"/>
      <c r="BI771" s="48"/>
      <c r="BJ771" s="48"/>
      <c r="BK771" s="48"/>
      <c r="BL771" s="48"/>
      <c r="BM771" s="48"/>
      <c r="BN771" s="48"/>
      <c r="BO771" s="48"/>
      <c r="BP771" s="48"/>
      <c r="BQ771" s="48"/>
      <c r="BR771" s="48"/>
      <c r="BS771" s="48"/>
      <c r="BT771" s="48"/>
      <c r="BU771" s="48"/>
      <c r="BV771" s="48"/>
      <c r="BW771" s="48"/>
      <c r="BX771" s="48"/>
      <c r="BY771" s="48"/>
      <c r="BZ771" s="48"/>
      <c r="CA771" s="48"/>
      <c r="CB771" s="48"/>
      <c r="CC771" s="48"/>
      <c r="CD771" s="48"/>
      <c r="CE771" s="48"/>
      <c r="CF771" s="48"/>
      <c r="CG771" s="48"/>
      <c r="CH771" s="48"/>
    </row>
    <row r="772" spans="5:86" s="46" customFormat="1" x14ac:dyDescent="0.55000000000000004">
      <c r="E772" s="48"/>
      <c r="F772" s="48"/>
      <c r="G772" s="48"/>
      <c r="H772" s="48"/>
      <c r="I772" s="48"/>
      <c r="L772" s="166"/>
      <c r="M772" s="48"/>
      <c r="N772" s="48"/>
      <c r="O772" s="48"/>
      <c r="P772" s="48"/>
      <c r="Q772" s="48"/>
      <c r="R772" s="48"/>
      <c r="S772" s="48"/>
      <c r="T772" s="48"/>
      <c r="U772" s="48"/>
      <c r="V772" s="48"/>
      <c r="W772" s="48"/>
      <c r="X772" s="48"/>
      <c r="Y772" s="48"/>
      <c r="Z772" s="48"/>
      <c r="AA772" s="48"/>
      <c r="AB772" s="48"/>
      <c r="AC772" s="48"/>
      <c r="AD772" s="48"/>
      <c r="AE772" s="48"/>
      <c r="AF772" s="48"/>
      <c r="AG772" s="48"/>
      <c r="AH772" s="48"/>
      <c r="AI772" s="48"/>
      <c r="AJ772" s="48"/>
      <c r="AK772" s="48"/>
      <c r="AL772" s="48"/>
      <c r="AM772" s="48"/>
      <c r="AN772" s="48"/>
      <c r="AO772" s="48"/>
      <c r="AP772" s="48"/>
      <c r="AQ772" s="48"/>
      <c r="AR772" s="48"/>
      <c r="AS772" s="48"/>
      <c r="AT772" s="48"/>
      <c r="AU772" s="48"/>
      <c r="AV772" s="48"/>
      <c r="AW772" s="48"/>
      <c r="AX772" s="48"/>
      <c r="AY772" s="48"/>
      <c r="AZ772" s="48"/>
      <c r="BA772" s="48"/>
      <c r="BB772" s="48"/>
      <c r="BC772" s="48"/>
      <c r="BD772" s="48"/>
      <c r="BE772" s="48"/>
      <c r="BF772" s="48"/>
      <c r="BG772" s="48"/>
      <c r="BH772" s="48"/>
      <c r="BI772" s="48"/>
      <c r="BJ772" s="48"/>
      <c r="BK772" s="48"/>
      <c r="BL772" s="48"/>
      <c r="BM772" s="48"/>
      <c r="BN772" s="48"/>
      <c r="BO772" s="48"/>
      <c r="BP772" s="48"/>
      <c r="BQ772" s="48"/>
      <c r="BR772" s="48"/>
      <c r="BS772" s="48"/>
      <c r="BT772" s="48"/>
      <c r="BU772" s="48"/>
      <c r="BV772" s="48"/>
      <c r="BW772" s="48"/>
      <c r="BX772" s="48"/>
      <c r="BY772" s="48"/>
      <c r="BZ772" s="48"/>
      <c r="CA772" s="48"/>
      <c r="CB772" s="48"/>
      <c r="CC772" s="48"/>
      <c r="CD772" s="48"/>
      <c r="CE772" s="48"/>
      <c r="CF772" s="48"/>
      <c r="CG772" s="48"/>
      <c r="CH772" s="48"/>
    </row>
    <row r="773" spans="5:86" s="46" customFormat="1" x14ac:dyDescent="0.55000000000000004">
      <c r="E773" s="48"/>
      <c r="F773" s="48"/>
      <c r="G773" s="48"/>
      <c r="H773" s="48"/>
      <c r="I773" s="48"/>
      <c r="L773" s="166"/>
      <c r="M773" s="48"/>
      <c r="N773" s="48"/>
      <c r="O773" s="48"/>
      <c r="P773" s="48"/>
      <c r="Q773" s="48"/>
      <c r="R773" s="48"/>
      <c r="S773" s="48"/>
      <c r="T773" s="48"/>
      <c r="U773" s="48"/>
      <c r="V773" s="48"/>
      <c r="W773" s="48"/>
      <c r="X773" s="48"/>
      <c r="Y773" s="48"/>
      <c r="Z773" s="48"/>
      <c r="AA773" s="48"/>
      <c r="AB773" s="48"/>
      <c r="AC773" s="48"/>
      <c r="AD773" s="48"/>
      <c r="AE773" s="48"/>
      <c r="AF773" s="48"/>
      <c r="AG773" s="48"/>
      <c r="AH773" s="48"/>
      <c r="AI773" s="48"/>
      <c r="AJ773" s="48"/>
      <c r="AK773" s="48"/>
      <c r="AL773" s="48"/>
      <c r="AM773" s="48"/>
      <c r="AN773" s="48"/>
      <c r="AO773" s="48"/>
      <c r="AP773" s="48"/>
      <c r="AQ773" s="48"/>
      <c r="AR773" s="48"/>
      <c r="AS773" s="48"/>
      <c r="AT773" s="48"/>
      <c r="AU773" s="48"/>
      <c r="AV773" s="48"/>
      <c r="AW773" s="48"/>
      <c r="AX773" s="48"/>
      <c r="AY773" s="48"/>
      <c r="AZ773" s="48"/>
      <c r="BA773" s="48"/>
      <c r="BB773" s="48"/>
      <c r="BC773" s="48"/>
      <c r="BD773" s="48"/>
      <c r="BE773" s="48"/>
      <c r="BF773" s="48"/>
      <c r="BG773" s="48"/>
      <c r="BH773" s="48"/>
      <c r="BI773" s="48"/>
      <c r="BJ773" s="48"/>
      <c r="BK773" s="48"/>
      <c r="BL773" s="48"/>
      <c r="BM773" s="48"/>
      <c r="BN773" s="48"/>
      <c r="BO773" s="48"/>
      <c r="BP773" s="48"/>
      <c r="BQ773" s="48"/>
      <c r="BR773" s="48"/>
      <c r="BS773" s="48"/>
      <c r="BT773" s="48"/>
      <c r="BU773" s="48"/>
      <c r="BV773" s="48"/>
      <c r="BW773" s="48"/>
      <c r="BX773" s="48"/>
      <c r="BY773" s="48"/>
      <c r="BZ773" s="48"/>
      <c r="CA773" s="48"/>
      <c r="CB773" s="48"/>
      <c r="CC773" s="48"/>
      <c r="CD773" s="48"/>
      <c r="CE773" s="48"/>
      <c r="CF773" s="48"/>
      <c r="CG773" s="48"/>
      <c r="CH773" s="48"/>
    </row>
    <row r="774" spans="5:86" s="46" customFormat="1" x14ac:dyDescent="0.55000000000000004">
      <c r="E774" s="48"/>
      <c r="F774" s="48"/>
      <c r="G774" s="48"/>
      <c r="H774" s="48"/>
      <c r="I774" s="48"/>
      <c r="L774" s="166"/>
      <c r="M774" s="48"/>
      <c r="N774" s="48"/>
      <c r="O774" s="48"/>
      <c r="P774" s="48"/>
      <c r="Q774" s="48"/>
      <c r="R774" s="48"/>
      <c r="S774" s="48"/>
      <c r="T774" s="48"/>
      <c r="U774" s="48"/>
      <c r="V774" s="48"/>
      <c r="W774" s="48"/>
      <c r="X774" s="48"/>
      <c r="Y774" s="48"/>
      <c r="Z774" s="48"/>
      <c r="AA774" s="48"/>
      <c r="AB774" s="48"/>
      <c r="AC774" s="48"/>
      <c r="AD774" s="48"/>
      <c r="AE774" s="48"/>
      <c r="AF774" s="48"/>
      <c r="AG774" s="48"/>
      <c r="AH774" s="48"/>
      <c r="AI774" s="48"/>
      <c r="AJ774" s="48"/>
      <c r="AK774" s="48"/>
      <c r="AL774" s="48"/>
      <c r="AM774" s="48"/>
      <c r="AN774" s="48"/>
      <c r="AO774" s="48"/>
      <c r="AP774" s="48"/>
      <c r="AQ774" s="48"/>
      <c r="AR774" s="48"/>
      <c r="AS774" s="48"/>
      <c r="AT774" s="48"/>
      <c r="AU774" s="48"/>
      <c r="AV774" s="48"/>
      <c r="AW774" s="48"/>
      <c r="AX774" s="48"/>
      <c r="AY774" s="48"/>
      <c r="AZ774" s="48"/>
      <c r="BA774" s="48"/>
      <c r="BB774" s="48"/>
      <c r="BC774" s="48"/>
      <c r="BD774" s="48"/>
      <c r="BE774" s="48"/>
      <c r="BF774" s="48"/>
      <c r="BG774" s="48"/>
      <c r="BH774" s="48"/>
      <c r="BI774" s="48"/>
      <c r="BJ774" s="48"/>
      <c r="BK774" s="48"/>
      <c r="BL774" s="48"/>
      <c r="BM774" s="48"/>
      <c r="BN774" s="48"/>
      <c r="BO774" s="48"/>
      <c r="BP774" s="48"/>
      <c r="BQ774" s="48"/>
      <c r="BR774" s="48"/>
      <c r="BS774" s="48"/>
      <c r="BT774" s="48"/>
      <c r="BU774" s="48"/>
      <c r="BV774" s="48"/>
      <c r="BW774" s="48"/>
      <c r="BX774" s="48"/>
      <c r="BY774" s="48"/>
      <c r="BZ774" s="48"/>
      <c r="CA774" s="48"/>
      <c r="CB774" s="48"/>
      <c r="CC774" s="48"/>
      <c r="CD774" s="48"/>
      <c r="CE774" s="48"/>
      <c r="CF774" s="48"/>
      <c r="CG774" s="48"/>
      <c r="CH774" s="48"/>
    </row>
    <row r="775" spans="5:86" s="46" customFormat="1" x14ac:dyDescent="0.55000000000000004">
      <c r="E775" s="48"/>
      <c r="F775" s="48"/>
      <c r="G775" s="48"/>
      <c r="H775" s="48"/>
      <c r="I775" s="48"/>
      <c r="L775" s="166"/>
      <c r="M775" s="48"/>
      <c r="N775" s="48"/>
      <c r="O775" s="48"/>
      <c r="P775" s="48"/>
      <c r="Q775" s="48"/>
      <c r="R775" s="48"/>
      <c r="S775" s="48"/>
      <c r="T775" s="48"/>
      <c r="U775" s="48"/>
      <c r="V775" s="48"/>
      <c r="W775" s="48"/>
      <c r="X775" s="48"/>
      <c r="Y775" s="48"/>
      <c r="Z775" s="48"/>
      <c r="AA775" s="48"/>
      <c r="AB775" s="48"/>
      <c r="AC775" s="48"/>
      <c r="AD775" s="48"/>
      <c r="AE775" s="48"/>
      <c r="AF775" s="48"/>
      <c r="AG775" s="48"/>
      <c r="AH775" s="48"/>
      <c r="AI775" s="48"/>
      <c r="AJ775" s="48"/>
      <c r="AK775" s="48"/>
      <c r="AL775" s="48"/>
      <c r="AM775" s="48"/>
      <c r="AN775" s="48"/>
      <c r="AO775" s="48"/>
      <c r="AP775" s="48"/>
      <c r="AQ775" s="48"/>
      <c r="AR775" s="48"/>
      <c r="AS775" s="48"/>
      <c r="AT775" s="48"/>
      <c r="AU775" s="48"/>
      <c r="AV775" s="48"/>
      <c r="AW775" s="48"/>
      <c r="AX775" s="48"/>
      <c r="AY775" s="48"/>
      <c r="AZ775" s="48"/>
      <c r="BA775" s="48"/>
      <c r="BB775" s="48"/>
      <c r="BC775" s="48"/>
      <c r="BD775" s="48"/>
      <c r="BE775" s="48"/>
      <c r="BF775" s="48"/>
      <c r="BG775" s="48"/>
      <c r="BH775" s="48"/>
      <c r="BI775" s="48"/>
      <c r="BJ775" s="48"/>
      <c r="BK775" s="48"/>
      <c r="BL775" s="48"/>
      <c r="BM775" s="48"/>
      <c r="BN775" s="48"/>
      <c r="BO775" s="48"/>
      <c r="BP775" s="48"/>
      <c r="BQ775" s="48"/>
      <c r="BR775" s="48"/>
      <c r="BS775" s="48"/>
      <c r="BT775" s="48"/>
      <c r="BU775" s="48"/>
      <c r="BV775" s="48"/>
      <c r="BW775" s="48"/>
      <c r="BX775" s="48"/>
      <c r="BY775" s="48"/>
      <c r="BZ775" s="48"/>
      <c r="CA775" s="48"/>
      <c r="CB775" s="48"/>
      <c r="CC775" s="48"/>
      <c r="CD775" s="48"/>
      <c r="CE775" s="48"/>
      <c r="CF775" s="48"/>
      <c r="CG775" s="48"/>
      <c r="CH775" s="48"/>
    </row>
    <row r="776" spans="5:86" s="46" customFormat="1" x14ac:dyDescent="0.55000000000000004">
      <c r="E776" s="48"/>
      <c r="F776" s="48"/>
      <c r="G776" s="48"/>
      <c r="H776" s="48"/>
      <c r="I776" s="48"/>
      <c r="L776" s="166"/>
      <c r="M776" s="48"/>
      <c r="N776" s="48"/>
      <c r="O776" s="48"/>
      <c r="P776" s="48"/>
      <c r="Q776" s="48"/>
      <c r="R776" s="48"/>
      <c r="S776" s="48"/>
      <c r="T776" s="48"/>
      <c r="U776" s="48"/>
      <c r="V776" s="48"/>
      <c r="W776" s="48"/>
      <c r="X776" s="48"/>
      <c r="Y776" s="48"/>
      <c r="Z776" s="48"/>
      <c r="AA776" s="48"/>
      <c r="AB776" s="48"/>
      <c r="AC776" s="48"/>
      <c r="AD776" s="48"/>
      <c r="AE776" s="48"/>
      <c r="AF776" s="48"/>
      <c r="AG776" s="48"/>
      <c r="AH776" s="48"/>
      <c r="AI776" s="48"/>
      <c r="AJ776" s="48"/>
      <c r="AK776" s="48"/>
      <c r="AL776" s="48"/>
      <c r="AM776" s="48"/>
      <c r="AN776" s="48"/>
      <c r="AO776" s="48"/>
      <c r="AP776" s="48"/>
      <c r="AQ776" s="48"/>
      <c r="AR776" s="48"/>
      <c r="AS776" s="48"/>
      <c r="AT776" s="48"/>
      <c r="AU776" s="48"/>
      <c r="AV776" s="48"/>
      <c r="AW776" s="48"/>
      <c r="AX776" s="48"/>
      <c r="AY776" s="48"/>
      <c r="AZ776" s="48"/>
      <c r="BA776" s="48"/>
      <c r="BB776" s="48"/>
      <c r="BC776" s="48"/>
      <c r="BD776" s="48"/>
      <c r="BE776" s="48"/>
      <c r="BF776" s="48"/>
      <c r="BG776" s="48"/>
      <c r="BH776" s="48"/>
      <c r="BI776" s="48"/>
      <c r="BJ776" s="48"/>
      <c r="BK776" s="48"/>
      <c r="BL776" s="48"/>
      <c r="BM776" s="48"/>
      <c r="BN776" s="48"/>
      <c r="BO776" s="48"/>
      <c r="BP776" s="48"/>
      <c r="BQ776" s="48"/>
      <c r="BR776" s="48"/>
      <c r="BS776" s="48"/>
      <c r="BT776" s="48"/>
      <c r="BU776" s="48"/>
      <c r="BV776" s="48"/>
      <c r="BW776" s="48"/>
      <c r="BX776" s="48"/>
      <c r="BY776" s="48"/>
      <c r="BZ776" s="48"/>
      <c r="CA776" s="48"/>
      <c r="CB776" s="48"/>
      <c r="CC776" s="48"/>
      <c r="CD776" s="48"/>
      <c r="CE776" s="48"/>
      <c r="CF776" s="48"/>
      <c r="CG776" s="48"/>
      <c r="CH776" s="48"/>
    </row>
    <row r="777" spans="5:86" s="46" customFormat="1" x14ac:dyDescent="0.55000000000000004">
      <c r="E777" s="48"/>
      <c r="F777" s="48"/>
      <c r="G777" s="48"/>
      <c r="H777" s="48"/>
      <c r="I777" s="48"/>
      <c r="L777" s="166"/>
      <c r="M777" s="48"/>
      <c r="N777" s="48"/>
      <c r="O777" s="48"/>
      <c r="P777" s="48"/>
      <c r="Q777" s="48"/>
      <c r="R777" s="48"/>
      <c r="S777" s="48"/>
      <c r="T777" s="48"/>
      <c r="U777" s="48"/>
      <c r="V777" s="48"/>
      <c r="W777" s="48"/>
      <c r="X777" s="48"/>
      <c r="Y777" s="48"/>
      <c r="Z777" s="48"/>
      <c r="AA777" s="48"/>
      <c r="AB777" s="48"/>
      <c r="AC777" s="48"/>
      <c r="AD777" s="48"/>
      <c r="AE777" s="48"/>
      <c r="AF777" s="48"/>
      <c r="AG777" s="48"/>
      <c r="AH777" s="48"/>
      <c r="AI777" s="48"/>
      <c r="AJ777" s="48"/>
      <c r="AK777" s="48"/>
      <c r="AL777" s="48"/>
      <c r="AM777" s="48"/>
      <c r="AN777" s="48"/>
      <c r="AO777" s="48"/>
      <c r="AP777" s="48"/>
      <c r="AQ777" s="48"/>
      <c r="AR777" s="48"/>
      <c r="AS777" s="48"/>
      <c r="AT777" s="48"/>
      <c r="AU777" s="48"/>
      <c r="AV777" s="48"/>
      <c r="AW777" s="48"/>
      <c r="AX777" s="48"/>
      <c r="AY777" s="48"/>
      <c r="AZ777" s="48"/>
      <c r="BA777" s="48"/>
      <c r="BB777" s="48"/>
      <c r="BC777" s="48"/>
      <c r="BD777" s="48"/>
      <c r="BE777" s="48"/>
      <c r="BF777" s="48"/>
      <c r="BG777" s="48"/>
      <c r="BH777" s="48"/>
      <c r="BI777" s="48"/>
      <c r="BJ777" s="48"/>
      <c r="BK777" s="48"/>
      <c r="BL777" s="48"/>
      <c r="BM777" s="48"/>
      <c r="BN777" s="48"/>
      <c r="BO777" s="48"/>
      <c r="BP777" s="48"/>
      <c r="BQ777" s="48"/>
      <c r="BR777" s="48"/>
      <c r="BS777" s="48"/>
      <c r="BT777" s="48"/>
      <c r="BU777" s="48"/>
      <c r="BV777" s="48"/>
      <c r="BW777" s="48"/>
      <c r="BX777" s="48"/>
      <c r="BY777" s="48"/>
      <c r="BZ777" s="48"/>
      <c r="CA777" s="48"/>
      <c r="CB777" s="48"/>
      <c r="CC777" s="48"/>
      <c r="CD777" s="48"/>
      <c r="CE777" s="48"/>
      <c r="CF777" s="48"/>
      <c r="CG777" s="48"/>
      <c r="CH777" s="48"/>
    </row>
    <row r="778" spans="5:86" s="46" customFormat="1" x14ac:dyDescent="0.55000000000000004">
      <c r="E778" s="48"/>
      <c r="F778" s="48"/>
      <c r="G778" s="48"/>
      <c r="H778" s="48"/>
      <c r="I778" s="48"/>
      <c r="L778" s="166"/>
      <c r="M778" s="48"/>
      <c r="N778" s="48"/>
      <c r="O778" s="48"/>
      <c r="P778" s="48"/>
      <c r="Q778" s="48"/>
      <c r="R778" s="48"/>
      <c r="S778" s="48"/>
      <c r="T778" s="48"/>
      <c r="U778" s="48"/>
      <c r="V778" s="48"/>
      <c r="W778" s="48"/>
      <c r="X778" s="48"/>
      <c r="Y778" s="48"/>
      <c r="Z778" s="48"/>
      <c r="AA778" s="48"/>
      <c r="AB778" s="48"/>
      <c r="AC778" s="48"/>
      <c r="AD778" s="48"/>
      <c r="AE778" s="48"/>
      <c r="AF778" s="48"/>
      <c r="AG778" s="48"/>
      <c r="AH778" s="48"/>
      <c r="AI778" s="48"/>
      <c r="AJ778" s="48"/>
      <c r="AK778" s="48"/>
      <c r="AL778" s="48"/>
      <c r="AM778" s="48"/>
      <c r="AN778" s="48"/>
      <c r="AO778" s="48"/>
      <c r="AP778" s="48"/>
      <c r="AQ778" s="48"/>
      <c r="AR778" s="48"/>
      <c r="AS778" s="48"/>
      <c r="AT778" s="48"/>
      <c r="AU778" s="48"/>
      <c r="AV778" s="48"/>
      <c r="AW778" s="48"/>
      <c r="AX778" s="48"/>
      <c r="AY778" s="48"/>
      <c r="AZ778" s="48"/>
      <c r="BA778" s="48"/>
      <c r="BB778" s="48"/>
      <c r="BC778" s="48"/>
      <c r="BD778" s="48"/>
      <c r="BE778" s="48"/>
      <c r="BF778" s="48"/>
      <c r="BG778" s="48"/>
      <c r="BH778" s="48"/>
      <c r="BI778" s="48"/>
      <c r="BJ778" s="48"/>
      <c r="BK778" s="48"/>
      <c r="BL778" s="48"/>
      <c r="BM778" s="48"/>
      <c r="BN778" s="48"/>
      <c r="BO778" s="48"/>
      <c r="BP778" s="48"/>
      <c r="BQ778" s="48"/>
      <c r="BR778" s="48"/>
      <c r="BS778" s="48"/>
      <c r="BT778" s="48"/>
      <c r="BU778" s="48"/>
      <c r="BV778" s="48"/>
      <c r="BW778" s="48"/>
      <c r="BX778" s="48"/>
      <c r="BY778" s="48"/>
      <c r="BZ778" s="48"/>
      <c r="CA778" s="48"/>
      <c r="CB778" s="48"/>
      <c r="CC778" s="48"/>
      <c r="CD778" s="48"/>
      <c r="CE778" s="48"/>
      <c r="CF778" s="48"/>
      <c r="CG778" s="48"/>
      <c r="CH778" s="48"/>
    </row>
    <row r="779" spans="5:86" s="46" customFormat="1" x14ac:dyDescent="0.55000000000000004">
      <c r="E779" s="48"/>
      <c r="F779" s="48"/>
      <c r="G779" s="48"/>
      <c r="H779" s="48"/>
      <c r="I779" s="48"/>
      <c r="L779" s="166"/>
      <c r="M779" s="48"/>
      <c r="N779" s="48"/>
      <c r="O779" s="48"/>
      <c r="P779" s="48"/>
      <c r="Q779" s="48"/>
      <c r="R779" s="48"/>
      <c r="S779" s="48"/>
      <c r="T779" s="48"/>
      <c r="U779" s="48"/>
      <c r="V779" s="48"/>
      <c r="W779" s="48"/>
      <c r="X779" s="48"/>
      <c r="Y779" s="48"/>
      <c r="Z779" s="48"/>
      <c r="AA779" s="48"/>
      <c r="AB779" s="48"/>
      <c r="AC779" s="48"/>
      <c r="AD779" s="48"/>
      <c r="AE779" s="48"/>
      <c r="AF779" s="48"/>
      <c r="AG779" s="48"/>
      <c r="AH779" s="48"/>
      <c r="AI779" s="48"/>
      <c r="AJ779" s="48"/>
      <c r="AK779" s="48"/>
      <c r="AL779" s="48"/>
      <c r="AM779" s="48"/>
      <c r="AN779" s="48"/>
      <c r="AO779" s="48"/>
      <c r="AP779" s="48"/>
      <c r="AQ779" s="48"/>
      <c r="AR779" s="48"/>
      <c r="AS779" s="48"/>
      <c r="AT779" s="48"/>
      <c r="AU779" s="48"/>
      <c r="AV779" s="48"/>
      <c r="AW779" s="48"/>
      <c r="AX779" s="48"/>
      <c r="AY779" s="48"/>
      <c r="AZ779" s="48"/>
      <c r="BA779" s="48"/>
      <c r="BB779" s="48"/>
      <c r="BC779" s="48"/>
      <c r="BD779" s="48"/>
      <c r="BE779" s="48"/>
      <c r="BF779" s="48"/>
      <c r="BG779" s="48"/>
      <c r="BH779" s="48"/>
      <c r="BI779" s="48"/>
      <c r="BJ779" s="48"/>
      <c r="BK779" s="48"/>
      <c r="BL779" s="48"/>
      <c r="BM779" s="48"/>
      <c r="BN779" s="48"/>
      <c r="BO779" s="48"/>
      <c r="BP779" s="48"/>
      <c r="BQ779" s="48"/>
      <c r="BR779" s="48"/>
      <c r="BS779" s="48"/>
      <c r="BT779" s="48"/>
      <c r="BU779" s="48"/>
      <c r="BV779" s="48"/>
      <c r="BW779" s="48"/>
      <c r="BX779" s="48"/>
      <c r="BY779" s="48"/>
      <c r="BZ779" s="48"/>
      <c r="CA779" s="48"/>
      <c r="CB779" s="48"/>
      <c r="CC779" s="48"/>
      <c r="CD779" s="48"/>
      <c r="CE779" s="48"/>
      <c r="CF779" s="48"/>
      <c r="CG779" s="48"/>
      <c r="CH779" s="48"/>
    </row>
    <row r="780" spans="5:86" s="46" customFormat="1" x14ac:dyDescent="0.55000000000000004">
      <c r="E780" s="48"/>
      <c r="F780" s="48"/>
      <c r="G780" s="48"/>
      <c r="H780" s="48"/>
      <c r="I780" s="48"/>
      <c r="L780" s="166"/>
      <c r="M780" s="48"/>
      <c r="N780" s="48"/>
      <c r="O780" s="48"/>
      <c r="P780" s="48"/>
      <c r="Q780" s="48"/>
      <c r="R780" s="48"/>
      <c r="S780" s="48"/>
      <c r="T780" s="48"/>
      <c r="U780" s="48"/>
      <c r="V780" s="48"/>
      <c r="W780" s="48"/>
      <c r="X780" s="48"/>
      <c r="Y780" s="48"/>
      <c r="Z780" s="48"/>
      <c r="AA780" s="48"/>
      <c r="AB780" s="48"/>
      <c r="AC780" s="48"/>
      <c r="AD780" s="48"/>
      <c r="AE780" s="48"/>
      <c r="AF780" s="48"/>
      <c r="AG780" s="48"/>
      <c r="AH780" s="48"/>
      <c r="AI780" s="48"/>
      <c r="AJ780" s="48"/>
      <c r="AK780" s="48"/>
      <c r="AL780" s="48"/>
      <c r="AM780" s="48"/>
      <c r="AN780" s="48"/>
      <c r="AO780" s="48"/>
      <c r="AP780" s="48"/>
      <c r="AQ780" s="48"/>
      <c r="AR780" s="48"/>
      <c r="AS780" s="48"/>
      <c r="AT780" s="48"/>
      <c r="AU780" s="48"/>
      <c r="AV780" s="48"/>
      <c r="AW780" s="48"/>
      <c r="AX780" s="48"/>
      <c r="AY780" s="48"/>
      <c r="AZ780" s="48"/>
      <c r="BA780" s="48"/>
      <c r="BB780" s="48"/>
      <c r="BC780" s="48"/>
      <c r="BD780" s="48"/>
      <c r="BE780" s="48"/>
      <c r="BF780" s="48"/>
      <c r="BG780" s="48"/>
      <c r="BH780" s="48"/>
      <c r="BI780" s="48"/>
      <c r="BJ780" s="48"/>
      <c r="BK780" s="48"/>
      <c r="BL780" s="48"/>
      <c r="BM780" s="48"/>
      <c r="BN780" s="48"/>
      <c r="BO780" s="48"/>
      <c r="BP780" s="48"/>
      <c r="BQ780" s="48"/>
      <c r="BR780" s="48"/>
      <c r="BS780" s="48"/>
      <c r="BT780" s="48"/>
      <c r="BU780" s="48"/>
      <c r="BV780" s="48"/>
      <c r="BW780" s="48"/>
      <c r="BX780" s="48"/>
      <c r="BY780" s="48"/>
      <c r="BZ780" s="48"/>
      <c r="CA780" s="48"/>
      <c r="CB780" s="48"/>
      <c r="CC780" s="48"/>
      <c r="CD780" s="48"/>
      <c r="CE780" s="48"/>
      <c r="CF780" s="48"/>
      <c r="CG780" s="48"/>
      <c r="CH780" s="48"/>
    </row>
    <row r="781" spans="5:86" s="46" customFormat="1" x14ac:dyDescent="0.55000000000000004">
      <c r="E781" s="48"/>
      <c r="F781" s="48"/>
      <c r="G781" s="48"/>
      <c r="H781" s="48"/>
      <c r="I781" s="48"/>
      <c r="L781" s="166"/>
      <c r="M781" s="48"/>
      <c r="N781" s="48"/>
      <c r="O781" s="48"/>
      <c r="P781" s="48"/>
      <c r="Q781" s="48"/>
      <c r="R781" s="48"/>
      <c r="S781" s="48"/>
      <c r="T781" s="48"/>
      <c r="U781" s="48"/>
      <c r="V781" s="48"/>
      <c r="W781" s="48"/>
      <c r="X781" s="48"/>
      <c r="Y781" s="48"/>
      <c r="Z781" s="48"/>
      <c r="AA781" s="48"/>
      <c r="AB781" s="48"/>
      <c r="AC781" s="48"/>
      <c r="AD781" s="48"/>
      <c r="AE781" s="48"/>
      <c r="AF781" s="48"/>
      <c r="AG781" s="48"/>
      <c r="AH781" s="48"/>
      <c r="AI781" s="48"/>
      <c r="AJ781" s="48"/>
      <c r="AK781" s="48"/>
      <c r="AL781" s="48"/>
      <c r="AM781" s="48"/>
      <c r="AN781" s="48"/>
      <c r="AO781" s="48"/>
      <c r="AP781" s="48"/>
      <c r="AQ781" s="48"/>
      <c r="AR781" s="48"/>
      <c r="AS781" s="48"/>
      <c r="AT781" s="48"/>
      <c r="AU781" s="48"/>
      <c r="AV781" s="48"/>
      <c r="AW781" s="48"/>
      <c r="AX781" s="48"/>
      <c r="AY781" s="48"/>
      <c r="AZ781" s="48"/>
      <c r="BA781" s="48"/>
      <c r="BB781" s="48"/>
      <c r="BC781" s="48"/>
      <c r="BD781" s="48"/>
      <c r="BE781" s="48"/>
      <c r="BF781" s="48"/>
      <c r="BG781" s="48"/>
      <c r="BH781" s="48"/>
      <c r="BI781" s="48"/>
      <c r="BJ781" s="48"/>
      <c r="BK781" s="48"/>
      <c r="BL781" s="48"/>
      <c r="BM781" s="48"/>
      <c r="BN781" s="48"/>
      <c r="BO781" s="48"/>
      <c r="BP781" s="48"/>
      <c r="BQ781" s="48"/>
      <c r="BR781" s="48"/>
      <c r="BS781" s="48"/>
      <c r="BT781" s="48"/>
      <c r="BU781" s="48"/>
      <c r="BV781" s="48"/>
      <c r="BW781" s="48"/>
      <c r="BX781" s="48"/>
      <c r="BY781" s="48"/>
      <c r="BZ781" s="48"/>
      <c r="CA781" s="48"/>
      <c r="CB781" s="48"/>
      <c r="CC781" s="48"/>
      <c r="CD781" s="48"/>
      <c r="CE781" s="48"/>
      <c r="CF781" s="48"/>
      <c r="CG781" s="48"/>
      <c r="CH781" s="48"/>
    </row>
    <row r="782" spans="5:86" s="46" customFormat="1" x14ac:dyDescent="0.55000000000000004">
      <c r="E782" s="48"/>
      <c r="F782" s="48"/>
      <c r="G782" s="48"/>
      <c r="H782" s="48"/>
      <c r="I782" s="48"/>
      <c r="L782" s="166"/>
      <c r="M782" s="48"/>
      <c r="N782" s="48"/>
      <c r="O782" s="48"/>
      <c r="P782" s="48"/>
      <c r="Q782" s="48"/>
      <c r="R782" s="48"/>
      <c r="S782" s="48"/>
      <c r="T782" s="48"/>
      <c r="U782" s="48"/>
      <c r="V782" s="48"/>
      <c r="W782" s="48"/>
      <c r="X782" s="48"/>
      <c r="Y782" s="48"/>
      <c r="Z782" s="48"/>
      <c r="AA782" s="48"/>
      <c r="AB782" s="48"/>
      <c r="AC782" s="48"/>
      <c r="AD782" s="48"/>
      <c r="AE782" s="48"/>
      <c r="AF782" s="48"/>
      <c r="AG782" s="48"/>
      <c r="AH782" s="48"/>
      <c r="AI782" s="48"/>
      <c r="AJ782" s="48"/>
      <c r="AK782" s="48"/>
      <c r="AL782" s="48"/>
      <c r="AM782" s="48"/>
      <c r="AN782" s="48"/>
      <c r="AO782" s="48"/>
      <c r="AP782" s="48"/>
      <c r="AQ782" s="48"/>
      <c r="AR782" s="48"/>
      <c r="AS782" s="48"/>
      <c r="AT782" s="48"/>
      <c r="AU782" s="48"/>
      <c r="AV782" s="48"/>
      <c r="AW782" s="48"/>
      <c r="AX782" s="48"/>
      <c r="AY782" s="48"/>
      <c r="AZ782" s="48"/>
      <c r="BA782" s="48"/>
      <c r="BB782" s="48"/>
      <c r="BC782" s="48"/>
      <c r="BD782" s="48"/>
      <c r="BE782" s="48"/>
      <c r="BF782" s="48"/>
      <c r="BG782" s="48"/>
      <c r="BH782" s="48"/>
      <c r="BI782" s="48"/>
      <c r="BJ782" s="48"/>
      <c r="BK782" s="48"/>
      <c r="BL782" s="48"/>
      <c r="BM782" s="48"/>
      <c r="BN782" s="48"/>
      <c r="BO782" s="48"/>
      <c r="BP782" s="48"/>
      <c r="BQ782" s="48"/>
      <c r="BR782" s="48"/>
      <c r="BS782" s="48"/>
      <c r="BT782" s="48"/>
      <c r="BU782" s="48"/>
      <c r="BV782" s="48"/>
      <c r="BW782" s="48"/>
      <c r="BX782" s="48"/>
      <c r="BY782" s="48"/>
      <c r="BZ782" s="48"/>
      <c r="CA782" s="48"/>
      <c r="CB782" s="48"/>
      <c r="CC782" s="48"/>
      <c r="CD782" s="48"/>
      <c r="CE782" s="48"/>
      <c r="CF782" s="48"/>
      <c r="CG782" s="48"/>
      <c r="CH782" s="48"/>
    </row>
    <row r="783" spans="5:86" x14ac:dyDescent="0.55000000000000004">
      <c r="I783" s="48"/>
      <c r="L783" s="166"/>
    </row>
    <row r="784" spans="5:86" x14ac:dyDescent="0.55000000000000004">
      <c r="I784" s="48"/>
      <c r="L784" s="166"/>
    </row>
    <row r="785" spans="9:12" x14ac:dyDescent="0.55000000000000004">
      <c r="I785" s="48"/>
      <c r="L785" s="166"/>
    </row>
    <row r="786" spans="9:12" x14ac:dyDescent="0.55000000000000004">
      <c r="I786" s="48"/>
      <c r="L786" s="166"/>
    </row>
    <row r="787" spans="9:12" x14ac:dyDescent="0.55000000000000004">
      <c r="I787" s="48"/>
      <c r="L787" s="166"/>
    </row>
    <row r="788" spans="9:12" x14ac:dyDescent="0.55000000000000004">
      <c r="I788" s="48"/>
      <c r="L788" s="166"/>
    </row>
    <row r="789" spans="9:12" x14ac:dyDescent="0.55000000000000004">
      <c r="I789" s="48"/>
      <c r="L789" s="166"/>
    </row>
    <row r="790" spans="9:12" x14ac:dyDescent="0.55000000000000004">
      <c r="I790" s="48"/>
      <c r="L790" s="166"/>
    </row>
    <row r="791" spans="9:12" x14ac:dyDescent="0.55000000000000004">
      <c r="I791" s="48"/>
      <c r="L791" s="166"/>
    </row>
    <row r="792" spans="9:12" x14ac:dyDescent="0.55000000000000004">
      <c r="I792" s="48"/>
      <c r="L792" s="166"/>
    </row>
    <row r="793" spans="9:12" x14ac:dyDescent="0.55000000000000004">
      <c r="I793" s="48"/>
      <c r="L793" s="166"/>
    </row>
    <row r="794" spans="9:12" x14ac:dyDescent="0.55000000000000004">
      <c r="I794" s="48"/>
      <c r="L794" s="166"/>
    </row>
    <row r="795" spans="9:12" x14ac:dyDescent="0.55000000000000004">
      <c r="I795" s="48"/>
      <c r="L795" s="166"/>
    </row>
    <row r="796" spans="9:12" x14ac:dyDescent="0.55000000000000004">
      <c r="I796" s="48"/>
      <c r="L796" s="166"/>
    </row>
    <row r="797" spans="9:12" x14ac:dyDescent="0.55000000000000004">
      <c r="I797" s="48"/>
      <c r="L797" s="166"/>
    </row>
    <row r="798" spans="9:12" x14ac:dyDescent="0.55000000000000004">
      <c r="I798" s="48"/>
      <c r="L798" s="166"/>
    </row>
    <row r="799" spans="9:12" x14ac:dyDescent="0.55000000000000004">
      <c r="I799" s="48"/>
      <c r="L799" s="166"/>
    </row>
    <row r="800" spans="9:12" x14ac:dyDescent="0.55000000000000004">
      <c r="I800" s="48"/>
      <c r="L800" s="166"/>
    </row>
    <row r="801" spans="9:12" x14ac:dyDescent="0.55000000000000004">
      <c r="I801" s="48"/>
      <c r="L801" s="166"/>
    </row>
    <row r="802" spans="9:12" x14ac:dyDescent="0.55000000000000004">
      <c r="I802" s="48"/>
      <c r="L802" s="166"/>
    </row>
    <row r="803" spans="9:12" x14ac:dyDescent="0.55000000000000004">
      <c r="I803" s="48"/>
      <c r="L803" s="166"/>
    </row>
    <row r="804" spans="9:12" x14ac:dyDescent="0.55000000000000004">
      <c r="I804" s="48"/>
      <c r="L804" s="166"/>
    </row>
    <row r="805" spans="9:12" x14ac:dyDescent="0.55000000000000004">
      <c r="I805" s="48"/>
      <c r="L805" s="166"/>
    </row>
    <row r="806" spans="9:12" x14ac:dyDescent="0.55000000000000004">
      <c r="I806" s="48"/>
      <c r="L806" s="166"/>
    </row>
  </sheetData>
  <mergeCells count="7">
    <mergeCell ref="A164:L164"/>
    <mergeCell ref="J1:L1"/>
    <mergeCell ref="J2:L2"/>
    <mergeCell ref="J3:L3"/>
    <mergeCell ref="A4:C4"/>
    <mergeCell ref="J4:L4"/>
    <mergeCell ref="E5:H5"/>
  </mergeCells>
  <phoneticPr fontId="1"/>
  <dataValidations count="1">
    <dataValidation type="list" allowBlank="1" showInputMessage="1" sqref="K6:K161" xr:uid="{B61C7653-E9D4-4831-B31F-492085838D79}">
      <formula1>#REF!</formula1>
    </dataValidation>
  </dataValidations>
  <pageMargins left="0.7" right="0.7" top="0.75" bottom="0.75" header="0.3" footer="0.3"/>
  <pageSetup paperSize="9" scale="34" orientation="portrait" horizontalDpi="300" verticalDpi="300" r:id="rId1"/>
  <colBreaks count="1" manualBreakCount="1">
    <brk id="12"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29080-9B34-4DA9-974B-AA978D898924}">
  <sheetPr codeName="Sheet1">
    <tabColor theme="0" tint="-0.499984740745262"/>
  </sheetPr>
  <dimension ref="A1:BH48"/>
  <sheetViews>
    <sheetView workbookViewId="0"/>
  </sheetViews>
  <sheetFormatPr defaultRowHeight="18" x14ac:dyDescent="0.55000000000000004"/>
  <cols>
    <col min="1" max="1" width="16.4140625" bestFit="1" customWidth="1"/>
    <col min="2" max="2" width="10.5" bestFit="1" customWidth="1"/>
    <col min="3" max="3" width="14.4140625" bestFit="1" customWidth="1"/>
    <col min="4" max="4" width="14.33203125" bestFit="1" customWidth="1"/>
    <col min="5" max="5" width="26" bestFit="1" customWidth="1"/>
    <col min="6" max="6" width="19.4140625" bestFit="1" customWidth="1"/>
    <col min="7" max="8" width="17.9140625" bestFit="1" customWidth="1"/>
    <col min="9" max="10" width="19.6640625" bestFit="1" customWidth="1"/>
    <col min="11" max="12" width="17.33203125" bestFit="1" customWidth="1"/>
    <col min="13" max="14" width="17.5" bestFit="1" customWidth="1"/>
    <col min="15" max="16" width="17.08203125" bestFit="1" customWidth="1"/>
    <col min="17" max="26" width="18.08203125" bestFit="1" customWidth="1"/>
    <col min="27" max="40" width="17.4140625" bestFit="1" customWidth="1"/>
    <col min="41" max="42" width="17.6640625" bestFit="1" customWidth="1"/>
    <col min="43" max="44" width="17.9140625" bestFit="1" customWidth="1"/>
    <col min="45" max="46" width="18.6640625" bestFit="1" customWidth="1"/>
    <col min="47" max="52" width="26.1640625" bestFit="1" customWidth="1"/>
    <col min="53" max="56" width="26.9140625" bestFit="1" customWidth="1"/>
    <col min="57" max="60" width="25.58203125" bestFit="1" customWidth="1"/>
  </cols>
  <sheetData>
    <row r="1" spans="1:60" x14ac:dyDescent="0.55000000000000004">
      <c r="A1" t="s">
        <v>5727</v>
      </c>
      <c r="B1" t="s">
        <v>5728</v>
      </c>
      <c r="C1" t="s">
        <v>5729</v>
      </c>
      <c r="D1" t="s">
        <v>5730</v>
      </c>
      <c r="E1" t="s">
        <v>5731</v>
      </c>
      <c r="F1" t="s">
        <v>5732</v>
      </c>
      <c r="G1" t="s">
        <v>5733</v>
      </c>
      <c r="H1" t="s">
        <v>5734</v>
      </c>
      <c r="I1" t="s">
        <v>5735</v>
      </c>
      <c r="J1" t="s">
        <v>5736</v>
      </c>
      <c r="K1" t="s">
        <v>5737</v>
      </c>
      <c r="L1" t="s">
        <v>5738</v>
      </c>
      <c r="M1" t="s">
        <v>5739</v>
      </c>
      <c r="N1" t="s">
        <v>5740</v>
      </c>
      <c r="O1" t="s">
        <v>5741</v>
      </c>
      <c r="P1" t="s">
        <v>5742</v>
      </c>
      <c r="Q1" t="s">
        <v>5743</v>
      </c>
      <c r="R1" t="s">
        <v>5744</v>
      </c>
      <c r="S1" t="s">
        <v>5745</v>
      </c>
      <c r="T1" t="s">
        <v>5746</v>
      </c>
      <c r="U1" t="s">
        <v>5747</v>
      </c>
      <c r="V1" t="s">
        <v>5748</v>
      </c>
      <c r="W1" t="s">
        <v>5749</v>
      </c>
      <c r="X1" t="s">
        <v>5750</v>
      </c>
      <c r="Y1" t="s">
        <v>5751</v>
      </c>
      <c r="Z1" t="s">
        <v>5752</v>
      </c>
      <c r="AA1" t="s">
        <v>5753</v>
      </c>
      <c r="AB1" t="s">
        <v>5754</v>
      </c>
      <c r="AC1" t="s">
        <v>5755</v>
      </c>
      <c r="AD1" t="s">
        <v>5756</v>
      </c>
      <c r="AE1" t="s">
        <v>5757</v>
      </c>
      <c r="AF1" t="s">
        <v>5758</v>
      </c>
      <c r="AG1" t="s">
        <v>5759</v>
      </c>
      <c r="AH1" t="s">
        <v>5760</v>
      </c>
      <c r="AI1" t="s">
        <v>5761</v>
      </c>
      <c r="AJ1" t="s">
        <v>5762</v>
      </c>
      <c r="AK1" t="s">
        <v>5763</v>
      </c>
      <c r="AL1" t="s">
        <v>5764</v>
      </c>
      <c r="AM1" t="s">
        <v>5765</v>
      </c>
      <c r="AN1" t="s">
        <v>5766</v>
      </c>
      <c r="AO1" t="s">
        <v>5767</v>
      </c>
      <c r="AP1" t="s">
        <v>5768</v>
      </c>
      <c r="AQ1" t="s">
        <v>5769</v>
      </c>
      <c r="AR1" t="s">
        <v>5770</v>
      </c>
      <c r="AS1" t="s">
        <v>5771</v>
      </c>
      <c r="AT1" t="s">
        <v>5772</v>
      </c>
      <c r="AU1" t="s">
        <v>5773</v>
      </c>
      <c r="AV1" t="s">
        <v>5774</v>
      </c>
      <c r="AW1" t="s">
        <v>5775</v>
      </c>
      <c r="AX1" t="s">
        <v>5776</v>
      </c>
      <c r="AY1" t="s">
        <v>5777</v>
      </c>
      <c r="AZ1" t="s">
        <v>5778</v>
      </c>
      <c r="BA1" t="s">
        <v>5779</v>
      </c>
      <c r="BB1" t="s">
        <v>5780</v>
      </c>
      <c r="BC1" t="s">
        <v>5781</v>
      </c>
      <c r="BD1" t="s">
        <v>5782</v>
      </c>
      <c r="BE1" t="s">
        <v>5783</v>
      </c>
      <c r="BF1" t="s">
        <v>5784</v>
      </c>
      <c r="BG1" t="s">
        <v>5785</v>
      </c>
      <c r="BH1" t="s">
        <v>5786</v>
      </c>
    </row>
    <row r="2" spans="1:60" x14ac:dyDescent="0.55000000000000004">
      <c r="A2" s="209" t="s">
        <v>5787</v>
      </c>
      <c r="B2" s="209" t="s">
        <v>5788</v>
      </c>
      <c r="C2" s="209" t="s">
        <v>5789</v>
      </c>
      <c r="D2" s="209" t="s">
        <v>5790</v>
      </c>
      <c r="E2" s="209" t="s">
        <v>133</v>
      </c>
      <c r="F2" s="209" t="s">
        <v>133</v>
      </c>
      <c r="G2" s="209" t="s">
        <v>891</v>
      </c>
      <c r="H2" s="209" t="s">
        <v>896</v>
      </c>
      <c r="I2" s="209" t="s">
        <v>2032</v>
      </c>
      <c r="J2" s="209" t="s">
        <v>2034</v>
      </c>
      <c r="K2" s="209" t="s">
        <v>1852</v>
      </c>
      <c r="L2" s="209" t="s">
        <v>1855</v>
      </c>
      <c r="M2" s="209" t="s">
        <v>134</v>
      </c>
      <c r="N2" s="209" t="s">
        <v>147</v>
      </c>
      <c r="O2" s="209" t="s">
        <v>1191</v>
      </c>
      <c r="P2" s="209" t="s">
        <v>1197</v>
      </c>
      <c r="Q2" s="209" t="s">
        <v>5791</v>
      </c>
      <c r="R2" s="209" t="s">
        <v>5792</v>
      </c>
      <c r="S2" s="209" t="s">
        <v>5793</v>
      </c>
      <c r="T2" s="209" t="s">
        <v>5794</v>
      </c>
      <c r="U2" s="209" t="s">
        <v>5795</v>
      </c>
      <c r="V2" s="209" t="s">
        <v>5796</v>
      </c>
      <c r="W2" s="209" t="s">
        <v>132</v>
      </c>
      <c r="X2" s="209" t="s">
        <v>132</v>
      </c>
      <c r="Y2" s="209" t="s">
        <v>132</v>
      </c>
      <c r="Z2" s="209" t="s">
        <v>132</v>
      </c>
      <c r="AA2" s="209" t="s">
        <v>132</v>
      </c>
      <c r="AB2" s="209" t="s">
        <v>132</v>
      </c>
      <c r="AC2" s="209" t="s">
        <v>1290</v>
      </c>
      <c r="AD2" s="209" t="s">
        <v>1296</v>
      </c>
      <c r="AE2" s="209" t="s">
        <v>1301</v>
      </c>
      <c r="AF2" s="209" t="s">
        <v>1306</v>
      </c>
      <c r="AG2" s="209" t="s">
        <v>1311</v>
      </c>
      <c r="AH2" s="209" t="s">
        <v>1316</v>
      </c>
      <c r="AI2" s="209" t="s">
        <v>132</v>
      </c>
      <c r="AJ2" s="209" t="s">
        <v>132</v>
      </c>
      <c r="AK2" s="209" t="s">
        <v>132</v>
      </c>
      <c r="AL2" s="209" t="s">
        <v>132</v>
      </c>
      <c r="AM2" s="209" t="s">
        <v>132</v>
      </c>
      <c r="AN2" s="209" t="s">
        <v>132</v>
      </c>
      <c r="AO2" s="209" t="s">
        <v>5797</v>
      </c>
      <c r="AP2" s="209" t="s">
        <v>132</v>
      </c>
      <c r="AQ2" s="209" t="s">
        <v>133</v>
      </c>
      <c r="AR2" s="209" t="s">
        <v>133</v>
      </c>
      <c r="AS2" s="209" t="s">
        <v>133</v>
      </c>
      <c r="AT2" s="209" t="s">
        <v>133</v>
      </c>
      <c r="AU2" s="209" t="s">
        <v>133</v>
      </c>
      <c r="AV2" s="209" t="s">
        <v>133</v>
      </c>
      <c r="AW2" s="209" t="s">
        <v>133</v>
      </c>
      <c r="AX2" s="209" t="s">
        <v>133</v>
      </c>
      <c r="AY2" s="209" t="s">
        <v>133</v>
      </c>
      <c r="AZ2" s="209" t="s">
        <v>133</v>
      </c>
      <c r="BA2" s="209" t="s">
        <v>133</v>
      </c>
      <c r="BB2" s="209" t="s">
        <v>133</v>
      </c>
      <c r="BC2" s="209" t="s">
        <v>133</v>
      </c>
      <c r="BD2" s="209" t="s">
        <v>133</v>
      </c>
      <c r="BE2" s="209" t="s">
        <v>133</v>
      </c>
      <c r="BF2" s="209" t="s">
        <v>133</v>
      </c>
      <c r="BG2" s="209" t="s">
        <v>133</v>
      </c>
      <c r="BH2" s="209" t="s">
        <v>133</v>
      </c>
    </row>
    <row r="3" spans="1:60" x14ac:dyDescent="0.55000000000000004">
      <c r="A3" s="209" t="s">
        <v>5798</v>
      </c>
      <c r="B3" s="209" t="s">
        <v>5788</v>
      </c>
      <c r="C3" s="209" t="s">
        <v>5789</v>
      </c>
      <c r="D3" s="209" t="s">
        <v>5790</v>
      </c>
      <c r="E3" s="209" t="s">
        <v>133</v>
      </c>
      <c r="F3" s="209" t="s">
        <v>133</v>
      </c>
      <c r="G3" s="209" t="s">
        <v>891</v>
      </c>
      <c r="H3" s="209" t="s">
        <v>896</v>
      </c>
      <c r="I3" s="209" t="s">
        <v>2032</v>
      </c>
      <c r="J3" s="209" t="s">
        <v>2034</v>
      </c>
      <c r="K3" s="209" t="s">
        <v>1857</v>
      </c>
      <c r="L3" s="209" t="s">
        <v>1860</v>
      </c>
      <c r="M3" s="209" t="s">
        <v>154</v>
      </c>
      <c r="N3" s="209" t="s">
        <v>167</v>
      </c>
      <c r="O3" s="209" t="s">
        <v>1202</v>
      </c>
      <c r="P3" s="209" t="s">
        <v>1207</v>
      </c>
      <c r="Q3" s="209" t="s">
        <v>5799</v>
      </c>
      <c r="R3" s="209" t="s">
        <v>5800</v>
      </c>
      <c r="S3" s="209" t="s">
        <v>132</v>
      </c>
      <c r="T3" s="209" t="s">
        <v>132</v>
      </c>
      <c r="U3" s="209" t="s">
        <v>132</v>
      </c>
      <c r="V3" s="209" t="s">
        <v>132</v>
      </c>
      <c r="W3" s="209" t="s">
        <v>132</v>
      </c>
      <c r="X3" s="209" t="s">
        <v>132</v>
      </c>
      <c r="Y3" s="209" t="s">
        <v>132</v>
      </c>
      <c r="Z3" s="209" t="s">
        <v>132</v>
      </c>
      <c r="AA3" s="209" t="s">
        <v>132</v>
      </c>
      <c r="AB3" s="209" t="s">
        <v>132</v>
      </c>
      <c r="AC3" s="209" t="s">
        <v>1321</v>
      </c>
      <c r="AD3" s="209" t="s">
        <v>1327</v>
      </c>
      <c r="AE3" s="209" t="s">
        <v>132</v>
      </c>
      <c r="AF3" s="209" t="s">
        <v>132</v>
      </c>
      <c r="AG3" s="209" t="s">
        <v>132</v>
      </c>
      <c r="AH3" s="209" t="s">
        <v>132</v>
      </c>
      <c r="AI3" s="209" t="s">
        <v>132</v>
      </c>
      <c r="AJ3" s="209" t="s">
        <v>132</v>
      </c>
      <c r="AK3" s="209" t="s">
        <v>132</v>
      </c>
      <c r="AL3" s="209" t="s">
        <v>132</v>
      </c>
      <c r="AM3" s="209" t="s">
        <v>132</v>
      </c>
      <c r="AN3" s="209" t="s">
        <v>132</v>
      </c>
      <c r="AO3" s="209" t="s">
        <v>5801</v>
      </c>
      <c r="AP3" s="209" t="s">
        <v>132</v>
      </c>
      <c r="AQ3" s="209" t="s">
        <v>133</v>
      </c>
      <c r="AR3" s="209" t="s">
        <v>133</v>
      </c>
      <c r="AS3" s="209" t="s">
        <v>133</v>
      </c>
      <c r="AT3" s="209" t="s">
        <v>133</v>
      </c>
      <c r="AU3" s="209" t="s">
        <v>133</v>
      </c>
      <c r="AV3" s="209" t="s">
        <v>133</v>
      </c>
      <c r="AW3" s="209" t="s">
        <v>133</v>
      </c>
      <c r="AX3" s="209" t="s">
        <v>133</v>
      </c>
      <c r="AY3" s="209" t="s">
        <v>133</v>
      </c>
      <c r="AZ3" s="209" t="s">
        <v>133</v>
      </c>
      <c r="BA3" s="209" t="s">
        <v>133</v>
      </c>
      <c r="BB3" s="209" t="s">
        <v>133</v>
      </c>
      <c r="BC3" s="209" t="s">
        <v>133</v>
      </c>
      <c r="BD3" s="209" t="s">
        <v>133</v>
      </c>
      <c r="BE3" s="209" t="s">
        <v>133</v>
      </c>
      <c r="BF3" s="209" t="s">
        <v>133</v>
      </c>
      <c r="BG3" s="209" t="s">
        <v>133</v>
      </c>
      <c r="BH3" s="209" t="s">
        <v>133</v>
      </c>
    </row>
    <row r="4" spans="1:60" x14ac:dyDescent="0.55000000000000004">
      <c r="A4" s="209" t="s">
        <v>5802</v>
      </c>
      <c r="B4" s="209" t="s">
        <v>5803</v>
      </c>
      <c r="C4" s="209" t="s">
        <v>5804</v>
      </c>
      <c r="D4" s="209" t="s">
        <v>5805</v>
      </c>
      <c r="E4" s="209" t="s">
        <v>133</v>
      </c>
      <c r="F4" s="209" t="s">
        <v>133</v>
      </c>
      <c r="G4" s="209" t="s">
        <v>900</v>
      </c>
      <c r="H4" s="209" t="s">
        <v>905</v>
      </c>
      <c r="I4" s="209" t="s">
        <v>2036</v>
      </c>
      <c r="J4" s="209" t="s">
        <v>2038</v>
      </c>
      <c r="K4" s="209" t="s">
        <v>1862</v>
      </c>
      <c r="L4" s="209" t="s">
        <v>1864</v>
      </c>
      <c r="M4" s="209" t="s">
        <v>174</v>
      </c>
      <c r="N4" s="209" t="s">
        <v>187</v>
      </c>
      <c r="O4" s="209" t="s">
        <v>132</v>
      </c>
      <c r="P4" s="209" t="s">
        <v>132</v>
      </c>
      <c r="Q4" s="209" t="s">
        <v>2166</v>
      </c>
      <c r="R4" s="209" t="s">
        <v>2182</v>
      </c>
      <c r="S4" s="209" t="s">
        <v>132</v>
      </c>
      <c r="T4" s="209" t="s">
        <v>132</v>
      </c>
      <c r="U4" s="209" t="s">
        <v>132</v>
      </c>
      <c r="V4" s="209" t="s">
        <v>132</v>
      </c>
      <c r="W4" s="209" t="s">
        <v>132</v>
      </c>
      <c r="X4" s="209" t="s">
        <v>132</v>
      </c>
      <c r="Y4" s="209" t="s">
        <v>132</v>
      </c>
      <c r="Z4" s="209" t="s">
        <v>132</v>
      </c>
      <c r="AA4" s="209" t="s">
        <v>132</v>
      </c>
      <c r="AB4" s="209" t="s">
        <v>132</v>
      </c>
      <c r="AC4" s="209" t="s">
        <v>132</v>
      </c>
      <c r="AD4" s="209" t="s">
        <v>132</v>
      </c>
      <c r="AE4" s="209" t="s">
        <v>132</v>
      </c>
      <c r="AF4" s="209" t="s">
        <v>132</v>
      </c>
      <c r="AG4" s="209" t="s">
        <v>132</v>
      </c>
      <c r="AH4" s="209" t="s">
        <v>132</v>
      </c>
      <c r="AI4" s="209" t="s">
        <v>132</v>
      </c>
      <c r="AJ4" s="209" t="s">
        <v>132</v>
      </c>
      <c r="AK4" s="209" t="s">
        <v>132</v>
      </c>
      <c r="AL4" s="209" t="s">
        <v>132</v>
      </c>
      <c r="AM4" s="209" t="s">
        <v>132</v>
      </c>
      <c r="AN4" s="209" t="s">
        <v>132</v>
      </c>
      <c r="AO4" s="209" t="s">
        <v>132</v>
      </c>
      <c r="AP4" s="209" t="s">
        <v>132</v>
      </c>
      <c r="AQ4" s="209" t="s">
        <v>133</v>
      </c>
      <c r="AR4" s="209" t="s">
        <v>133</v>
      </c>
      <c r="AS4" s="209" t="s">
        <v>133</v>
      </c>
      <c r="AT4" s="209" t="s">
        <v>133</v>
      </c>
      <c r="AU4" s="209" t="s">
        <v>133</v>
      </c>
      <c r="AV4" s="209" t="s">
        <v>133</v>
      </c>
      <c r="AW4" s="209" t="s">
        <v>133</v>
      </c>
      <c r="AX4" s="209" t="s">
        <v>133</v>
      </c>
      <c r="AY4" s="209" t="s">
        <v>133</v>
      </c>
      <c r="AZ4" s="209" t="s">
        <v>133</v>
      </c>
      <c r="BA4" s="209" t="s">
        <v>133</v>
      </c>
      <c r="BB4" s="209" t="s">
        <v>133</v>
      </c>
      <c r="BC4" s="209" t="s">
        <v>133</v>
      </c>
      <c r="BD4" s="209" t="s">
        <v>133</v>
      </c>
      <c r="BE4" s="209" t="s">
        <v>133</v>
      </c>
      <c r="BF4" s="209" t="s">
        <v>133</v>
      </c>
      <c r="BG4" s="209" t="s">
        <v>133</v>
      </c>
      <c r="BH4" s="209" t="s">
        <v>133</v>
      </c>
    </row>
    <row r="5" spans="1:60" x14ac:dyDescent="0.55000000000000004">
      <c r="A5" s="209" t="s">
        <v>5806</v>
      </c>
      <c r="B5" s="209" t="s">
        <v>5803</v>
      </c>
      <c r="C5" s="209" t="s">
        <v>5804</v>
      </c>
      <c r="D5" s="209" t="s">
        <v>5805</v>
      </c>
      <c r="E5" s="209" t="s">
        <v>133</v>
      </c>
      <c r="F5" s="209" t="s">
        <v>133</v>
      </c>
      <c r="G5" s="209" t="s">
        <v>909</v>
      </c>
      <c r="H5" s="209" t="s">
        <v>914</v>
      </c>
      <c r="I5" s="209" t="s">
        <v>2040</v>
      </c>
      <c r="J5" s="209" t="s">
        <v>2041</v>
      </c>
      <c r="K5" s="209" t="s">
        <v>1866</v>
      </c>
      <c r="L5" s="209" t="s">
        <v>1868</v>
      </c>
      <c r="M5" s="209" t="s">
        <v>194</v>
      </c>
      <c r="N5" s="209" t="s">
        <v>207</v>
      </c>
      <c r="O5" s="209" t="s">
        <v>132</v>
      </c>
      <c r="P5" s="209" t="s">
        <v>132</v>
      </c>
      <c r="Q5" s="209" t="s">
        <v>2191</v>
      </c>
      <c r="R5" s="209" t="s">
        <v>2204</v>
      </c>
      <c r="S5" s="209" t="s">
        <v>2213</v>
      </c>
      <c r="T5" s="209" t="s">
        <v>2227</v>
      </c>
      <c r="U5" s="209" t="s">
        <v>2237</v>
      </c>
      <c r="V5" s="209" t="s">
        <v>2251</v>
      </c>
      <c r="W5" s="209" t="s">
        <v>2261</v>
      </c>
      <c r="X5" s="209" t="s">
        <v>2275</v>
      </c>
      <c r="Y5" s="209" t="s">
        <v>2285</v>
      </c>
      <c r="Z5" s="209" t="s">
        <v>2300</v>
      </c>
      <c r="AA5" s="209" t="s">
        <v>2310</v>
      </c>
      <c r="AB5" s="209" t="s">
        <v>2324</v>
      </c>
      <c r="AC5" s="209" t="s">
        <v>132</v>
      </c>
      <c r="AD5" s="209" t="s">
        <v>132</v>
      </c>
      <c r="AE5" s="209" t="s">
        <v>132</v>
      </c>
      <c r="AF5" s="209" t="s">
        <v>132</v>
      </c>
      <c r="AG5" s="209" t="s">
        <v>132</v>
      </c>
      <c r="AH5" s="209" t="s">
        <v>132</v>
      </c>
      <c r="AI5" s="209" t="s">
        <v>132</v>
      </c>
      <c r="AJ5" s="209" t="s">
        <v>132</v>
      </c>
      <c r="AK5" s="209" t="s">
        <v>1332</v>
      </c>
      <c r="AL5" s="209" t="s">
        <v>1338</v>
      </c>
      <c r="AM5" s="209" t="s">
        <v>1343</v>
      </c>
      <c r="AN5" s="209" t="s">
        <v>1348</v>
      </c>
      <c r="AO5" s="209" t="s">
        <v>5807</v>
      </c>
      <c r="AP5" s="209" t="s">
        <v>132</v>
      </c>
      <c r="AQ5" s="209" t="s">
        <v>133</v>
      </c>
      <c r="AR5" s="209" t="s">
        <v>133</v>
      </c>
      <c r="AS5" s="209" t="s">
        <v>133</v>
      </c>
      <c r="AT5" s="209" t="s">
        <v>133</v>
      </c>
      <c r="AU5" s="209" t="s">
        <v>133</v>
      </c>
      <c r="AV5" s="209" t="s">
        <v>133</v>
      </c>
      <c r="AW5" s="209" t="s">
        <v>133</v>
      </c>
      <c r="AX5" s="209" t="s">
        <v>133</v>
      </c>
      <c r="AY5" s="209" t="s">
        <v>133</v>
      </c>
      <c r="AZ5" s="209" t="s">
        <v>133</v>
      </c>
      <c r="BA5" s="209" t="s">
        <v>133</v>
      </c>
      <c r="BB5" s="209" t="s">
        <v>133</v>
      </c>
      <c r="BC5" s="209" t="s">
        <v>133</v>
      </c>
      <c r="BD5" s="209" t="s">
        <v>133</v>
      </c>
      <c r="BE5" s="209" t="s">
        <v>133</v>
      </c>
      <c r="BF5" s="209" t="s">
        <v>133</v>
      </c>
      <c r="BG5" s="209" t="s">
        <v>133</v>
      </c>
      <c r="BH5" s="209" t="s">
        <v>133</v>
      </c>
    </row>
    <row r="6" spans="1:60" x14ac:dyDescent="0.55000000000000004">
      <c r="A6" s="209" t="s">
        <v>5808</v>
      </c>
      <c r="B6" s="209" t="s">
        <v>5809</v>
      </c>
      <c r="C6" s="209" t="s">
        <v>5810</v>
      </c>
      <c r="D6" s="209" t="s">
        <v>5811</v>
      </c>
      <c r="E6" s="209" t="s">
        <v>133</v>
      </c>
      <c r="F6" s="209" t="s">
        <v>133</v>
      </c>
      <c r="G6" s="209" t="s">
        <v>918</v>
      </c>
      <c r="H6" s="209" t="s">
        <v>924</v>
      </c>
      <c r="I6" s="209" t="s">
        <v>2042</v>
      </c>
      <c r="J6" s="209" t="s">
        <v>2044</v>
      </c>
      <c r="K6" s="209" t="s">
        <v>1870</v>
      </c>
      <c r="L6" s="209" t="s">
        <v>1872</v>
      </c>
      <c r="M6" s="209" t="s">
        <v>214</v>
      </c>
      <c r="N6" s="209" t="s">
        <v>227</v>
      </c>
      <c r="O6" s="209" t="s">
        <v>132</v>
      </c>
      <c r="P6" s="209" t="s">
        <v>132</v>
      </c>
      <c r="Q6" s="209" t="s">
        <v>2358</v>
      </c>
      <c r="R6" s="209" t="s">
        <v>2375</v>
      </c>
      <c r="S6" s="209" t="s">
        <v>2386</v>
      </c>
      <c r="T6" s="209" t="s">
        <v>2401</v>
      </c>
      <c r="U6" s="209" t="s">
        <v>2412</v>
      </c>
      <c r="V6" s="209" t="s">
        <v>2426</v>
      </c>
      <c r="W6" s="209" t="s">
        <v>2435</v>
      </c>
      <c r="X6" s="209" t="s">
        <v>2450</v>
      </c>
      <c r="Y6" s="209" t="s">
        <v>132</v>
      </c>
      <c r="Z6" s="209" t="s">
        <v>132</v>
      </c>
      <c r="AA6" s="209" t="s">
        <v>132</v>
      </c>
      <c r="AB6" s="209" t="s">
        <v>132</v>
      </c>
      <c r="AC6" s="209" t="s">
        <v>132</v>
      </c>
      <c r="AD6" s="209" t="s">
        <v>132</v>
      </c>
      <c r="AE6" s="209" t="s">
        <v>132</v>
      </c>
      <c r="AF6" s="209" t="s">
        <v>132</v>
      </c>
      <c r="AG6" s="209" t="s">
        <v>132</v>
      </c>
      <c r="AH6" s="209" t="s">
        <v>132</v>
      </c>
      <c r="AI6" s="209" t="s">
        <v>132</v>
      </c>
      <c r="AJ6" s="209" t="s">
        <v>132</v>
      </c>
      <c r="AK6" s="209" t="s">
        <v>132</v>
      </c>
      <c r="AL6" s="209" t="s">
        <v>132</v>
      </c>
      <c r="AM6" s="209" t="s">
        <v>132</v>
      </c>
      <c r="AN6" s="209" t="s">
        <v>132</v>
      </c>
      <c r="AO6" s="209" t="s">
        <v>132</v>
      </c>
      <c r="AP6" s="209" t="s">
        <v>132</v>
      </c>
      <c r="AQ6" s="209" t="s">
        <v>133</v>
      </c>
      <c r="AR6" s="209" t="s">
        <v>133</v>
      </c>
      <c r="AS6" s="209" t="s">
        <v>133</v>
      </c>
      <c r="AT6" s="209" t="s">
        <v>133</v>
      </c>
      <c r="AU6" s="209" t="s">
        <v>133</v>
      </c>
      <c r="AV6" s="209" t="s">
        <v>133</v>
      </c>
      <c r="AW6" s="209" t="s">
        <v>133</v>
      </c>
      <c r="AX6" s="209" t="s">
        <v>133</v>
      </c>
      <c r="AY6" s="209" t="s">
        <v>133</v>
      </c>
      <c r="AZ6" s="209" t="s">
        <v>133</v>
      </c>
      <c r="BA6" s="209" t="s">
        <v>133</v>
      </c>
      <c r="BB6" s="209" t="s">
        <v>133</v>
      </c>
      <c r="BC6" s="209" t="s">
        <v>133</v>
      </c>
      <c r="BD6" s="209" t="s">
        <v>133</v>
      </c>
      <c r="BE6" s="209" t="s">
        <v>133</v>
      </c>
      <c r="BF6" s="209" t="s">
        <v>133</v>
      </c>
      <c r="BG6" s="209" t="s">
        <v>133</v>
      </c>
      <c r="BH6" s="209" t="s">
        <v>133</v>
      </c>
    </row>
    <row r="7" spans="1:60" x14ac:dyDescent="0.55000000000000004">
      <c r="A7" s="209" t="s">
        <v>5812</v>
      </c>
      <c r="B7" s="209" t="s">
        <v>5809</v>
      </c>
      <c r="C7" s="209" t="s">
        <v>5810</v>
      </c>
      <c r="D7" s="209" t="s">
        <v>5811</v>
      </c>
      <c r="E7" s="209" t="s">
        <v>133</v>
      </c>
      <c r="F7" s="209" t="s">
        <v>133</v>
      </c>
      <c r="G7" s="209" t="s">
        <v>918</v>
      </c>
      <c r="H7" s="209" t="s">
        <v>924</v>
      </c>
      <c r="I7" s="209" t="s">
        <v>2042</v>
      </c>
      <c r="J7" s="209" t="s">
        <v>2044</v>
      </c>
      <c r="K7" s="209" t="s">
        <v>1874</v>
      </c>
      <c r="L7" s="209" t="s">
        <v>1876</v>
      </c>
      <c r="M7" s="209" t="s">
        <v>234</v>
      </c>
      <c r="N7" s="209" t="s">
        <v>247</v>
      </c>
      <c r="O7" s="209" t="s">
        <v>132</v>
      </c>
      <c r="P7" s="209" t="s">
        <v>132</v>
      </c>
      <c r="Q7" s="209" t="s">
        <v>2638</v>
      </c>
      <c r="R7" s="209" t="s">
        <v>2653</v>
      </c>
      <c r="S7" s="209" t="s">
        <v>2662</v>
      </c>
      <c r="T7" s="209" t="s">
        <v>2677</v>
      </c>
      <c r="U7" s="209" t="s">
        <v>2686</v>
      </c>
      <c r="V7" s="209" t="s">
        <v>2701</v>
      </c>
      <c r="W7" s="209" t="s">
        <v>2710</v>
      </c>
      <c r="X7" s="209" t="s">
        <v>2725</v>
      </c>
      <c r="Y7" s="209" t="s">
        <v>2734</v>
      </c>
      <c r="Z7" s="209" t="s">
        <v>2749</v>
      </c>
      <c r="AA7" s="209" t="s">
        <v>132</v>
      </c>
      <c r="AB7" s="209" t="s">
        <v>132</v>
      </c>
      <c r="AC7" s="209" t="s">
        <v>132</v>
      </c>
      <c r="AD7" s="209" t="s">
        <v>132</v>
      </c>
      <c r="AE7" s="209" t="s">
        <v>132</v>
      </c>
      <c r="AF7" s="209" t="s">
        <v>132</v>
      </c>
      <c r="AG7" s="209" t="s">
        <v>132</v>
      </c>
      <c r="AH7" s="209" t="s">
        <v>132</v>
      </c>
      <c r="AI7" s="209" t="s">
        <v>132</v>
      </c>
      <c r="AJ7" s="209" t="s">
        <v>132</v>
      </c>
      <c r="AK7" s="209" t="s">
        <v>132</v>
      </c>
      <c r="AL7" s="209" t="s">
        <v>132</v>
      </c>
      <c r="AM7" s="209" t="s">
        <v>132</v>
      </c>
      <c r="AN7" s="209" t="s">
        <v>132</v>
      </c>
      <c r="AO7" s="209" t="s">
        <v>132</v>
      </c>
      <c r="AP7" s="209" t="s">
        <v>132</v>
      </c>
      <c r="AQ7" s="209" t="s">
        <v>133</v>
      </c>
      <c r="AR7" s="209" t="s">
        <v>133</v>
      </c>
      <c r="AS7" s="209" t="s">
        <v>133</v>
      </c>
      <c r="AT7" s="209" t="s">
        <v>133</v>
      </c>
      <c r="AU7" s="209" t="s">
        <v>133</v>
      </c>
      <c r="AV7" s="209" t="s">
        <v>133</v>
      </c>
      <c r="AW7" s="209" t="s">
        <v>133</v>
      </c>
      <c r="AX7" s="209" t="s">
        <v>133</v>
      </c>
      <c r="AY7" s="209" t="s">
        <v>133</v>
      </c>
      <c r="AZ7" s="209" t="s">
        <v>133</v>
      </c>
      <c r="BA7" s="209" t="s">
        <v>133</v>
      </c>
      <c r="BB7" s="209" t="s">
        <v>133</v>
      </c>
      <c r="BC7" s="209" t="s">
        <v>133</v>
      </c>
      <c r="BD7" s="209" t="s">
        <v>133</v>
      </c>
      <c r="BE7" s="209" t="s">
        <v>133</v>
      </c>
      <c r="BF7" s="209" t="s">
        <v>133</v>
      </c>
      <c r="BG7" s="209" t="s">
        <v>133</v>
      </c>
      <c r="BH7" s="209" t="s">
        <v>133</v>
      </c>
    </row>
    <row r="8" spans="1:60" x14ac:dyDescent="0.55000000000000004">
      <c r="A8" s="209" t="s">
        <v>5813</v>
      </c>
      <c r="B8" s="209" t="s">
        <v>5809</v>
      </c>
      <c r="C8" s="209" t="s">
        <v>5810</v>
      </c>
      <c r="D8" s="209" t="s">
        <v>5811</v>
      </c>
      <c r="E8" s="209" t="s">
        <v>133</v>
      </c>
      <c r="F8" s="209" t="s">
        <v>133</v>
      </c>
      <c r="G8" s="209" t="s">
        <v>958</v>
      </c>
      <c r="H8" s="209" t="s">
        <v>964</v>
      </c>
      <c r="I8" s="209" t="s">
        <v>2058</v>
      </c>
      <c r="J8" s="209" t="s">
        <v>2060</v>
      </c>
      <c r="K8" s="209" t="s">
        <v>1878</v>
      </c>
      <c r="L8" s="209" t="s">
        <v>1880</v>
      </c>
      <c r="M8" s="209" t="s">
        <v>254</v>
      </c>
      <c r="N8" s="209" t="s">
        <v>263</v>
      </c>
      <c r="O8" s="209" t="s">
        <v>132</v>
      </c>
      <c r="P8" s="209" t="s">
        <v>132</v>
      </c>
      <c r="Q8" s="209" t="s">
        <v>2758</v>
      </c>
      <c r="R8" s="209" t="s">
        <v>2768</v>
      </c>
      <c r="S8" s="209" t="s">
        <v>2772</v>
      </c>
      <c r="T8" s="209" t="s">
        <v>2782</v>
      </c>
      <c r="U8" s="209" t="s">
        <v>132</v>
      </c>
      <c r="V8" s="209" t="s">
        <v>132</v>
      </c>
      <c r="W8" s="209" t="s">
        <v>132</v>
      </c>
      <c r="X8" s="209" t="s">
        <v>132</v>
      </c>
      <c r="Y8" s="209" t="s">
        <v>132</v>
      </c>
      <c r="Z8" s="209" t="s">
        <v>132</v>
      </c>
      <c r="AA8" s="209" t="s">
        <v>2334</v>
      </c>
      <c r="AB8" s="209" t="s">
        <v>2349</v>
      </c>
      <c r="AC8" s="209" t="s">
        <v>132</v>
      </c>
      <c r="AD8" s="209" t="s">
        <v>132</v>
      </c>
      <c r="AE8" s="209" t="s">
        <v>132</v>
      </c>
      <c r="AF8" s="209" t="s">
        <v>132</v>
      </c>
      <c r="AG8" s="209" t="s">
        <v>132</v>
      </c>
      <c r="AH8" s="209" t="s">
        <v>132</v>
      </c>
      <c r="AI8" s="209" t="s">
        <v>132</v>
      </c>
      <c r="AJ8" s="209" t="s">
        <v>132</v>
      </c>
      <c r="AK8" s="209" t="s">
        <v>132</v>
      </c>
      <c r="AL8" s="209" t="s">
        <v>132</v>
      </c>
      <c r="AM8" s="209" t="s">
        <v>1353</v>
      </c>
      <c r="AN8" s="209" t="s">
        <v>1359</v>
      </c>
      <c r="AO8" s="209" t="s">
        <v>132</v>
      </c>
      <c r="AP8" s="209" t="s">
        <v>132</v>
      </c>
      <c r="AQ8" s="209" t="s">
        <v>133</v>
      </c>
      <c r="AR8" s="209" t="s">
        <v>133</v>
      </c>
      <c r="AS8" s="209" t="s">
        <v>133</v>
      </c>
      <c r="AT8" s="209" t="s">
        <v>133</v>
      </c>
      <c r="AU8" s="209" t="s">
        <v>133</v>
      </c>
      <c r="AV8" s="209" t="s">
        <v>133</v>
      </c>
      <c r="AW8" s="209" t="s">
        <v>133</v>
      </c>
      <c r="AX8" s="209" t="s">
        <v>133</v>
      </c>
      <c r="AY8" s="209" t="s">
        <v>133</v>
      </c>
      <c r="AZ8" s="209" t="s">
        <v>133</v>
      </c>
      <c r="BA8" s="209" t="s">
        <v>133</v>
      </c>
      <c r="BB8" s="209" t="s">
        <v>133</v>
      </c>
      <c r="BC8" s="209" t="s">
        <v>133</v>
      </c>
      <c r="BD8" s="209" t="s">
        <v>133</v>
      </c>
      <c r="BE8" s="209" t="s">
        <v>133</v>
      </c>
      <c r="BF8" s="209" t="s">
        <v>133</v>
      </c>
      <c r="BG8" s="209" t="s">
        <v>133</v>
      </c>
      <c r="BH8" s="209" t="s">
        <v>133</v>
      </c>
    </row>
    <row r="9" spans="1:60" x14ac:dyDescent="0.55000000000000004">
      <c r="A9" s="209" t="s">
        <v>5814</v>
      </c>
      <c r="B9" s="209" t="s">
        <v>5809</v>
      </c>
      <c r="C9" s="209" t="s">
        <v>5810</v>
      </c>
      <c r="D9" s="209" t="s">
        <v>5811</v>
      </c>
      <c r="E9" s="209" t="s">
        <v>133</v>
      </c>
      <c r="F9" s="209" t="s">
        <v>133</v>
      </c>
      <c r="G9" s="209" t="s">
        <v>928</v>
      </c>
      <c r="H9" s="209" t="s">
        <v>934</v>
      </c>
      <c r="I9" s="209" t="s">
        <v>2046</v>
      </c>
      <c r="J9" s="209" t="s">
        <v>2048</v>
      </c>
      <c r="K9" s="209" t="s">
        <v>1882</v>
      </c>
      <c r="L9" s="209" t="s">
        <v>1884</v>
      </c>
      <c r="M9" s="209" t="s">
        <v>266</v>
      </c>
      <c r="N9" s="209" t="s">
        <v>279</v>
      </c>
      <c r="O9" s="209" t="s">
        <v>132</v>
      </c>
      <c r="P9" s="209" t="s">
        <v>132</v>
      </c>
      <c r="Q9" s="209" t="s">
        <v>2786</v>
      </c>
      <c r="R9" s="209" t="s">
        <v>2795</v>
      </c>
      <c r="S9" s="209" t="s">
        <v>3159</v>
      </c>
      <c r="T9" s="209" t="s">
        <v>3169</v>
      </c>
      <c r="U9" s="209" t="s">
        <v>3173</v>
      </c>
      <c r="V9" s="209" t="s">
        <v>3183</v>
      </c>
      <c r="W9" s="209" t="s">
        <v>3187</v>
      </c>
      <c r="X9" s="209" t="s">
        <v>3197</v>
      </c>
      <c r="Y9" s="209" t="s">
        <v>3201</v>
      </c>
      <c r="Z9" s="209" t="s">
        <v>3216</v>
      </c>
      <c r="AA9" s="209" t="s">
        <v>132</v>
      </c>
      <c r="AB9" s="209" t="s">
        <v>132</v>
      </c>
      <c r="AC9" s="209" t="s">
        <v>132</v>
      </c>
      <c r="AD9" s="209" t="s">
        <v>132</v>
      </c>
      <c r="AE9" s="209" t="s">
        <v>1364</v>
      </c>
      <c r="AF9" s="209" t="s">
        <v>1370</v>
      </c>
      <c r="AG9" s="209" t="s">
        <v>1375</v>
      </c>
      <c r="AH9" s="209" t="s">
        <v>1380</v>
      </c>
      <c r="AI9" s="209" t="s">
        <v>1385</v>
      </c>
      <c r="AJ9" s="209" t="s">
        <v>1390</v>
      </c>
      <c r="AK9" s="209" t="s">
        <v>1395</v>
      </c>
      <c r="AL9" s="209" t="s">
        <v>1400</v>
      </c>
      <c r="AM9" s="209" t="s">
        <v>132</v>
      </c>
      <c r="AN9" s="209" t="s">
        <v>132</v>
      </c>
      <c r="AO9" s="209" t="s">
        <v>5815</v>
      </c>
      <c r="AP9" s="209" t="s">
        <v>5816</v>
      </c>
      <c r="AQ9" s="209" t="s">
        <v>133</v>
      </c>
      <c r="AR9" s="209" t="s">
        <v>133</v>
      </c>
      <c r="AS9" s="209" t="s">
        <v>133</v>
      </c>
      <c r="AT9" s="209" t="s">
        <v>133</v>
      </c>
      <c r="AU9" s="209" t="s">
        <v>133</v>
      </c>
      <c r="AV9" s="209" t="s">
        <v>133</v>
      </c>
      <c r="AW9" s="209" t="s">
        <v>133</v>
      </c>
      <c r="AX9" s="209" t="s">
        <v>133</v>
      </c>
      <c r="AY9" s="209" t="s">
        <v>133</v>
      </c>
      <c r="AZ9" s="209" t="s">
        <v>133</v>
      </c>
      <c r="BA9" s="209" t="s">
        <v>133</v>
      </c>
      <c r="BB9" s="209" t="s">
        <v>133</v>
      </c>
      <c r="BC9" s="209" t="s">
        <v>133</v>
      </c>
      <c r="BD9" s="209" t="s">
        <v>133</v>
      </c>
      <c r="BE9" s="209" t="s">
        <v>133</v>
      </c>
      <c r="BF9" s="209" t="s">
        <v>133</v>
      </c>
      <c r="BG9" s="209" t="s">
        <v>133</v>
      </c>
      <c r="BH9" s="209" t="s">
        <v>133</v>
      </c>
    </row>
    <row r="10" spans="1:60" x14ac:dyDescent="0.55000000000000004">
      <c r="A10" s="209" t="s">
        <v>5817</v>
      </c>
      <c r="B10" s="209" t="s">
        <v>5809</v>
      </c>
      <c r="C10" s="209" t="s">
        <v>5810</v>
      </c>
      <c r="D10" s="209" t="s">
        <v>5811</v>
      </c>
      <c r="E10" s="209" t="s">
        <v>133</v>
      </c>
      <c r="F10" s="209" t="s">
        <v>133</v>
      </c>
      <c r="G10" s="209" t="s">
        <v>938</v>
      </c>
      <c r="H10" s="209" t="s">
        <v>944</v>
      </c>
      <c r="I10" s="209" t="s">
        <v>2050</v>
      </c>
      <c r="J10" s="209" t="s">
        <v>2052</v>
      </c>
      <c r="K10" s="209" t="s">
        <v>1886</v>
      </c>
      <c r="L10" s="209" t="s">
        <v>1888</v>
      </c>
      <c r="M10" s="209" t="s">
        <v>286</v>
      </c>
      <c r="N10" s="209" t="s">
        <v>295</v>
      </c>
      <c r="O10" s="209" t="s">
        <v>132</v>
      </c>
      <c r="P10" s="209" t="s">
        <v>132</v>
      </c>
      <c r="Q10" s="209" t="s">
        <v>2461</v>
      </c>
      <c r="R10" s="209" t="s">
        <v>2477</v>
      </c>
      <c r="S10" s="209" t="s">
        <v>2488</v>
      </c>
      <c r="T10" s="209" t="s">
        <v>2503</v>
      </c>
      <c r="U10" s="209" t="s">
        <v>2514</v>
      </c>
      <c r="V10" s="209" t="s">
        <v>2529</v>
      </c>
      <c r="W10" s="209" t="s">
        <v>2540</v>
      </c>
      <c r="X10" s="209" t="s">
        <v>2554</v>
      </c>
      <c r="Y10" s="209" t="s">
        <v>132</v>
      </c>
      <c r="Z10" s="209" t="s">
        <v>132</v>
      </c>
      <c r="AA10" s="209" t="s">
        <v>132</v>
      </c>
      <c r="AB10" s="209" t="s">
        <v>132</v>
      </c>
      <c r="AC10" s="209" t="s">
        <v>132</v>
      </c>
      <c r="AD10" s="209" t="s">
        <v>132</v>
      </c>
      <c r="AE10" s="209" t="s">
        <v>132</v>
      </c>
      <c r="AF10" s="209" t="s">
        <v>132</v>
      </c>
      <c r="AG10" s="209" t="s">
        <v>132</v>
      </c>
      <c r="AH10" s="209" t="s">
        <v>132</v>
      </c>
      <c r="AI10" s="209" t="s">
        <v>132</v>
      </c>
      <c r="AJ10" s="209" t="s">
        <v>132</v>
      </c>
      <c r="AK10" s="209" t="s">
        <v>132</v>
      </c>
      <c r="AL10" s="209" t="s">
        <v>132</v>
      </c>
      <c r="AM10" s="209" t="s">
        <v>132</v>
      </c>
      <c r="AN10" s="209" t="s">
        <v>132</v>
      </c>
      <c r="AO10" s="209" t="s">
        <v>132</v>
      </c>
      <c r="AP10" s="209" t="s">
        <v>132</v>
      </c>
      <c r="AQ10" s="209" t="s">
        <v>133</v>
      </c>
      <c r="AR10" s="209" t="s">
        <v>133</v>
      </c>
      <c r="AS10" s="209" t="s">
        <v>133</v>
      </c>
      <c r="AT10" s="209" t="s">
        <v>133</v>
      </c>
      <c r="AU10" s="209" t="s">
        <v>133</v>
      </c>
      <c r="AV10" s="209" t="s">
        <v>133</v>
      </c>
      <c r="AW10" s="209" t="s">
        <v>133</v>
      </c>
      <c r="AX10" s="209" t="s">
        <v>133</v>
      </c>
      <c r="AY10" s="209" t="s">
        <v>133</v>
      </c>
      <c r="AZ10" s="209" t="s">
        <v>133</v>
      </c>
      <c r="BA10" s="209" t="s">
        <v>133</v>
      </c>
      <c r="BB10" s="209" t="s">
        <v>133</v>
      </c>
      <c r="BC10" s="209" t="s">
        <v>133</v>
      </c>
      <c r="BD10" s="209" t="s">
        <v>133</v>
      </c>
      <c r="BE10" s="209" t="s">
        <v>133</v>
      </c>
      <c r="BF10" s="209" t="s">
        <v>133</v>
      </c>
      <c r="BG10" s="209" t="s">
        <v>133</v>
      </c>
      <c r="BH10" s="209" t="s">
        <v>133</v>
      </c>
    </row>
    <row r="11" spans="1:60" x14ac:dyDescent="0.55000000000000004">
      <c r="A11" s="209" t="s">
        <v>5818</v>
      </c>
      <c r="B11" s="209" t="s">
        <v>5809</v>
      </c>
      <c r="C11" s="209" t="s">
        <v>5810</v>
      </c>
      <c r="D11" s="209" t="s">
        <v>5811</v>
      </c>
      <c r="E11" s="209" t="s">
        <v>133</v>
      </c>
      <c r="F11" s="209" t="s">
        <v>133</v>
      </c>
      <c r="G11" s="209" t="s">
        <v>948</v>
      </c>
      <c r="H11" s="209" t="s">
        <v>954</v>
      </c>
      <c r="I11" s="209" t="s">
        <v>2054</v>
      </c>
      <c r="J11" s="209" t="s">
        <v>2056</v>
      </c>
      <c r="K11" s="209" t="s">
        <v>1890</v>
      </c>
      <c r="L11" s="209" t="s">
        <v>1892</v>
      </c>
      <c r="M11" s="209" t="s">
        <v>298</v>
      </c>
      <c r="N11" s="209" t="s">
        <v>307</v>
      </c>
      <c r="O11" s="209" t="s">
        <v>132</v>
      </c>
      <c r="P11" s="209" t="s">
        <v>132</v>
      </c>
      <c r="Q11" s="209" t="s">
        <v>2576</v>
      </c>
      <c r="R11" s="209" t="s">
        <v>2587</v>
      </c>
      <c r="S11" s="209" t="s">
        <v>2593</v>
      </c>
      <c r="T11" s="209" t="s">
        <v>2603</v>
      </c>
      <c r="U11" s="209" t="s">
        <v>2609</v>
      </c>
      <c r="V11" s="209" t="s">
        <v>2618</v>
      </c>
      <c r="W11" s="209" t="s">
        <v>2622</v>
      </c>
      <c r="X11" s="209" t="s">
        <v>2632</v>
      </c>
      <c r="Y11" s="209" t="s">
        <v>132</v>
      </c>
      <c r="Z11" s="209" t="s">
        <v>132</v>
      </c>
      <c r="AA11" s="209" t="s">
        <v>132</v>
      </c>
      <c r="AB11" s="209" t="s">
        <v>132</v>
      </c>
      <c r="AC11" s="209" t="s">
        <v>132</v>
      </c>
      <c r="AD11" s="209" t="s">
        <v>132</v>
      </c>
      <c r="AE11" s="209" t="s">
        <v>132</v>
      </c>
      <c r="AF11" s="209" t="s">
        <v>132</v>
      </c>
      <c r="AG11" s="209" t="s">
        <v>132</v>
      </c>
      <c r="AH11" s="209" t="s">
        <v>132</v>
      </c>
      <c r="AI11" s="209" t="s">
        <v>132</v>
      </c>
      <c r="AJ11" s="209" t="s">
        <v>132</v>
      </c>
      <c r="AK11" s="209" t="s">
        <v>132</v>
      </c>
      <c r="AL11" s="209" t="s">
        <v>132</v>
      </c>
      <c r="AM11" s="209" t="s">
        <v>132</v>
      </c>
      <c r="AN11" s="209" t="s">
        <v>132</v>
      </c>
      <c r="AO11" s="209" t="s">
        <v>132</v>
      </c>
      <c r="AP11" s="209" t="s">
        <v>132</v>
      </c>
      <c r="AQ11" s="209" t="s">
        <v>133</v>
      </c>
      <c r="AR11" s="209" t="s">
        <v>133</v>
      </c>
      <c r="AS11" s="209" t="s">
        <v>133</v>
      </c>
      <c r="AT11" s="209" t="s">
        <v>133</v>
      </c>
      <c r="AU11" s="209" t="s">
        <v>133</v>
      </c>
      <c r="AV11" s="209" t="s">
        <v>133</v>
      </c>
      <c r="AW11" s="209" t="s">
        <v>133</v>
      </c>
      <c r="AX11" s="209" t="s">
        <v>133</v>
      </c>
      <c r="AY11" s="209" t="s">
        <v>133</v>
      </c>
      <c r="AZ11" s="209" t="s">
        <v>133</v>
      </c>
      <c r="BA11" s="209" t="s">
        <v>133</v>
      </c>
      <c r="BB11" s="209" t="s">
        <v>133</v>
      </c>
      <c r="BC11" s="209" t="s">
        <v>133</v>
      </c>
      <c r="BD11" s="209" t="s">
        <v>133</v>
      </c>
      <c r="BE11" s="209" t="s">
        <v>133</v>
      </c>
      <c r="BF11" s="209" t="s">
        <v>133</v>
      </c>
      <c r="BG11" s="209" t="s">
        <v>133</v>
      </c>
      <c r="BH11" s="209" t="s">
        <v>133</v>
      </c>
    </row>
    <row r="12" spans="1:60" x14ac:dyDescent="0.55000000000000004">
      <c r="A12" s="209" t="s">
        <v>5819</v>
      </c>
      <c r="B12" s="209" t="s">
        <v>5809</v>
      </c>
      <c r="C12" s="209" t="s">
        <v>5810</v>
      </c>
      <c r="D12" s="209" t="s">
        <v>5811</v>
      </c>
      <c r="E12" s="209" t="s">
        <v>133</v>
      </c>
      <c r="F12" s="209" t="s">
        <v>133</v>
      </c>
      <c r="G12" s="209" t="s">
        <v>958</v>
      </c>
      <c r="H12" s="209" t="s">
        <v>964</v>
      </c>
      <c r="I12" s="209" t="s">
        <v>2058</v>
      </c>
      <c r="J12" s="209" t="s">
        <v>2060</v>
      </c>
      <c r="K12" s="209" t="s">
        <v>1894</v>
      </c>
      <c r="L12" s="209" t="s">
        <v>1896</v>
      </c>
      <c r="M12" s="209" t="s">
        <v>310</v>
      </c>
      <c r="N12" s="209" t="s">
        <v>319</v>
      </c>
      <c r="O12" s="209" t="s">
        <v>132</v>
      </c>
      <c r="P12" s="209" t="s">
        <v>132</v>
      </c>
      <c r="Q12" s="209" t="s">
        <v>2563</v>
      </c>
      <c r="R12" s="209" t="s">
        <v>2572</v>
      </c>
      <c r="S12" s="209" t="s">
        <v>132</v>
      </c>
      <c r="T12" s="209" t="s">
        <v>132</v>
      </c>
      <c r="U12" s="209" t="s">
        <v>132</v>
      </c>
      <c r="V12" s="209" t="s">
        <v>132</v>
      </c>
      <c r="W12" s="209" t="s">
        <v>132</v>
      </c>
      <c r="X12" s="209" t="s">
        <v>132</v>
      </c>
      <c r="Y12" s="209" t="s">
        <v>132</v>
      </c>
      <c r="Z12" s="209" t="s">
        <v>132</v>
      </c>
      <c r="AA12" s="209" t="s">
        <v>132</v>
      </c>
      <c r="AB12" s="209" t="s">
        <v>132</v>
      </c>
      <c r="AC12" s="209" t="s">
        <v>132</v>
      </c>
      <c r="AD12" s="209" t="s">
        <v>132</v>
      </c>
      <c r="AE12" s="209" t="s">
        <v>132</v>
      </c>
      <c r="AF12" s="209" t="s">
        <v>132</v>
      </c>
      <c r="AG12" s="209" t="s">
        <v>132</v>
      </c>
      <c r="AH12" s="209" t="s">
        <v>132</v>
      </c>
      <c r="AI12" s="209" t="s">
        <v>132</v>
      </c>
      <c r="AJ12" s="209" t="s">
        <v>132</v>
      </c>
      <c r="AK12" s="209" t="s">
        <v>132</v>
      </c>
      <c r="AL12" s="209" t="s">
        <v>132</v>
      </c>
      <c r="AM12" s="209" t="s">
        <v>132</v>
      </c>
      <c r="AN12" s="209" t="s">
        <v>132</v>
      </c>
      <c r="AO12" s="209" t="s">
        <v>132</v>
      </c>
      <c r="AP12" s="209" t="s">
        <v>132</v>
      </c>
      <c r="AQ12" s="209" t="s">
        <v>133</v>
      </c>
      <c r="AR12" s="209" t="s">
        <v>133</v>
      </c>
      <c r="AS12" s="209" t="s">
        <v>133</v>
      </c>
      <c r="AT12" s="209" t="s">
        <v>133</v>
      </c>
      <c r="AU12" s="209" t="s">
        <v>133</v>
      </c>
      <c r="AV12" s="209" t="s">
        <v>133</v>
      </c>
      <c r="AW12" s="209" t="s">
        <v>133</v>
      </c>
      <c r="AX12" s="209" t="s">
        <v>133</v>
      </c>
      <c r="AY12" s="209" t="s">
        <v>133</v>
      </c>
      <c r="AZ12" s="209" t="s">
        <v>133</v>
      </c>
      <c r="BA12" s="209" t="s">
        <v>133</v>
      </c>
      <c r="BB12" s="209" t="s">
        <v>133</v>
      </c>
      <c r="BC12" s="209" t="s">
        <v>133</v>
      </c>
      <c r="BD12" s="209" t="s">
        <v>133</v>
      </c>
      <c r="BE12" s="209" t="s">
        <v>133</v>
      </c>
      <c r="BF12" s="209" t="s">
        <v>133</v>
      </c>
      <c r="BG12" s="209" t="s">
        <v>133</v>
      </c>
      <c r="BH12" s="209" t="s">
        <v>133</v>
      </c>
    </row>
    <row r="13" spans="1:60" x14ac:dyDescent="0.55000000000000004">
      <c r="A13" s="209" t="s">
        <v>5820</v>
      </c>
      <c r="B13" s="209" t="s">
        <v>5809</v>
      </c>
      <c r="C13" s="209" t="s">
        <v>5810</v>
      </c>
      <c r="D13" s="209" t="s">
        <v>5811</v>
      </c>
      <c r="E13" s="209" t="s">
        <v>133</v>
      </c>
      <c r="F13" s="209" t="s">
        <v>133</v>
      </c>
      <c r="G13" s="209" t="s">
        <v>968</v>
      </c>
      <c r="H13" s="209" t="s">
        <v>974</v>
      </c>
      <c r="I13" s="209" t="s">
        <v>2062</v>
      </c>
      <c r="J13" s="209" t="s">
        <v>2064</v>
      </c>
      <c r="K13" s="209" t="s">
        <v>1898</v>
      </c>
      <c r="L13" s="209" t="s">
        <v>1900</v>
      </c>
      <c r="M13" s="209" t="s">
        <v>322</v>
      </c>
      <c r="N13" s="209" t="s">
        <v>335</v>
      </c>
      <c r="O13" s="209" t="s">
        <v>132</v>
      </c>
      <c r="P13" s="209" t="s">
        <v>132</v>
      </c>
      <c r="Q13" s="209" t="s">
        <v>2799</v>
      </c>
      <c r="R13" s="209" t="s">
        <v>2814</v>
      </c>
      <c r="S13" s="209" t="s">
        <v>2823</v>
      </c>
      <c r="T13" s="209" t="s">
        <v>2838</v>
      </c>
      <c r="U13" s="209" t="s">
        <v>2847</v>
      </c>
      <c r="V13" s="209" t="s">
        <v>2862</v>
      </c>
      <c r="W13" s="209" t="s">
        <v>2871</v>
      </c>
      <c r="X13" s="209" t="s">
        <v>2886</v>
      </c>
      <c r="Y13" s="209" t="s">
        <v>2895</v>
      </c>
      <c r="Z13" s="209" t="s">
        <v>2910</v>
      </c>
      <c r="AA13" s="209" t="s">
        <v>132</v>
      </c>
      <c r="AB13" s="209" t="s">
        <v>132</v>
      </c>
      <c r="AC13" s="209" t="s">
        <v>132</v>
      </c>
      <c r="AD13" s="209" t="s">
        <v>132</v>
      </c>
      <c r="AE13" s="209" t="s">
        <v>132</v>
      </c>
      <c r="AF13" s="209" t="s">
        <v>132</v>
      </c>
      <c r="AG13" s="209" t="s">
        <v>132</v>
      </c>
      <c r="AH13" s="209" t="s">
        <v>132</v>
      </c>
      <c r="AI13" s="209" t="s">
        <v>132</v>
      </c>
      <c r="AJ13" s="209" t="s">
        <v>132</v>
      </c>
      <c r="AK13" s="209" t="s">
        <v>132</v>
      </c>
      <c r="AL13" s="209" t="s">
        <v>132</v>
      </c>
      <c r="AM13" s="209" t="s">
        <v>132</v>
      </c>
      <c r="AN13" s="209" t="s">
        <v>132</v>
      </c>
      <c r="AO13" s="209" t="s">
        <v>132</v>
      </c>
      <c r="AP13" s="209" t="s">
        <v>132</v>
      </c>
      <c r="AQ13" s="209" t="s">
        <v>133</v>
      </c>
      <c r="AR13" s="209" t="s">
        <v>133</v>
      </c>
      <c r="AS13" s="209" t="s">
        <v>133</v>
      </c>
      <c r="AT13" s="209" t="s">
        <v>133</v>
      </c>
      <c r="AU13" s="209" t="s">
        <v>133</v>
      </c>
      <c r="AV13" s="209" t="s">
        <v>133</v>
      </c>
      <c r="AW13" s="209" t="s">
        <v>133</v>
      </c>
      <c r="AX13" s="209" t="s">
        <v>133</v>
      </c>
      <c r="AY13" s="209" t="s">
        <v>133</v>
      </c>
      <c r="AZ13" s="209" t="s">
        <v>133</v>
      </c>
      <c r="BA13" s="209" t="s">
        <v>133</v>
      </c>
      <c r="BB13" s="209" t="s">
        <v>133</v>
      </c>
      <c r="BC13" s="209" t="s">
        <v>133</v>
      </c>
      <c r="BD13" s="209" t="s">
        <v>133</v>
      </c>
      <c r="BE13" s="209" t="s">
        <v>133</v>
      </c>
      <c r="BF13" s="209" t="s">
        <v>133</v>
      </c>
      <c r="BG13" s="209" t="s">
        <v>133</v>
      </c>
      <c r="BH13" s="209" t="s">
        <v>133</v>
      </c>
    </row>
    <row r="14" spans="1:60" x14ac:dyDescent="0.55000000000000004">
      <c r="A14" s="209" t="s">
        <v>5821</v>
      </c>
      <c r="B14" s="209" t="s">
        <v>5809</v>
      </c>
      <c r="C14" s="209" t="s">
        <v>5810</v>
      </c>
      <c r="D14" s="209" t="s">
        <v>5811</v>
      </c>
      <c r="E14" s="209" t="s">
        <v>133</v>
      </c>
      <c r="F14" s="209" t="s">
        <v>133</v>
      </c>
      <c r="G14" s="209" t="s">
        <v>968</v>
      </c>
      <c r="H14" s="209" t="s">
        <v>974</v>
      </c>
      <c r="I14" s="209" t="s">
        <v>2062</v>
      </c>
      <c r="J14" s="209" t="s">
        <v>2064</v>
      </c>
      <c r="K14" s="209" t="s">
        <v>1902</v>
      </c>
      <c r="L14" s="209" t="s">
        <v>1904</v>
      </c>
      <c r="M14" s="209" t="s">
        <v>342</v>
      </c>
      <c r="N14" s="209" t="s">
        <v>355</v>
      </c>
      <c r="O14" s="209" t="s">
        <v>132</v>
      </c>
      <c r="P14" s="209" t="s">
        <v>132</v>
      </c>
      <c r="Q14" s="209" t="s">
        <v>2919</v>
      </c>
      <c r="R14" s="209" t="s">
        <v>2934</v>
      </c>
      <c r="S14" s="209" t="s">
        <v>2943</v>
      </c>
      <c r="T14" s="209" t="s">
        <v>2958</v>
      </c>
      <c r="U14" s="209" t="s">
        <v>2967</v>
      </c>
      <c r="V14" s="209" t="s">
        <v>2982</v>
      </c>
      <c r="W14" s="209" t="s">
        <v>2991</v>
      </c>
      <c r="X14" s="209" t="s">
        <v>3006</v>
      </c>
      <c r="Y14" s="209" t="s">
        <v>3015</v>
      </c>
      <c r="Z14" s="209" t="s">
        <v>3030</v>
      </c>
      <c r="AA14" s="209" t="s">
        <v>132</v>
      </c>
      <c r="AB14" s="209" t="s">
        <v>132</v>
      </c>
      <c r="AC14" s="209" t="s">
        <v>132</v>
      </c>
      <c r="AD14" s="209" t="s">
        <v>132</v>
      </c>
      <c r="AE14" s="209" t="s">
        <v>132</v>
      </c>
      <c r="AF14" s="209" t="s">
        <v>132</v>
      </c>
      <c r="AG14" s="209" t="s">
        <v>132</v>
      </c>
      <c r="AH14" s="209" t="s">
        <v>132</v>
      </c>
      <c r="AI14" s="209" t="s">
        <v>132</v>
      </c>
      <c r="AJ14" s="209" t="s">
        <v>132</v>
      </c>
      <c r="AK14" s="209" t="s">
        <v>132</v>
      </c>
      <c r="AL14" s="209" t="s">
        <v>132</v>
      </c>
      <c r="AM14" s="209" t="s">
        <v>132</v>
      </c>
      <c r="AN14" s="209" t="s">
        <v>132</v>
      </c>
      <c r="AO14" s="209" t="s">
        <v>132</v>
      </c>
      <c r="AP14" s="209" t="s">
        <v>132</v>
      </c>
      <c r="AQ14" s="209" t="s">
        <v>133</v>
      </c>
      <c r="AR14" s="209" t="s">
        <v>133</v>
      </c>
      <c r="AS14" s="209" t="s">
        <v>133</v>
      </c>
      <c r="AT14" s="209" t="s">
        <v>133</v>
      </c>
      <c r="AU14" s="209" t="s">
        <v>133</v>
      </c>
      <c r="AV14" s="209" t="s">
        <v>133</v>
      </c>
      <c r="AW14" s="209" t="s">
        <v>133</v>
      </c>
      <c r="AX14" s="209" t="s">
        <v>133</v>
      </c>
      <c r="AY14" s="209" t="s">
        <v>133</v>
      </c>
      <c r="AZ14" s="209" t="s">
        <v>133</v>
      </c>
      <c r="BA14" s="209" t="s">
        <v>133</v>
      </c>
      <c r="BB14" s="209" t="s">
        <v>133</v>
      </c>
      <c r="BC14" s="209" t="s">
        <v>133</v>
      </c>
      <c r="BD14" s="209" t="s">
        <v>133</v>
      </c>
      <c r="BE14" s="209" t="s">
        <v>133</v>
      </c>
      <c r="BF14" s="209" t="s">
        <v>133</v>
      </c>
      <c r="BG14" s="209" t="s">
        <v>133</v>
      </c>
      <c r="BH14" s="209" t="s">
        <v>133</v>
      </c>
    </row>
    <row r="15" spans="1:60" x14ac:dyDescent="0.55000000000000004">
      <c r="A15" s="209" t="s">
        <v>5822</v>
      </c>
      <c r="B15" s="209" t="s">
        <v>5809</v>
      </c>
      <c r="C15" s="209" t="s">
        <v>5810</v>
      </c>
      <c r="D15" s="209" t="s">
        <v>5811</v>
      </c>
      <c r="E15" s="209" t="s">
        <v>133</v>
      </c>
      <c r="F15" s="209" t="s">
        <v>133</v>
      </c>
      <c r="G15" s="209" t="s">
        <v>978</v>
      </c>
      <c r="H15" s="209" t="s">
        <v>984</v>
      </c>
      <c r="I15" s="209" t="s">
        <v>2066</v>
      </c>
      <c r="J15" s="209" t="s">
        <v>2068</v>
      </c>
      <c r="K15" s="209" t="s">
        <v>1906</v>
      </c>
      <c r="L15" s="209" t="s">
        <v>1908</v>
      </c>
      <c r="M15" s="209" t="s">
        <v>362</v>
      </c>
      <c r="N15" s="209" t="s">
        <v>375</v>
      </c>
      <c r="O15" s="209" t="s">
        <v>132</v>
      </c>
      <c r="P15" s="209" t="s">
        <v>132</v>
      </c>
      <c r="Q15" s="209" t="s">
        <v>3039</v>
      </c>
      <c r="R15" s="209" t="s">
        <v>3054</v>
      </c>
      <c r="S15" s="209" t="s">
        <v>3063</v>
      </c>
      <c r="T15" s="209" t="s">
        <v>3078</v>
      </c>
      <c r="U15" s="209" t="s">
        <v>3087</v>
      </c>
      <c r="V15" s="209" t="s">
        <v>3102</v>
      </c>
      <c r="W15" s="209" t="s">
        <v>3111</v>
      </c>
      <c r="X15" s="209" t="s">
        <v>3126</v>
      </c>
      <c r="Y15" s="209" t="s">
        <v>3135</v>
      </c>
      <c r="Z15" s="209" t="s">
        <v>3150</v>
      </c>
      <c r="AA15" s="209" t="s">
        <v>132</v>
      </c>
      <c r="AB15" s="209" t="s">
        <v>132</v>
      </c>
      <c r="AC15" s="209" t="s">
        <v>132</v>
      </c>
      <c r="AD15" s="209" t="s">
        <v>132</v>
      </c>
      <c r="AE15" s="209" t="s">
        <v>132</v>
      </c>
      <c r="AF15" s="209" t="s">
        <v>132</v>
      </c>
      <c r="AG15" s="209" t="s">
        <v>132</v>
      </c>
      <c r="AH15" s="209" t="s">
        <v>132</v>
      </c>
      <c r="AI15" s="209" t="s">
        <v>132</v>
      </c>
      <c r="AJ15" s="209" t="s">
        <v>132</v>
      </c>
      <c r="AK15" s="209" t="s">
        <v>132</v>
      </c>
      <c r="AL15" s="209" t="s">
        <v>132</v>
      </c>
      <c r="AM15" s="209" t="s">
        <v>132</v>
      </c>
      <c r="AN15" s="209" t="s">
        <v>132</v>
      </c>
      <c r="AO15" s="209" t="s">
        <v>132</v>
      </c>
      <c r="AP15" s="209" t="s">
        <v>132</v>
      </c>
      <c r="AQ15" s="209" t="s">
        <v>133</v>
      </c>
      <c r="AR15" s="209" t="s">
        <v>133</v>
      </c>
      <c r="AS15" s="209" t="s">
        <v>133</v>
      </c>
      <c r="AT15" s="209" t="s">
        <v>133</v>
      </c>
      <c r="AU15" s="209" t="s">
        <v>133</v>
      </c>
      <c r="AV15" s="209" t="s">
        <v>133</v>
      </c>
      <c r="AW15" s="209" t="s">
        <v>133</v>
      </c>
      <c r="AX15" s="209" t="s">
        <v>133</v>
      </c>
      <c r="AY15" s="209" t="s">
        <v>133</v>
      </c>
      <c r="AZ15" s="209" t="s">
        <v>133</v>
      </c>
      <c r="BA15" s="209" t="s">
        <v>133</v>
      </c>
      <c r="BB15" s="209" t="s">
        <v>133</v>
      </c>
      <c r="BC15" s="209" t="s">
        <v>133</v>
      </c>
      <c r="BD15" s="209" t="s">
        <v>133</v>
      </c>
      <c r="BE15" s="209" t="s">
        <v>133</v>
      </c>
      <c r="BF15" s="209" t="s">
        <v>133</v>
      </c>
      <c r="BG15" s="209" t="s">
        <v>133</v>
      </c>
      <c r="BH15" s="209" t="s">
        <v>133</v>
      </c>
    </row>
    <row r="16" spans="1:60" x14ac:dyDescent="0.55000000000000004">
      <c r="A16" s="209" t="s">
        <v>5992</v>
      </c>
      <c r="B16" s="209" t="s">
        <v>5844</v>
      </c>
      <c r="C16" s="209" t="s">
        <v>5858</v>
      </c>
      <c r="D16" s="209" t="s">
        <v>5859</v>
      </c>
      <c r="E16" s="209" t="s">
        <v>5860</v>
      </c>
      <c r="F16" s="209" t="s">
        <v>5861</v>
      </c>
      <c r="G16" s="209" t="s">
        <v>5993</v>
      </c>
      <c r="H16" s="209" t="s">
        <v>5994</v>
      </c>
      <c r="I16" s="209" t="s">
        <v>5995</v>
      </c>
      <c r="J16" s="209" t="s">
        <v>5996</v>
      </c>
      <c r="K16" s="209" t="s">
        <v>5997</v>
      </c>
      <c r="L16" s="209" t="s">
        <v>5998</v>
      </c>
      <c r="M16" s="209" t="s">
        <v>5999</v>
      </c>
      <c r="N16" s="209" t="s">
        <v>6000</v>
      </c>
      <c r="O16" s="209" t="s">
        <v>6001</v>
      </c>
      <c r="P16" s="209" t="s">
        <v>6002</v>
      </c>
      <c r="Q16" s="209" t="s">
        <v>6003</v>
      </c>
      <c r="R16" s="209" t="s">
        <v>6004</v>
      </c>
      <c r="S16" s="209" t="s">
        <v>6005</v>
      </c>
      <c r="T16" s="209" t="s">
        <v>6006</v>
      </c>
      <c r="U16" s="209" t="s">
        <v>6007</v>
      </c>
      <c r="V16" s="209" t="s">
        <v>6008</v>
      </c>
      <c r="W16" s="209" t="s">
        <v>6009</v>
      </c>
      <c r="X16" s="209" t="s">
        <v>6010</v>
      </c>
      <c r="Y16" s="209" t="s">
        <v>6011</v>
      </c>
      <c r="Z16" s="209" t="s">
        <v>6012</v>
      </c>
      <c r="AA16" s="209" t="s">
        <v>132</v>
      </c>
      <c r="AB16" s="209" t="s">
        <v>132</v>
      </c>
      <c r="AC16" s="209" t="s">
        <v>6013</v>
      </c>
      <c r="AD16" s="209" t="s">
        <v>6014</v>
      </c>
      <c r="AE16" s="209" t="s">
        <v>6015</v>
      </c>
      <c r="AF16" s="209" t="s">
        <v>6016</v>
      </c>
      <c r="AG16" s="209" t="s">
        <v>6017</v>
      </c>
      <c r="AH16" s="209" t="s">
        <v>6018</v>
      </c>
      <c r="AI16" s="209" t="s">
        <v>6019</v>
      </c>
      <c r="AJ16" s="209" t="s">
        <v>6020</v>
      </c>
      <c r="AK16" s="209" t="s">
        <v>6021</v>
      </c>
      <c r="AL16" s="209" t="s">
        <v>6022</v>
      </c>
      <c r="AM16" s="209" t="s">
        <v>132</v>
      </c>
      <c r="AN16" s="209" t="s">
        <v>132</v>
      </c>
      <c r="AO16" s="209" t="s">
        <v>6023</v>
      </c>
      <c r="AP16" s="209" t="s">
        <v>6024</v>
      </c>
      <c r="AQ16" s="209" t="s">
        <v>1057</v>
      </c>
      <c r="AR16" s="209" t="s">
        <v>1063</v>
      </c>
      <c r="AS16" s="209" t="s">
        <v>132</v>
      </c>
      <c r="AT16" s="209" t="s">
        <v>132</v>
      </c>
      <c r="AU16" s="209" t="s">
        <v>4119</v>
      </c>
      <c r="AV16" s="209" t="s">
        <v>4130</v>
      </c>
      <c r="AW16" s="209" t="s">
        <v>4242</v>
      </c>
      <c r="AX16" s="209" t="s">
        <v>4257</v>
      </c>
      <c r="AY16" s="209" t="s">
        <v>132</v>
      </c>
      <c r="AZ16" s="209" t="s">
        <v>132</v>
      </c>
      <c r="BA16" s="209" t="s">
        <v>3999</v>
      </c>
      <c r="BB16" s="209" t="s">
        <v>4009</v>
      </c>
      <c r="BC16" s="209" t="s">
        <v>2576</v>
      </c>
      <c r="BD16" s="209" t="s">
        <v>2587</v>
      </c>
      <c r="BE16" s="209" t="s">
        <v>4031</v>
      </c>
      <c r="BF16" s="209" t="s">
        <v>4039</v>
      </c>
      <c r="BG16" s="209" t="s">
        <v>2609</v>
      </c>
      <c r="BH16" s="209" t="s">
        <v>2618</v>
      </c>
    </row>
    <row r="17" spans="1:60" x14ac:dyDescent="0.55000000000000004">
      <c r="A17" s="209" t="s">
        <v>5823</v>
      </c>
      <c r="B17" s="209" t="s">
        <v>5824</v>
      </c>
      <c r="C17" s="209" t="s">
        <v>5825</v>
      </c>
      <c r="D17" s="209" t="s">
        <v>5826</v>
      </c>
      <c r="E17" s="209" t="s">
        <v>5827</v>
      </c>
      <c r="F17" s="209" t="s">
        <v>5828</v>
      </c>
      <c r="G17" s="209" t="s">
        <v>988</v>
      </c>
      <c r="H17" s="209" t="s">
        <v>1000</v>
      </c>
      <c r="I17" s="209" t="s">
        <v>2070</v>
      </c>
      <c r="J17" s="209" t="s">
        <v>2072</v>
      </c>
      <c r="K17" s="209" t="s">
        <v>1910</v>
      </c>
      <c r="L17" s="209" t="s">
        <v>1912</v>
      </c>
      <c r="M17" s="209" t="s">
        <v>382</v>
      </c>
      <c r="N17" s="209" t="s">
        <v>395</v>
      </c>
      <c r="O17" s="209" t="s">
        <v>1212</v>
      </c>
      <c r="P17" s="209" t="s">
        <v>1218</v>
      </c>
      <c r="Q17" s="209" t="s">
        <v>3225</v>
      </c>
      <c r="R17" s="209" t="s">
        <v>3249</v>
      </c>
      <c r="S17" s="209" t="s">
        <v>3264</v>
      </c>
      <c r="T17" s="209" t="s">
        <v>3287</v>
      </c>
      <c r="U17" s="209" t="s">
        <v>3302</v>
      </c>
      <c r="V17" s="209" t="s">
        <v>3325</v>
      </c>
      <c r="W17" s="209" t="s">
        <v>3340</v>
      </c>
      <c r="X17" s="209" t="s">
        <v>3357</v>
      </c>
      <c r="Y17" s="209" t="s">
        <v>3366</v>
      </c>
      <c r="Z17" s="209" t="s">
        <v>3383</v>
      </c>
      <c r="AA17" s="209" t="s">
        <v>3392</v>
      </c>
      <c r="AB17" s="209" t="s">
        <v>3409</v>
      </c>
      <c r="AC17" s="209" t="s">
        <v>1405</v>
      </c>
      <c r="AD17" s="209" t="s">
        <v>1412</v>
      </c>
      <c r="AE17" s="209" t="s">
        <v>1418</v>
      </c>
      <c r="AF17" s="209" t="s">
        <v>1424</v>
      </c>
      <c r="AG17" s="209" t="s">
        <v>1430</v>
      </c>
      <c r="AH17" s="209" t="s">
        <v>1436</v>
      </c>
      <c r="AI17" s="209" t="s">
        <v>1442</v>
      </c>
      <c r="AJ17" s="209" t="s">
        <v>1449</v>
      </c>
      <c r="AK17" s="209" t="s">
        <v>1455</v>
      </c>
      <c r="AL17" s="209" t="s">
        <v>1461</v>
      </c>
      <c r="AM17" s="209" t="s">
        <v>1467</v>
      </c>
      <c r="AN17" s="209" t="s">
        <v>1473</v>
      </c>
      <c r="AO17" s="209" t="s">
        <v>6031</v>
      </c>
      <c r="AP17" s="209" t="s">
        <v>6032</v>
      </c>
      <c r="AQ17" s="209" t="s">
        <v>1037</v>
      </c>
      <c r="AR17" s="209" t="s">
        <v>1043</v>
      </c>
      <c r="AS17" s="209" t="s">
        <v>132</v>
      </c>
      <c r="AT17" s="209" t="s">
        <v>132</v>
      </c>
      <c r="AU17" s="209" t="s">
        <v>3727</v>
      </c>
      <c r="AV17" s="209" t="s">
        <v>3738</v>
      </c>
      <c r="AW17" s="209" t="s">
        <v>3827</v>
      </c>
      <c r="AX17" s="209" t="s">
        <v>3833</v>
      </c>
      <c r="AY17" s="209" t="s">
        <v>3597</v>
      </c>
      <c r="AZ17" s="209" t="s">
        <v>3610</v>
      </c>
      <c r="BA17" s="209" t="s">
        <v>3637</v>
      </c>
      <c r="BB17" s="209" t="s">
        <v>3650</v>
      </c>
      <c r="BC17" s="209" t="s">
        <v>2461</v>
      </c>
      <c r="BD17" s="209" t="s">
        <v>2477</v>
      </c>
      <c r="BE17" s="209" t="s">
        <v>3691</v>
      </c>
      <c r="BF17" s="209" t="s">
        <v>3702</v>
      </c>
      <c r="BG17" s="209" t="s">
        <v>2540</v>
      </c>
      <c r="BH17" s="209" t="s">
        <v>2554</v>
      </c>
    </row>
    <row r="18" spans="1:60" x14ac:dyDescent="0.55000000000000004">
      <c r="A18" s="209" t="s">
        <v>5829</v>
      </c>
      <c r="B18" s="209" t="s">
        <v>5824</v>
      </c>
      <c r="C18" s="209" t="s">
        <v>5804</v>
      </c>
      <c r="D18" s="209" t="s">
        <v>5830</v>
      </c>
      <c r="E18" s="209" t="s">
        <v>5831</v>
      </c>
      <c r="F18" s="209" t="s">
        <v>133</v>
      </c>
      <c r="G18" s="209" t="s">
        <v>1005</v>
      </c>
      <c r="H18" s="209" t="s">
        <v>1013</v>
      </c>
      <c r="I18" s="209" t="s">
        <v>2074</v>
      </c>
      <c r="J18" s="209" t="s">
        <v>2076</v>
      </c>
      <c r="K18" s="209" t="s">
        <v>1914</v>
      </c>
      <c r="L18" s="209" t="s">
        <v>1916</v>
      </c>
      <c r="M18" s="209" t="s">
        <v>402</v>
      </c>
      <c r="N18" s="209" t="s">
        <v>415</v>
      </c>
      <c r="O18" s="209" t="s">
        <v>1224</v>
      </c>
      <c r="P18" s="209" t="s">
        <v>1229</v>
      </c>
      <c r="Q18" s="209" t="s">
        <v>3441</v>
      </c>
      <c r="R18" s="209" t="s">
        <v>3458</v>
      </c>
      <c r="S18" s="209" t="s">
        <v>3467</v>
      </c>
      <c r="T18" s="209" t="s">
        <v>3484</v>
      </c>
      <c r="U18" s="209" t="s">
        <v>3493</v>
      </c>
      <c r="V18" s="209" t="s">
        <v>3510</v>
      </c>
      <c r="W18" s="209" t="s">
        <v>3519</v>
      </c>
      <c r="X18" s="209" t="s">
        <v>3536</v>
      </c>
      <c r="Y18" s="209" t="s">
        <v>3545</v>
      </c>
      <c r="Z18" s="209" t="s">
        <v>3562</v>
      </c>
      <c r="AA18" s="209" t="s">
        <v>3571</v>
      </c>
      <c r="AB18" s="209" t="s">
        <v>3588</v>
      </c>
      <c r="AC18" s="209" t="s">
        <v>1490</v>
      </c>
      <c r="AD18" s="209" t="s">
        <v>1496</v>
      </c>
      <c r="AE18" s="209" t="s">
        <v>1501</v>
      </c>
      <c r="AF18" s="209" t="s">
        <v>1506</v>
      </c>
      <c r="AG18" s="209" t="s">
        <v>1511</v>
      </c>
      <c r="AH18" s="209" t="s">
        <v>1516</v>
      </c>
      <c r="AI18" s="209" t="s">
        <v>1521</v>
      </c>
      <c r="AJ18" s="209" t="s">
        <v>1527</v>
      </c>
      <c r="AK18" s="209" t="s">
        <v>1532</v>
      </c>
      <c r="AL18" s="209" t="s">
        <v>1537</v>
      </c>
      <c r="AM18" s="209" t="s">
        <v>1542</v>
      </c>
      <c r="AN18" s="209" t="s">
        <v>1547</v>
      </c>
      <c r="AO18" s="209" t="s">
        <v>5832</v>
      </c>
      <c r="AP18" s="209" t="s">
        <v>5833</v>
      </c>
      <c r="AQ18" s="209" t="s">
        <v>1037</v>
      </c>
      <c r="AR18" s="209" t="s">
        <v>1043</v>
      </c>
      <c r="AS18" s="209" t="s">
        <v>132</v>
      </c>
      <c r="AT18" s="209" t="s">
        <v>132</v>
      </c>
      <c r="AU18" s="209" t="s">
        <v>3727</v>
      </c>
      <c r="AV18" s="209" t="s">
        <v>3738</v>
      </c>
      <c r="AW18" s="209" t="s">
        <v>3827</v>
      </c>
      <c r="AX18" s="209" t="s">
        <v>3833</v>
      </c>
      <c r="AY18" s="209" t="s">
        <v>3597</v>
      </c>
      <c r="AZ18" s="209" t="s">
        <v>3610</v>
      </c>
      <c r="BA18" s="209" t="s">
        <v>3637</v>
      </c>
      <c r="BB18" s="209" t="s">
        <v>3650</v>
      </c>
      <c r="BC18" s="209" t="s">
        <v>2461</v>
      </c>
      <c r="BD18" s="209" t="s">
        <v>2477</v>
      </c>
      <c r="BE18" s="209" t="s">
        <v>3691</v>
      </c>
      <c r="BF18" s="209" t="s">
        <v>3702</v>
      </c>
      <c r="BG18" s="209" t="s">
        <v>2540</v>
      </c>
      <c r="BH18" s="209" t="s">
        <v>2554</v>
      </c>
    </row>
    <row r="19" spans="1:60" x14ac:dyDescent="0.55000000000000004">
      <c r="A19" s="209" t="s">
        <v>5834</v>
      </c>
      <c r="B19" s="209" t="s">
        <v>5824</v>
      </c>
      <c r="C19" s="209" t="s">
        <v>5804</v>
      </c>
      <c r="D19" s="209" t="s">
        <v>5804</v>
      </c>
      <c r="E19" s="209" t="s">
        <v>133</v>
      </c>
      <c r="F19" s="209" t="s">
        <v>133</v>
      </c>
      <c r="G19" s="209" t="s">
        <v>1037</v>
      </c>
      <c r="H19" s="209" t="s">
        <v>1043</v>
      </c>
      <c r="I19" s="209" t="s">
        <v>2086</v>
      </c>
      <c r="J19" s="209" t="s">
        <v>2088</v>
      </c>
      <c r="K19" s="209" t="s">
        <v>1918</v>
      </c>
      <c r="L19" s="209" t="s">
        <v>1920</v>
      </c>
      <c r="M19" s="209" t="s">
        <v>422</v>
      </c>
      <c r="N19" s="209" t="s">
        <v>431</v>
      </c>
      <c r="O19" s="209" t="s">
        <v>132</v>
      </c>
      <c r="P19" s="209" t="s">
        <v>132</v>
      </c>
      <c r="Q19" s="209" t="s">
        <v>3637</v>
      </c>
      <c r="R19" s="209" t="s">
        <v>3650</v>
      </c>
      <c r="S19" s="209" t="s">
        <v>3659</v>
      </c>
      <c r="T19" s="209" t="s">
        <v>3669</v>
      </c>
      <c r="U19" s="209" t="s">
        <v>3675</v>
      </c>
      <c r="V19" s="209" t="s">
        <v>3685</v>
      </c>
      <c r="W19" s="209" t="s">
        <v>3691</v>
      </c>
      <c r="X19" s="209" t="s">
        <v>3702</v>
      </c>
      <c r="Y19" s="209" t="s">
        <v>132</v>
      </c>
      <c r="Z19" s="209" t="s">
        <v>132</v>
      </c>
      <c r="AA19" s="209" t="s">
        <v>132</v>
      </c>
      <c r="AB19" s="209" t="s">
        <v>132</v>
      </c>
      <c r="AC19" s="209" t="s">
        <v>132</v>
      </c>
      <c r="AD19" s="209" t="s">
        <v>132</v>
      </c>
      <c r="AE19" s="209" t="s">
        <v>132</v>
      </c>
      <c r="AF19" s="209" t="s">
        <v>132</v>
      </c>
      <c r="AG19" s="209" t="s">
        <v>132</v>
      </c>
      <c r="AH19" s="209" t="s">
        <v>132</v>
      </c>
      <c r="AI19" s="209" t="s">
        <v>132</v>
      </c>
      <c r="AJ19" s="209" t="s">
        <v>132</v>
      </c>
      <c r="AK19" s="209" t="s">
        <v>132</v>
      </c>
      <c r="AL19" s="209" t="s">
        <v>132</v>
      </c>
      <c r="AM19" s="209" t="s">
        <v>132</v>
      </c>
      <c r="AN19" s="209" t="s">
        <v>132</v>
      </c>
      <c r="AO19" s="209" t="s">
        <v>132</v>
      </c>
      <c r="AP19" s="209" t="s">
        <v>132</v>
      </c>
      <c r="AQ19" s="209" t="s">
        <v>133</v>
      </c>
      <c r="AR19" s="209" t="s">
        <v>133</v>
      </c>
      <c r="AS19" s="209" t="s">
        <v>133</v>
      </c>
      <c r="AT19" s="209" t="s">
        <v>133</v>
      </c>
      <c r="AU19" s="209" t="s">
        <v>133</v>
      </c>
      <c r="AV19" s="209" t="s">
        <v>133</v>
      </c>
      <c r="AW19" s="209" t="s">
        <v>133</v>
      </c>
      <c r="AX19" s="209" t="s">
        <v>133</v>
      </c>
      <c r="AY19" s="209" t="s">
        <v>133</v>
      </c>
      <c r="AZ19" s="209" t="s">
        <v>133</v>
      </c>
      <c r="BA19" s="209" t="s">
        <v>133</v>
      </c>
      <c r="BB19" s="209" t="s">
        <v>133</v>
      </c>
      <c r="BC19" s="209" t="s">
        <v>133</v>
      </c>
      <c r="BD19" s="209" t="s">
        <v>133</v>
      </c>
      <c r="BE19" s="209" t="s">
        <v>133</v>
      </c>
      <c r="BF19" s="209" t="s">
        <v>133</v>
      </c>
      <c r="BG19" s="209" t="s">
        <v>133</v>
      </c>
      <c r="BH19" s="209" t="s">
        <v>133</v>
      </c>
    </row>
    <row r="20" spans="1:60" x14ac:dyDescent="0.55000000000000004">
      <c r="A20" s="209" t="s">
        <v>5835</v>
      </c>
      <c r="B20" s="209" t="s">
        <v>5824</v>
      </c>
      <c r="C20" s="209" t="s">
        <v>5804</v>
      </c>
      <c r="D20" s="209" t="s">
        <v>5804</v>
      </c>
      <c r="E20" s="209" t="s">
        <v>133</v>
      </c>
      <c r="F20" s="209" t="s">
        <v>133</v>
      </c>
      <c r="G20" s="209" t="s">
        <v>1037</v>
      </c>
      <c r="H20" s="209" t="s">
        <v>1043</v>
      </c>
      <c r="I20" s="209" t="s">
        <v>2086</v>
      </c>
      <c r="J20" s="209" t="s">
        <v>2088</v>
      </c>
      <c r="K20" s="209" t="s">
        <v>1922</v>
      </c>
      <c r="L20" s="209" t="s">
        <v>1924</v>
      </c>
      <c r="M20" s="209" t="s">
        <v>434</v>
      </c>
      <c r="N20" s="209" t="s">
        <v>447</v>
      </c>
      <c r="O20" s="209" t="s">
        <v>132</v>
      </c>
      <c r="P20" s="209" t="s">
        <v>132</v>
      </c>
      <c r="Q20" s="209" t="s">
        <v>3727</v>
      </c>
      <c r="R20" s="209" t="s">
        <v>3738</v>
      </c>
      <c r="S20" s="209" t="s">
        <v>3747</v>
      </c>
      <c r="T20" s="209" t="s">
        <v>3758</v>
      </c>
      <c r="U20" s="209" t="s">
        <v>3767</v>
      </c>
      <c r="V20" s="209" t="s">
        <v>3778</v>
      </c>
      <c r="W20" s="209" t="s">
        <v>3787</v>
      </c>
      <c r="X20" s="209" t="s">
        <v>3798</v>
      </c>
      <c r="Y20" s="209" t="s">
        <v>3807</v>
      </c>
      <c r="Z20" s="209" t="s">
        <v>3818</v>
      </c>
      <c r="AA20" s="209" t="s">
        <v>132</v>
      </c>
      <c r="AB20" s="209" t="s">
        <v>132</v>
      </c>
      <c r="AC20" s="209" t="s">
        <v>132</v>
      </c>
      <c r="AD20" s="209" t="s">
        <v>132</v>
      </c>
      <c r="AE20" s="209" t="s">
        <v>132</v>
      </c>
      <c r="AF20" s="209" t="s">
        <v>132</v>
      </c>
      <c r="AG20" s="209" t="s">
        <v>132</v>
      </c>
      <c r="AH20" s="209" t="s">
        <v>132</v>
      </c>
      <c r="AI20" s="209" t="s">
        <v>132</v>
      </c>
      <c r="AJ20" s="209" t="s">
        <v>132</v>
      </c>
      <c r="AK20" s="209" t="s">
        <v>132</v>
      </c>
      <c r="AL20" s="209" t="s">
        <v>132</v>
      </c>
      <c r="AM20" s="209" t="s">
        <v>132</v>
      </c>
      <c r="AN20" s="209" t="s">
        <v>132</v>
      </c>
      <c r="AO20" s="209" t="s">
        <v>132</v>
      </c>
      <c r="AP20" s="209" t="s">
        <v>132</v>
      </c>
      <c r="AQ20" s="209" t="s">
        <v>133</v>
      </c>
      <c r="AR20" s="209" t="s">
        <v>133</v>
      </c>
      <c r="AS20" s="209" t="s">
        <v>133</v>
      </c>
      <c r="AT20" s="209" t="s">
        <v>133</v>
      </c>
      <c r="AU20" s="209" t="s">
        <v>133</v>
      </c>
      <c r="AV20" s="209" t="s">
        <v>133</v>
      </c>
      <c r="AW20" s="209" t="s">
        <v>133</v>
      </c>
      <c r="AX20" s="209" t="s">
        <v>133</v>
      </c>
      <c r="AY20" s="209" t="s">
        <v>133</v>
      </c>
      <c r="AZ20" s="209" t="s">
        <v>133</v>
      </c>
      <c r="BA20" s="209" t="s">
        <v>133</v>
      </c>
      <c r="BB20" s="209" t="s">
        <v>133</v>
      </c>
      <c r="BC20" s="209" t="s">
        <v>133</v>
      </c>
      <c r="BD20" s="209" t="s">
        <v>133</v>
      </c>
      <c r="BE20" s="209" t="s">
        <v>133</v>
      </c>
      <c r="BF20" s="209" t="s">
        <v>133</v>
      </c>
      <c r="BG20" s="209" t="s">
        <v>133</v>
      </c>
      <c r="BH20" s="209" t="s">
        <v>133</v>
      </c>
    </row>
    <row r="21" spans="1:60" x14ac:dyDescent="0.55000000000000004">
      <c r="A21" s="209" t="s">
        <v>5836</v>
      </c>
      <c r="B21" s="209" t="s">
        <v>5824</v>
      </c>
      <c r="C21" s="209" t="s">
        <v>5804</v>
      </c>
      <c r="D21" s="209" t="s">
        <v>5804</v>
      </c>
      <c r="E21" s="209" t="s">
        <v>133</v>
      </c>
      <c r="F21" s="209" t="s">
        <v>133</v>
      </c>
      <c r="G21" s="209" t="s">
        <v>1017</v>
      </c>
      <c r="H21" s="209" t="s">
        <v>1023</v>
      </c>
      <c r="I21" s="209" t="s">
        <v>2078</v>
      </c>
      <c r="J21" s="209" t="s">
        <v>2080</v>
      </c>
      <c r="K21" s="209" t="s">
        <v>1926</v>
      </c>
      <c r="L21" s="209" t="s">
        <v>1928</v>
      </c>
      <c r="M21" s="209" t="s">
        <v>454</v>
      </c>
      <c r="N21" s="209" t="s">
        <v>463</v>
      </c>
      <c r="O21" s="209" t="s">
        <v>132</v>
      </c>
      <c r="P21" s="209" t="s">
        <v>132</v>
      </c>
      <c r="Q21" s="209" t="s">
        <v>3709</v>
      </c>
      <c r="R21" s="209" t="s">
        <v>3720</v>
      </c>
      <c r="S21" s="209" t="s">
        <v>132</v>
      </c>
      <c r="T21" s="209" t="s">
        <v>132</v>
      </c>
      <c r="U21" s="209" t="s">
        <v>132</v>
      </c>
      <c r="V21" s="209" t="s">
        <v>132</v>
      </c>
      <c r="W21" s="209" t="s">
        <v>132</v>
      </c>
      <c r="X21" s="209" t="s">
        <v>132</v>
      </c>
      <c r="Y21" s="209" t="s">
        <v>132</v>
      </c>
      <c r="Z21" s="209" t="s">
        <v>132</v>
      </c>
      <c r="AA21" s="209" t="s">
        <v>132</v>
      </c>
      <c r="AB21" s="209" t="s">
        <v>132</v>
      </c>
      <c r="AC21" s="209" t="s">
        <v>132</v>
      </c>
      <c r="AD21" s="209" t="s">
        <v>132</v>
      </c>
      <c r="AE21" s="209" t="s">
        <v>132</v>
      </c>
      <c r="AF21" s="209" t="s">
        <v>132</v>
      </c>
      <c r="AG21" s="209" t="s">
        <v>132</v>
      </c>
      <c r="AH21" s="209" t="s">
        <v>132</v>
      </c>
      <c r="AI21" s="209" t="s">
        <v>132</v>
      </c>
      <c r="AJ21" s="209" t="s">
        <v>132</v>
      </c>
      <c r="AK21" s="209" t="s">
        <v>132</v>
      </c>
      <c r="AL21" s="209" t="s">
        <v>132</v>
      </c>
      <c r="AM21" s="209" t="s">
        <v>132</v>
      </c>
      <c r="AN21" s="209" t="s">
        <v>132</v>
      </c>
      <c r="AO21" s="209" t="s">
        <v>132</v>
      </c>
      <c r="AP21" s="209" t="s">
        <v>132</v>
      </c>
      <c r="AQ21" s="209" t="s">
        <v>133</v>
      </c>
      <c r="AR21" s="209" t="s">
        <v>133</v>
      </c>
      <c r="AS21" s="209" t="s">
        <v>133</v>
      </c>
      <c r="AT21" s="209" t="s">
        <v>133</v>
      </c>
      <c r="AU21" s="209" t="s">
        <v>133</v>
      </c>
      <c r="AV21" s="209" t="s">
        <v>133</v>
      </c>
      <c r="AW21" s="209" t="s">
        <v>133</v>
      </c>
      <c r="AX21" s="209" t="s">
        <v>133</v>
      </c>
      <c r="AY21" s="209" t="s">
        <v>133</v>
      </c>
      <c r="AZ21" s="209" t="s">
        <v>133</v>
      </c>
      <c r="BA21" s="209" t="s">
        <v>133</v>
      </c>
      <c r="BB21" s="209" t="s">
        <v>133</v>
      </c>
      <c r="BC21" s="209" t="s">
        <v>133</v>
      </c>
      <c r="BD21" s="209" t="s">
        <v>133</v>
      </c>
      <c r="BE21" s="209" t="s">
        <v>133</v>
      </c>
      <c r="BF21" s="209" t="s">
        <v>133</v>
      </c>
      <c r="BG21" s="209" t="s">
        <v>133</v>
      </c>
      <c r="BH21" s="209" t="s">
        <v>133</v>
      </c>
    </row>
    <row r="22" spans="1:60" x14ac:dyDescent="0.55000000000000004">
      <c r="A22" s="209" t="s">
        <v>5837</v>
      </c>
      <c r="B22" s="209" t="s">
        <v>5824</v>
      </c>
      <c r="C22" s="209" t="s">
        <v>5804</v>
      </c>
      <c r="D22" s="209" t="s">
        <v>5804</v>
      </c>
      <c r="E22" s="209" t="s">
        <v>133</v>
      </c>
      <c r="F22" s="209" t="s">
        <v>133</v>
      </c>
      <c r="G22" s="209" t="s">
        <v>1017</v>
      </c>
      <c r="H22" s="209" t="s">
        <v>1023</v>
      </c>
      <c r="I22" s="209" t="s">
        <v>2078</v>
      </c>
      <c r="J22" s="209" t="s">
        <v>2080</v>
      </c>
      <c r="K22" s="209" t="s">
        <v>1930</v>
      </c>
      <c r="L22" s="209" t="s">
        <v>1932</v>
      </c>
      <c r="M22" s="209" t="s">
        <v>466</v>
      </c>
      <c r="N22" s="209" t="s">
        <v>475</v>
      </c>
      <c r="O22" s="209" t="s">
        <v>132</v>
      </c>
      <c r="P22" s="209" t="s">
        <v>132</v>
      </c>
      <c r="Q22" s="209" t="s">
        <v>3827</v>
      </c>
      <c r="R22" s="209" t="s">
        <v>3833</v>
      </c>
      <c r="S22" s="209" t="s">
        <v>3837</v>
      </c>
      <c r="T22" s="209" t="s">
        <v>3843</v>
      </c>
      <c r="U22" s="209" t="s">
        <v>3847</v>
      </c>
      <c r="V22" s="209" t="s">
        <v>3853</v>
      </c>
      <c r="W22" s="209" t="s">
        <v>3857</v>
      </c>
      <c r="X22" s="209" t="s">
        <v>3863</v>
      </c>
      <c r="Y22" s="209" t="s">
        <v>3867</v>
      </c>
      <c r="Z22" s="209" t="s">
        <v>3876</v>
      </c>
      <c r="AA22" s="209" t="s">
        <v>3418</v>
      </c>
      <c r="AB22" s="209" t="s">
        <v>3432</v>
      </c>
      <c r="AC22" s="209" t="s">
        <v>132</v>
      </c>
      <c r="AD22" s="209" t="s">
        <v>132</v>
      </c>
      <c r="AE22" s="209" t="s">
        <v>132</v>
      </c>
      <c r="AF22" s="209" t="s">
        <v>132</v>
      </c>
      <c r="AG22" s="209" t="s">
        <v>132</v>
      </c>
      <c r="AH22" s="209" t="s">
        <v>132</v>
      </c>
      <c r="AI22" s="209" t="s">
        <v>132</v>
      </c>
      <c r="AJ22" s="209" t="s">
        <v>132</v>
      </c>
      <c r="AK22" s="209" t="s">
        <v>132</v>
      </c>
      <c r="AL22" s="209" t="s">
        <v>132</v>
      </c>
      <c r="AM22" s="209" t="s">
        <v>1479</v>
      </c>
      <c r="AN22" s="209" t="s">
        <v>1485</v>
      </c>
      <c r="AO22" s="209" t="s">
        <v>132</v>
      </c>
      <c r="AP22" s="209" t="s">
        <v>132</v>
      </c>
      <c r="AQ22" s="209" t="s">
        <v>133</v>
      </c>
      <c r="AR22" s="209" t="s">
        <v>133</v>
      </c>
      <c r="AS22" s="209" t="s">
        <v>133</v>
      </c>
      <c r="AT22" s="209" t="s">
        <v>133</v>
      </c>
      <c r="AU22" s="209" t="s">
        <v>133</v>
      </c>
      <c r="AV22" s="209" t="s">
        <v>133</v>
      </c>
      <c r="AW22" s="209" t="s">
        <v>133</v>
      </c>
      <c r="AX22" s="209" t="s">
        <v>133</v>
      </c>
      <c r="AY22" s="209" t="s">
        <v>133</v>
      </c>
      <c r="AZ22" s="209" t="s">
        <v>133</v>
      </c>
      <c r="BA22" s="209" t="s">
        <v>133</v>
      </c>
      <c r="BB22" s="209" t="s">
        <v>133</v>
      </c>
      <c r="BC22" s="209" t="s">
        <v>133</v>
      </c>
      <c r="BD22" s="209" t="s">
        <v>133</v>
      </c>
      <c r="BE22" s="209" t="s">
        <v>133</v>
      </c>
      <c r="BF22" s="209" t="s">
        <v>133</v>
      </c>
      <c r="BG22" s="209" t="s">
        <v>133</v>
      </c>
      <c r="BH22" s="209" t="s">
        <v>133</v>
      </c>
    </row>
    <row r="23" spans="1:60" x14ac:dyDescent="0.55000000000000004">
      <c r="A23" s="209" t="s">
        <v>5838</v>
      </c>
      <c r="B23" s="209" t="s">
        <v>5824</v>
      </c>
      <c r="C23" s="209" t="s">
        <v>5804</v>
      </c>
      <c r="D23" s="209" t="s">
        <v>5804</v>
      </c>
      <c r="E23" s="209" t="s">
        <v>133</v>
      </c>
      <c r="F23" s="209" t="s">
        <v>133</v>
      </c>
      <c r="G23" s="209" t="s">
        <v>1027</v>
      </c>
      <c r="H23" s="209" t="s">
        <v>1033</v>
      </c>
      <c r="I23" s="209" t="s">
        <v>2082</v>
      </c>
      <c r="J23" s="209" t="s">
        <v>2084</v>
      </c>
      <c r="K23" s="209" t="s">
        <v>1934</v>
      </c>
      <c r="L23" s="209" t="s">
        <v>1936</v>
      </c>
      <c r="M23" s="209" t="s">
        <v>478</v>
      </c>
      <c r="N23" s="209" t="s">
        <v>487</v>
      </c>
      <c r="O23" s="209" t="s">
        <v>132</v>
      </c>
      <c r="P23" s="209" t="s">
        <v>132</v>
      </c>
      <c r="Q23" s="209" t="s">
        <v>3883</v>
      </c>
      <c r="R23" s="209" t="s">
        <v>3892</v>
      </c>
      <c r="S23" s="209" t="s">
        <v>3896</v>
      </c>
      <c r="T23" s="209" t="s">
        <v>3909</v>
      </c>
      <c r="U23" s="209" t="s">
        <v>132</v>
      </c>
      <c r="V23" s="209" t="s">
        <v>132</v>
      </c>
      <c r="W23" s="209" t="s">
        <v>132</v>
      </c>
      <c r="X23" s="209" t="s">
        <v>132</v>
      </c>
      <c r="Y23" s="209" t="s">
        <v>132</v>
      </c>
      <c r="Z23" s="209" t="s">
        <v>132</v>
      </c>
      <c r="AA23" s="209" t="s">
        <v>132</v>
      </c>
      <c r="AB23" s="209" t="s">
        <v>132</v>
      </c>
      <c r="AC23" s="209" t="s">
        <v>132</v>
      </c>
      <c r="AD23" s="209" t="s">
        <v>132</v>
      </c>
      <c r="AE23" s="209" t="s">
        <v>132</v>
      </c>
      <c r="AF23" s="209" t="s">
        <v>132</v>
      </c>
      <c r="AG23" s="209" t="s">
        <v>132</v>
      </c>
      <c r="AH23" s="209" t="s">
        <v>132</v>
      </c>
      <c r="AI23" s="209" t="s">
        <v>132</v>
      </c>
      <c r="AJ23" s="209" t="s">
        <v>132</v>
      </c>
      <c r="AK23" s="209" t="s">
        <v>132</v>
      </c>
      <c r="AL23" s="209" t="s">
        <v>132</v>
      </c>
      <c r="AM23" s="209" t="s">
        <v>132</v>
      </c>
      <c r="AN23" s="209" t="s">
        <v>132</v>
      </c>
      <c r="AO23" s="209" t="s">
        <v>132</v>
      </c>
      <c r="AP23" s="209" t="s">
        <v>132</v>
      </c>
      <c r="AQ23" s="209" t="s">
        <v>133</v>
      </c>
      <c r="AR23" s="209" t="s">
        <v>133</v>
      </c>
      <c r="AS23" s="209" t="s">
        <v>133</v>
      </c>
      <c r="AT23" s="209" t="s">
        <v>133</v>
      </c>
      <c r="AU23" s="209" t="s">
        <v>133</v>
      </c>
      <c r="AV23" s="209" t="s">
        <v>133</v>
      </c>
      <c r="AW23" s="209" t="s">
        <v>133</v>
      </c>
      <c r="AX23" s="209" t="s">
        <v>133</v>
      </c>
      <c r="AY23" s="209" t="s">
        <v>133</v>
      </c>
      <c r="AZ23" s="209" t="s">
        <v>133</v>
      </c>
      <c r="BA23" s="209" t="s">
        <v>133</v>
      </c>
      <c r="BB23" s="209" t="s">
        <v>133</v>
      </c>
      <c r="BC23" s="209" t="s">
        <v>133</v>
      </c>
      <c r="BD23" s="209" t="s">
        <v>133</v>
      </c>
      <c r="BE23" s="209" t="s">
        <v>133</v>
      </c>
      <c r="BF23" s="209" t="s">
        <v>133</v>
      </c>
      <c r="BG23" s="209" t="s">
        <v>133</v>
      </c>
      <c r="BH23" s="209" t="s">
        <v>133</v>
      </c>
    </row>
    <row r="24" spans="1:60" x14ac:dyDescent="0.55000000000000004">
      <c r="A24" s="209" t="s">
        <v>5839</v>
      </c>
      <c r="B24" s="209" t="s">
        <v>5824</v>
      </c>
      <c r="C24" s="209" t="s">
        <v>5804</v>
      </c>
      <c r="D24" s="209" t="s">
        <v>5804</v>
      </c>
      <c r="E24" s="209" t="s">
        <v>133</v>
      </c>
      <c r="F24" s="209" t="s">
        <v>133</v>
      </c>
      <c r="G24" s="209" t="s">
        <v>1027</v>
      </c>
      <c r="H24" s="209" t="s">
        <v>1033</v>
      </c>
      <c r="I24" s="209" t="s">
        <v>2082</v>
      </c>
      <c r="J24" s="209" t="s">
        <v>2084</v>
      </c>
      <c r="K24" s="209" t="s">
        <v>1938</v>
      </c>
      <c r="L24" s="209" t="s">
        <v>1940</v>
      </c>
      <c r="M24" s="209" t="s">
        <v>490</v>
      </c>
      <c r="N24" s="209" t="s">
        <v>499</v>
      </c>
      <c r="O24" s="209" t="s">
        <v>132</v>
      </c>
      <c r="P24" s="209" t="s">
        <v>132</v>
      </c>
      <c r="Q24" s="209" t="s">
        <v>3916</v>
      </c>
      <c r="R24" s="209" t="s">
        <v>3925</v>
      </c>
      <c r="S24" s="209" t="s">
        <v>3597</v>
      </c>
      <c r="T24" s="209" t="s">
        <v>3610</v>
      </c>
      <c r="U24" s="209" t="s">
        <v>3617</v>
      </c>
      <c r="V24" s="209" t="s">
        <v>3630</v>
      </c>
      <c r="W24" s="209" t="s">
        <v>132</v>
      </c>
      <c r="X24" s="209" t="s">
        <v>132</v>
      </c>
      <c r="Y24" s="209" t="s">
        <v>132</v>
      </c>
      <c r="Z24" s="209" t="s">
        <v>132</v>
      </c>
      <c r="AA24" s="209" t="s">
        <v>132</v>
      </c>
      <c r="AB24" s="209" t="s">
        <v>132</v>
      </c>
      <c r="AC24" s="209" t="s">
        <v>132</v>
      </c>
      <c r="AD24" s="209" t="s">
        <v>132</v>
      </c>
      <c r="AE24" s="209" t="s">
        <v>1552</v>
      </c>
      <c r="AF24" s="209" t="s">
        <v>1557</v>
      </c>
      <c r="AG24" s="209" t="s">
        <v>1561</v>
      </c>
      <c r="AH24" s="209" t="s">
        <v>1566</v>
      </c>
      <c r="AI24" s="209" t="s">
        <v>132</v>
      </c>
      <c r="AJ24" s="209" t="s">
        <v>132</v>
      </c>
      <c r="AK24" s="209" t="s">
        <v>132</v>
      </c>
      <c r="AL24" s="209" t="s">
        <v>132</v>
      </c>
      <c r="AM24" s="209" t="s">
        <v>132</v>
      </c>
      <c r="AN24" s="209" t="s">
        <v>132</v>
      </c>
      <c r="AO24" s="209" t="s">
        <v>5840</v>
      </c>
      <c r="AP24" s="209" t="s">
        <v>132</v>
      </c>
      <c r="AQ24" s="209" t="s">
        <v>133</v>
      </c>
      <c r="AR24" s="209" t="s">
        <v>133</v>
      </c>
      <c r="AS24" s="209" t="s">
        <v>133</v>
      </c>
      <c r="AT24" s="209" t="s">
        <v>133</v>
      </c>
      <c r="AU24" s="209" t="s">
        <v>133</v>
      </c>
      <c r="AV24" s="209" t="s">
        <v>133</v>
      </c>
      <c r="AW24" s="209" t="s">
        <v>133</v>
      </c>
      <c r="AX24" s="209" t="s">
        <v>133</v>
      </c>
      <c r="AY24" s="209" t="s">
        <v>133</v>
      </c>
      <c r="AZ24" s="209" t="s">
        <v>133</v>
      </c>
      <c r="BA24" s="209" t="s">
        <v>133</v>
      </c>
      <c r="BB24" s="209" t="s">
        <v>133</v>
      </c>
      <c r="BC24" s="209" t="s">
        <v>133</v>
      </c>
      <c r="BD24" s="209" t="s">
        <v>133</v>
      </c>
      <c r="BE24" s="209" t="s">
        <v>133</v>
      </c>
      <c r="BF24" s="209" t="s">
        <v>133</v>
      </c>
      <c r="BG24" s="209" t="s">
        <v>133</v>
      </c>
      <c r="BH24" s="209" t="s">
        <v>133</v>
      </c>
    </row>
    <row r="25" spans="1:60" x14ac:dyDescent="0.55000000000000004">
      <c r="A25" s="209" t="s">
        <v>5841</v>
      </c>
      <c r="B25" s="209" t="s">
        <v>5824</v>
      </c>
      <c r="C25" s="209" t="s">
        <v>5804</v>
      </c>
      <c r="D25" s="209" t="s">
        <v>5804</v>
      </c>
      <c r="E25" s="209" t="s">
        <v>133</v>
      </c>
      <c r="F25" s="209" t="s">
        <v>133</v>
      </c>
      <c r="G25" s="209" t="s">
        <v>1047</v>
      </c>
      <c r="H25" s="209" t="s">
        <v>1053</v>
      </c>
      <c r="I25" s="209" t="s">
        <v>2090</v>
      </c>
      <c r="J25" s="209" t="s">
        <v>2092</v>
      </c>
      <c r="K25" s="209" t="s">
        <v>1942</v>
      </c>
      <c r="L25" s="209" t="s">
        <v>1944</v>
      </c>
      <c r="M25" s="209" t="s">
        <v>502</v>
      </c>
      <c r="N25" s="209" t="s">
        <v>511</v>
      </c>
      <c r="O25" s="209" t="s">
        <v>132</v>
      </c>
      <c r="P25" s="209" t="s">
        <v>132</v>
      </c>
      <c r="Q25" s="209" t="s">
        <v>3929</v>
      </c>
      <c r="R25" s="209" t="s">
        <v>3935</v>
      </c>
      <c r="S25" s="209" t="s">
        <v>3939</v>
      </c>
      <c r="T25" s="209" t="s">
        <v>3945</v>
      </c>
      <c r="U25" s="209" t="s">
        <v>3949</v>
      </c>
      <c r="V25" s="209" t="s">
        <v>3955</v>
      </c>
      <c r="W25" s="209" t="s">
        <v>3959</v>
      </c>
      <c r="X25" s="209" t="s">
        <v>3965</v>
      </c>
      <c r="Y25" s="209" t="s">
        <v>3969</v>
      </c>
      <c r="Z25" s="209" t="s">
        <v>3975</v>
      </c>
      <c r="AA25" s="209" t="s">
        <v>132</v>
      </c>
      <c r="AB25" s="209" t="s">
        <v>132</v>
      </c>
      <c r="AC25" s="209" t="s">
        <v>132</v>
      </c>
      <c r="AD25" s="209" t="s">
        <v>132</v>
      </c>
      <c r="AE25" s="209" t="s">
        <v>132</v>
      </c>
      <c r="AF25" s="209" t="s">
        <v>132</v>
      </c>
      <c r="AG25" s="209" t="s">
        <v>132</v>
      </c>
      <c r="AH25" s="209" t="s">
        <v>132</v>
      </c>
      <c r="AI25" s="209" t="s">
        <v>132</v>
      </c>
      <c r="AJ25" s="209" t="s">
        <v>132</v>
      </c>
      <c r="AK25" s="209" t="s">
        <v>132</v>
      </c>
      <c r="AL25" s="209" t="s">
        <v>132</v>
      </c>
      <c r="AM25" s="209" t="s">
        <v>132</v>
      </c>
      <c r="AN25" s="209" t="s">
        <v>132</v>
      </c>
      <c r="AO25" s="209" t="s">
        <v>132</v>
      </c>
      <c r="AP25" s="209" t="s">
        <v>132</v>
      </c>
      <c r="AQ25" s="209" t="s">
        <v>133</v>
      </c>
      <c r="AR25" s="209" t="s">
        <v>133</v>
      </c>
      <c r="AS25" s="209" t="s">
        <v>133</v>
      </c>
      <c r="AT25" s="209" t="s">
        <v>133</v>
      </c>
      <c r="AU25" s="209" t="s">
        <v>133</v>
      </c>
      <c r="AV25" s="209" t="s">
        <v>133</v>
      </c>
      <c r="AW25" s="209" t="s">
        <v>133</v>
      </c>
      <c r="AX25" s="209" t="s">
        <v>133</v>
      </c>
      <c r="AY25" s="209" t="s">
        <v>133</v>
      </c>
      <c r="AZ25" s="209" t="s">
        <v>133</v>
      </c>
      <c r="BA25" s="209" t="s">
        <v>133</v>
      </c>
      <c r="BB25" s="209" t="s">
        <v>133</v>
      </c>
      <c r="BC25" s="209" t="s">
        <v>133</v>
      </c>
      <c r="BD25" s="209" t="s">
        <v>133</v>
      </c>
      <c r="BE25" s="209" t="s">
        <v>133</v>
      </c>
      <c r="BF25" s="209" t="s">
        <v>133</v>
      </c>
      <c r="BG25" s="209" t="s">
        <v>133</v>
      </c>
      <c r="BH25" s="209" t="s">
        <v>133</v>
      </c>
    </row>
    <row r="26" spans="1:60" x14ac:dyDescent="0.55000000000000004">
      <c r="A26" s="209" t="s">
        <v>5842</v>
      </c>
      <c r="B26" s="209" t="s">
        <v>5824</v>
      </c>
      <c r="C26" s="209" t="s">
        <v>5804</v>
      </c>
      <c r="D26" s="209" t="s">
        <v>5804</v>
      </c>
      <c r="E26" s="209" t="s">
        <v>133</v>
      </c>
      <c r="F26" s="209" t="s">
        <v>133</v>
      </c>
      <c r="G26" s="209" t="s">
        <v>1047</v>
      </c>
      <c r="H26" s="209" t="s">
        <v>1053</v>
      </c>
      <c r="I26" s="209" t="s">
        <v>2090</v>
      </c>
      <c r="J26" s="209" t="s">
        <v>2092</v>
      </c>
      <c r="K26" s="209" t="s">
        <v>1946</v>
      </c>
      <c r="L26" s="209" t="s">
        <v>1948</v>
      </c>
      <c r="M26" s="209" t="s">
        <v>514</v>
      </c>
      <c r="N26" s="209" t="s">
        <v>523</v>
      </c>
      <c r="O26" s="209" t="s">
        <v>132</v>
      </c>
      <c r="P26" s="209" t="s">
        <v>132</v>
      </c>
      <c r="Q26" s="209" t="s">
        <v>3979</v>
      </c>
      <c r="R26" s="209" t="s">
        <v>3985</v>
      </c>
      <c r="S26" s="209" t="s">
        <v>3989</v>
      </c>
      <c r="T26" s="209" t="s">
        <v>3995</v>
      </c>
      <c r="U26" s="209" t="s">
        <v>132</v>
      </c>
      <c r="V26" s="209" t="s">
        <v>132</v>
      </c>
      <c r="W26" s="209" t="s">
        <v>132</v>
      </c>
      <c r="X26" s="209" t="s">
        <v>132</v>
      </c>
      <c r="Y26" s="209" t="s">
        <v>132</v>
      </c>
      <c r="Z26" s="209" t="s">
        <v>132</v>
      </c>
      <c r="AA26" s="209" t="s">
        <v>132</v>
      </c>
      <c r="AB26" s="209" t="s">
        <v>132</v>
      </c>
      <c r="AC26" s="209" t="s">
        <v>132</v>
      </c>
      <c r="AD26" s="209" t="s">
        <v>132</v>
      </c>
      <c r="AE26" s="209" t="s">
        <v>132</v>
      </c>
      <c r="AF26" s="209" t="s">
        <v>132</v>
      </c>
      <c r="AG26" s="209" t="s">
        <v>132</v>
      </c>
      <c r="AH26" s="209" t="s">
        <v>132</v>
      </c>
      <c r="AI26" s="209" t="s">
        <v>132</v>
      </c>
      <c r="AJ26" s="209" t="s">
        <v>132</v>
      </c>
      <c r="AK26" s="209" t="s">
        <v>132</v>
      </c>
      <c r="AL26" s="209" t="s">
        <v>132</v>
      </c>
      <c r="AM26" s="209" t="s">
        <v>132</v>
      </c>
      <c r="AN26" s="209" t="s">
        <v>132</v>
      </c>
      <c r="AO26" s="209" t="s">
        <v>132</v>
      </c>
      <c r="AP26" s="209" t="s">
        <v>132</v>
      </c>
      <c r="AQ26" s="209" t="s">
        <v>133</v>
      </c>
      <c r="AR26" s="209" t="s">
        <v>133</v>
      </c>
      <c r="AS26" s="209" t="s">
        <v>133</v>
      </c>
      <c r="AT26" s="209" t="s">
        <v>133</v>
      </c>
      <c r="AU26" s="209" t="s">
        <v>133</v>
      </c>
      <c r="AV26" s="209" t="s">
        <v>133</v>
      </c>
      <c r="AW26" s="209" t="s">
        <v>133</v>
      </c>
      <c r="AX26" s="209" t="s">
        <v>133</v>
      </c>
      <c r="AY26" s="209" t="s">
        <v>133</v>
      </c>
      <c r="AZ26" s="209" t="s">
        <v>133</v>
      </c>
      <c r="BA26" s="209" t="s">
        <v>133</v>
      </c>
      <c r="BB26" s="209" t="s">
        <v>133</v>
      </c>
      <c r="BC26" s="209" t="s">
        <v>133</v>
      </c>
      <c r="BD26" s="209" t="s">
        <v>133</v>
      </c>
      <c r="BE26" s="209" t="s">
        <v>133</v>
      </c>
      <c r="BF26" s="209" t="s">
        <v>133</v>
      </c>
      <c r="BG26" s="209" t="s">
        <v>133</v>
      </c>
      <c r="BH26" s="209" t="s">
        <v>133</v>
      </c>
    </row>
    <row r="27" spans="1:60" x14ac:dyDescent="0.55000000000000004">
      <c r="A27" s="209" t="s">
        <v>5843</v>
      </c>
      <c r="B27" s="209" t="s">
        <v>5844</v>
      </c>
      <c r="C27" s="209" t="s">
        <v>5845</v>
      </c>
      <c r="D27" s="209" t="s">
        <v>5846</v>
      </c>
      <c r="E27" s="209" t="s">
        <v>133</v>
      </c>
      <c r="F27" s="209" t="s">
        <v>133</v>
      </c>
      <c r="G27" s="209" t="s">
        <v>1057</v>
      </c>
      <c r="H27" s="209" t="s">
        <v>1063</v>
      </c>
      <c r="I27" s="209" t="s">
        <v>2094</v>
      </c>
      <c r="J27" s="209" t="s">
        <v>2096</v>
      </c>
      <c r="K27" s="209" t="s">
        <v>1950</v>
      </c>
      <c r="L27" s="209" t="s">
        <v>1952</v>
      </c>
      <c r="M27" s="209" t="s">
        <v>526</v>
      </c>
      <c r="N27" s="209" t="s">
        <v>535</v>
      </c>
      <c r="O27" s="209" t="s">
        <v>132</v>
      </c>
      <c r="P27" s="209" t="s">
        <v>132</v>
      </c>
      <c r="Q27" s="209" t="s">
        <v>3999</v>
      </c>
      <c r="R27" s="209" t="s">
        <v>4009</v>
      </c>
      <c r="S27" s="209" t="s">
        <v>4015</v>
      </c>
      <c r="T27" s="209" t="s">
        <v>4025</v>
      </c>
      <c r="U27" s="209" t="s">
        <v>4031</v>
      </c>
      <c r="V27" s="209" t="s">
        <v>4039</v>
      </c>
      <c r="W27" s="209" t="s">
        <v>4043</v>
      </c>
      <c r="X27" s="209" t="s">
        <v>4053</v>
      </c>
      <c r="Y27" s="209" t="s">
        <v>132</v>
      </c>
      <c r="Z27" s="209" t="s">
        <v>132</v>
      </c>
      <c r="AA27" s="209" t="s">
        <v>132</v>
      </c>
      <c r="AB27" s="209" t="s">
        <v>132</v>
      </c>
      <c r="AC27" s="209" t="s">
        <v>132</v>
      </c>
      <c r="AD27" s="209" t="s">
        <v>132</v>
      </c>
      <c r="AE27" s="209" t="s">
        <v>132</v>
      </c>
      <c r="AF27" s="209" t="s">
        <v>132</v>
      </c>
      <c r="AG27" s="209" t="s">
        <v>132</v>
      </c>
      <c r="AH27" s="209" t="s">
        <v>132</v>
      </c>
      <c r="AI27" s="209" t="s">
        <v>132</v>
      </c>
      <c r="AJ27" s="209" t="s">
        <v>132</v>
      </c>
      <c r="AK27" s="209" t="s">
        <v>132</v>
      </c>
      <c r="AL27" s="209" t="s">
        <v>132</v>
      </c>
      <c r="AM27" s="209" t="s">
        <v>132</v>
      </c>
      <c r="AN27" s="209" t="s">
        <v>132</v>
      </c>
      <c r="AO27" s="209" t="s">
        <v>132</v>
      </c>
      <c r="AP27" s="209" t="s">
        <v>132</v>
      </c>
      <c r="AQ27" s="209" t="s">
        <v>133</v>
      </c>
      <c r="AR27" s="209" t="s">
        <v>133</v>
      </c>
      <c r="AS27" s="209" t="s">
        <v>133</v>
      </c>
      <c r="AT27" s="209" t="s">
        <v>133</v>
      </c>
      <c r="AU27" s="209" t="s">
        <v>133</v>
      </c>
      <c r="AV27" s="209" t="s">
        <v>133</v>
      </c>
      <c r="AW27" s="209" t="s">
        <v>133</v>
      </c>
      <c r="AX27" s="209" t="s">
        <v>133</v>
      </c>
      <c r="AY27" s="209" t="s">
        <v>133</v>
      </c>
      <c r="AZ27" s="209" t="s">
        <v>133</v>
      </c>
      <c r="BA27" s="209" t="s">
        <v>133</v>
      </c>
      <c r="BB27" s="209" t="s">
        <v>133</v>
      </c>
      <c r="BC27" s="209" t="s">
        <v>133</v>
      </c>
      <c r="BD27" s="209" t="s">
        <v>133</v>
      </c>
      <c r="BE27" s="209" t="s">
        <v>133</v>
      </c>
      <c r="BF27" s="209" t="s">
        <v>133</v>
      </c>
      <c r="BG27" s="209" t="s">
        <v>133</v>
      </c>
      <c r="BH27" s="209" t="s">
        <v>133</v>
      </c>
    </row>
    <row r="28" spans="1:60" x14ac:dyDescent="0.55000000000000004">
      <c r="A28" s="209" t="s">
        <v>5847</v>
      </c>
      <c r="B28" s="209" t="s">
        <v>5844</v>
      </c>
      <c r="C28" s="209" t="s">
        <v>5845</v>
      </c>
      <c r="D28" s="209" t="s">
        <v>5846</v>
      </c>
      <c r="E28" s="209" t="s">
        <v>133</v>
      </c>
      <c r="F28" s="209" t="s">
        <v>133</v>
      </c>
      <c r="G28" s="209" t="s">
        <v>1057</v>
      </c>
      <c r="H28" s="209" t="s">
        <v>1063</v>
      </c>
      <c r="I28" s="209" t="s">
        <v>2094</v>
      </c>
      <c r="J28" s="209" t="s">
        <v>2096</v>
      </c>
      <c r="K28" s="209" t="s">
        <v>1954</v>
      </c>
      <c r="L28" s="209" t="s">
        <v>1956</v>
      </c>
      <c r="M28" s="209" t="s">
        <v>538</v>
      </c>
      <c r="N28" s="209" t="s">
        <v>551</v>
      </c>
      <c r="O28" s="209" t="s">
        <v>132</v>
      </c>
      <c r="P28" s="209" t="s">
        <v>132</v>
      </c>
      <c r="Q28" s="209" t="s">
        <v>4119</v>
      </c>
      <c r="R28" s="209" t="s">
        <v>4130</v>
      </c>
      <c r="S28" s="209" t="s">
        <v>4139</v>
      </c>
      <c r="T28" s="209" t="s">
        <v>4150</v>
      </c>
      <c r="U28" s="209" t="s">
        <v>4159</v>
      </c>
      <c r="V28" s="209" t="s">
        <v>4170</v>
      </c>
      <c r="W28" s="209" t="s">
        <v>4179</v>
      </c>
      <c r="X28" s="209" t="s">
        <v>4190</v>
      </c>
      <c r="Y28" s="209" t="s">
        <v>4199</v>
      </c>
      <c r="Z28" s="209" t="s">
        <v>4210</v>
      </c>
      <c r="AA28" s="209" t="s">
        <v>132</v>
      </c>
      <c r="AB28" s="209" t="s">
        <v>132</v>
      </c>
      <c r="AC28" s="209" t="s">
        <v>132</v>
      </c>
      <c r="AD28" s="209" t="s">
        <v>132</v>
      </c>
      <c r="AE28" s="209" t="s">
        <v>132</v>
      </c>
      <c r="AF28" s="209" t="s">
        <v>132</v>
      </c>
      <c r="AG28" s="209" t="s">
        <v>132</v>
      </c>
      <c r="AH28" s="209" t="s">
        <v>132</v>
      </c>
      <c r="AI28" s="209" t="s">
        <v>132</v>
      </c>
      <c r="AJ28" s="209" t="s">
        <v>132</v>
      </c>
      <c r="AK28" s="209" t="s">
        <v>132</v>
      </c>
      <c r="AL28" s="209" t="s">
        <v>132</v>
      </c>
      <c r="AM28" s="209" t="s">
        <v>132</v>
      </c>
      <c r="AN28" s="209" t="s">
        <v>132</v>
      </c>
      <c r="AO28" s="209" t="s">
        <v>132</v>
      </c>
      <c r="AP28" s="209" t="s">
        <v>132</v>
      </c>
      <c r="AQ28" s="209" t="s">
        <v>133</v>
      </c>
      <c r="AR28" s="209" t="s">
        <v>133</v>
      </c>
      <c r="AS28" s="209" t="s">
        <v>133</v>
      </c>
      <c r="AT28" s="209" t="s">
        <v>133</v>
      </c>
      <c r="AU28" s="209" t="s">
        <v>133</v>
      </c>
      <c r="AV28" s="209" t="s">
        <v>133</v>
      </c>
      <c r="AW28" s="209" t="s">
        <v>133</v>
      </c>
      <c r="AX28" s="209" t="s">
        <v>133</v>
      </c>
      <c r="AY28" s="209" t="s">
        <v>133</v>
      </c>
      <c r="AZ28" s="209" t="s">
        <v>133</v>
      </c>
      <c r="BA28" s="209" t="s">
        <v>133</v>
      </c>
      <c r="BB28" s="209" t="s">
        <v>133</v>
      </c>
      <c r="BC28" s="209" t="s">
        <v>133</v>
      </c>
      <c r="BD28" s="209" t="s">
        <v>133</v>
      </c>
      <c r="BE28" s="209" t="s">
        <v>133</v>
      </c>
      <c r="BF28" s="209" t="s">
        <v>133</v>
      </c>
      <c r="BG28" s="209" t="s">
        <v>133</v>
      </c>
      <c r="BH28" s="209" t="s">
        <v>133</v>
      </c>
    </row>
    <row r="29" spans="1:60" x14ac:dyDescent="0.55000000000000004">
      <c r="A29" s="209" t="s">
        <v>5848</v>
      </c>
      <c r="B29" s="209" t="s">
        <v>5844</v>
      </c>
      <c r="C29" s="209" t="s">
        <v>5845</v>
      </c>
      <c r="D29" s="209" t="s">
        <v>5846</v>
      </c>
      <c r="E29" s="209" t="s">
        <v>133</v>
      </c>
      <c r="F29" s="209" t="s">
        <v>133</v>
      </c>
      <c r="G29" s="209" t="s">
        <v>1057</v>
      </c>
      <c r="H29" s="209" t="s">
        <v>1063</v>
      </c>
      <c r="I29" s="209" t="s">
        <v>2094</v>
      </c>
      <c r="J29" s="209" t="s">
        <v>2096</v>
      </c>
      <c r="K29" s="209" t="s">
        <v>1958</v>
      </c>
      <c r="L29" s="209" t="s">
        <v>1960</v>
      </c>
      <c r="M29" s="209" t="s">
        <v>558</v>
      </c>
      <c r="N29" s="209" t="s">
        <v>571</v>
      </c>
      <c r="O29" s="209" t="s">
        <v>132</v>
      </c>
      <c r="P29" s="209" t="s">
        <v>132</v>
      </c>
      <c r="Q29" s="209" t="s">
        <v>4219</v>
      </c>
      <c r="R29" s="209" t="s">
        <v>4233</v>
      </c>
      <c r="S29" s="209" t="s">
        <v>4242</v>
      </c>
      <c r="T29" s="209" t="s">
        <v>4257</v>
      </c>
      <c r="U29" s="209" t="s">
        <v>4266</v>
      </c>
      <c r="V29" s="209" t="s">
        <v>4281</v>
      </c>
      <c r="W29" s="209" t="s">
        <v>4290</v>
      </c>
      <c r="X29" s="209" t="s">
        <v>4305</v>
      </c>
      <c r="Y29" s="209" t="s">
        <v>4314</v>
      </c>
      <c r="Z29" s="209" t="s">
        <v>4329</v>
      </c>
      <c r="AA29" s="209" t="s">
        <v>132</v>
      </c>
      <c r="AB29" s="209" t="s">
        <v>132</v>
      </c>
      <c r="AC29" s="209" t="s">
        <v>132</v>
      </c>
      <c r="AD29" s="209" t="s">
        <v>132</v>
      </c>
      <c r="AE29" s="209" t="s">
        <v>1571</v>
      </c>
      <c r="AF29" s="209" t="s">
        <v>1577</v>
      </c>
      <c r="AG29" s="209" t="s">
        <v>1582</v>
      </c>
      <c r="AH29" s="209" t="s">
        <v>1587</v>
      </c>
      <c r="AI29" s="209" t="s">
        <v>1592</v>
      </c>
      <c r="AJ29" s="209" t="s">
        <v>1597</v>
      </c>
      <c r="AK29" s="209" t="s">
        <v>1602</v>
      </c>
      <c r="AL29" s="209" t="s">
        <v>1607</v>
      </c>
      <c r="AM29" s="209" t="s">
        <v>132</v>
      </c>
      <c r="AN29" s="209" t="s">
        <v>132</v>
      </c>
      <c r="AO29" s="209" t="s">
        <v>5849</v>
      </c>
      <c r="AP29" s="209" t="s">
        <v>5850</v>
      </c>
      <c r="AQ29" s="209" t="s">
        <v>133</v>
      </c>
      <c r="AR29" s="209" t="s">
        <v>133</v>
      </c>
      <c r="AS29" s="209" t="s">
        <v>133</v>
      </c>
      <c r="AT29" s="209" t="s">
        <v>133</v>
      </c>
      <c r="AU29" s="209" t="s">
        <v>133</v>
      </c>
      <c r="AV29" s="209" t="s">
        <v>133</v>
      </c>
      <c r="AW29" s="209" t="s">
        <v>133</v>
      </c>
      <c r="AX29" s="209" t="s">
        <v>133</v>
      </c>
      <c r="AY29" s="209" t="s">
        <v>133</v>
      </c>
      <c r="AZ29" s="209" t="s">
        <v>133</v>
      </c>
      <c r="BA29" s="209" t="s">
        <v>133</v>
      </c>
      <c r="BB29" s="209" t="s">
        <v>133</v>
      </c>
      <c r="BC29" s="209" t="s">
        <v>133</v>
      </c>
      <c r="BD29" s="209" t="s">
        <v>133</v>
      </c>
      <c r="BE29" s="209" t="s">
        <v>133</v>
      </c>
      <c r="BF29" s="209" t="s">
        <v>133</v>
      </c>
      <c r="BG29" s="209" t="s">
        <v>133</v>
      </c>
      <c r="BH29" s="209" t="s">
        <v>133</v>
      </c>
    </row>
    <row r="30" spans="1:60" x14ac:dyDescent="0.55000000000000004">
      <c r="A30" s="209" t="s">
        <v>5851</v>
      </c>
      <c r="B30" s="209" t="s">
        <v>5844</v>
      </c>
      <c r="C30" s="209" t="s">
        <v>5845</v>
      </c>
      <c r="D30" s="209" t="s">
        <v>5846</v>
      </c>
      <c r="E30" s="209" t="s">
        <v>133</v>
      </c>
      <c r="F30" s="209" t="s">
        <v>133</v>
      </c>
      <c r="G30" s="209" t="s">
        <v>1067</v>
      </c>
      <c r="H30" s="209" t="s">
        <v>1073</v>
      </c>
      <c r="I30" s="209" t="s">
        <v>2098</v>
      </c>
      <c r="J30" s="209" t="s">
        <v>2100</v>
      </c>
      <c r="K30" s="209" t="s">
        <v>1962</v>
      </c>
      <c r="L30" s="209" t="s">
        <v>1964</v>
      </c>
      <c r="M30" s="209" t="s">
        <v>578</v>
      </c>
      <c r="N30" s="209" t="s">
        <v>587</v>
      </c>
      <c r="O30" s="209" t="s">
        <v>132</v>
      </c>
      <c r="P30" s="209" t="s">
        <v>132</v>
      </c>
      <c r="Q30" s="209" t="s">
        <v>4059</v>
      </c>
      <c r="R30" s="209" t="s">
        <v>4069</v>
      </c>
      <c r="S30" s="209" t="s">
        <v>4075</v>
      </c>
      <c r="T30" s="209" t="s">
        <v>4085</v>
      </c>
      <c r="U30" s="209" t="s">
        <v>4091</v>
      </c>
      <c r="V30" s="209" t="s">
        <v>4099</v>
      </c>
      <c r="W30" s="209" t="s">
        <v>4103</v>
      </c>
      <c r="X30" s="209" t="s">
        <v>4113</v>
      </c>
      <c r="Y30" s="209" t="s">
        <v>132</v>
      </c>
      <c r="Z30" s="209" t="s">
        <v>132</v>
      </c>
      <c r="AA30" s="209" t="s">
        <v>132</v>
      </c>
      <c r="AB30" s="209" t="s">
        <v>132</v>
      </c>
      <c r="AC30" s="209" t="s">
        <v>132</v>
      </c>
      <c r="AD30" s="209" t="s">
        <v>132</v>
      </c>
      <c r="AE30" s="209" t="s">
        <v>132</v>
      </c>
      <c r="AF30" s="209" t="s">
        <v>132</v>
      </c>
      <c r="AG30" s="209" t="s">
        <v>132</v>
      </c>
      <c r="AH30" s="209" t="s">
        <v>132</v>
      </c>
      <c r="AI30" s="209" t="s">
        <v>132</v>
      </c>
      <c r="AJ30" s="209" t="s">
        <v>132</v>
      </c>
      <c r="AK30" s="209" t="s">
        <v>132</v>
      </c>
      <c r="AL30" s="209" t="s">
        <v>132</v>
      </c>
      <c r="AM30" s="209" t="s">
        <v>132</v>
      </c>
      <c r="AN30" s="209" t="s">
        <v>132</v>
      </c>
      <c r="AO30" s="209" t="s">
        <v>132</v>
      </c>
      <c r="AP30" s="209" t="s">
        <v>132</v>
      </c>
      <c r="AQ30" s="209" t="s">
        <v>133</v>
      </c>
      <c r="AR30" s="209" t="s">
        <v>133</v>
      </c>
      <c r="AS30" s="209" t="s">
        <v>133</v>
      </c>
      <c r="AT30" s="209" t="s">
        <v>133</v>
      </c>
      <c r="AU30" s="209" t="s">
        <v>133</v>
      </c>
      <c r="AV30" s="209" t="s">
        <v>133</v>
      </c>
      <c r="AW30" s="209" t="s">
        <v>133</v>
      </c>
      <c r="AX30" s="209" t="s">
        <v>133</v>
      </c>
      <c r="AY30" s="209" t="s">
        <v>133</v>
      </c>
      <c r="AZ30" s="209" t="s">
        <v>133</v>
      </c>
      <c r="BA30" s="209" t="s">
        <v>133</v>
      </c>
      <c r="BB30" s="209" t="s">
        <v>133</v>
      </c>
      <c r="BC30" s="209" t="s">
        <v>133</v>
      </c>
      <c r="BD30" s="209" t="s">
        <v>133</v>
      </c>
      <c r="BE30" s="209" t="s">
        <v>133</v>
      </c>
      <c r="BF30" s="209" t="s">
        <v>133</v>
      </c>
      <c r="BG30" s="209" t="s">
        <v>133</v>
      </c>
      <c r="BH30" s="209" t="s">
        <v>133</v>
      </c>
    </row>
    <row r="31" spans="1:60" x14ac:dyDescent="0.55000000000000004">
      <c r="A31" s="209" t="s">
        <v>5852</v>
      </c>
      <c r="B31" s="209" t="s">
        <v>5844</v>
      </c>
      <c r="C31" s="209" t="s">
        <v>5845</v>
      </c>
      <c r="D31" s="209" t="s">
        <v>5853</v>
      </c>
      <c r="E31" s="209" t="s">
        <v>5854</v>
      </c>
      <c r="F31" s="209" t="s">
        <v>5855</v>
      </c>
      <c r="G31" s="209" t="s">
        <v>1077</v>
      </c>
      <c r="H31" s="209" t="s">
        <v>1083</v>
      </c>
      <c r="I31" s="209" t="s">
        <v>2102</v>
      </c>
      <c r="J31" s="209" t="s">
        <v>2104</v>
      </c>
      <c r="K31" s="209" t="s">
        <v>1966</v>
      </c>
      <c r="L31" s="209" t="s">
        <v>1968</v>
      </c>
      <c r="M31" s="209" t="s">
        <v>590</v>
      </c>
      <c r="N31" s="209" t="s">
        <v>603</v>
      </c>
      <c r="O31" s="209" t="s">
        <v>1234</v>
      </c>
      <c r="P31" s="209" t="s">
        <v>1239</v>
      </c>
      <c r="Q31" s="209" t="s">
        <v>4338</v>
      </c>
      <c r="R31" s="209" t="s">
        <v>4352</v>
      </c>
      <c r="S31" s="209" t="s">
        <v>4361</v>
      </c>
      <c r="T31" s="209" t="s">
        <v>4374</v>
      </c>
      <c r="U31" s="209" t="s">
        <v>4383</v>
      </c>
      <c r="V31" s="209" t="s">
        <v>4396</v>
      </c>
      <c r="W31" s="209" t="s">
        <v>4405</v>
      </c>
      <c r="X31" s="209" t="s">
        <v>4418</v>
      </c>
      <c r="Y31" s="209" t="s">
        <v>4427</v>
      </c>
      <c r="Z31" s="209" t="s">
        <v>4440</v>
      </c>
      <c r="AA31" s="209" t="s">
        <v>132</v>
      </c>
      <c r="AB31" s="209" t="s">
        <v>132</v>
      </c>
      <c r="AC31" s="209" t="s">
        <v>1612</v>
      </c>
      <c r="AD31" s="209" t="s">
        <v>1618</v>
      </c>
      <c r="AE31" s="209" t="s">
        <v>1623</v>
      </c>
      <c r="AF31" s="209" t="s">
        <v>1628</v>
      </c>
      <c r="AG31" s="209" t="s">
        <v>1633</v>
      </c>
      <c r="AH31" s="209" t="s">
        <v>1638</v>
      </c>
      <c r="AI31" s="209" t="s">
        <v>1643</v>
      </c>
      <c r="AJ31" s="209" t="s">
        <v>1649</v>
      </c>
      <c r="AK31" s="209" t="s">
        <v>1654</v>
      </c>
      <c r="AL31" s="209" t="s">
        <v>1659</v>
      </c>
      <c r="AM31" s="209" t="s">
        <v>132</v>
      </c>
      <c r="AN31" s="209" t="s">
        <v>132</v>
      </c>
      <c r="AO31" s="209" t="s">
        <v>5856</v>
      </c>
      <c r="AP31" s="209" t="s">
        <v>5857</v>
      </c>
      <c r="AQ31" s="209" t="s">
        <v>1057</v>
      </c>
      <c r="AR31" s="209" t="s">
        <v>1063</v>
      </c>
      <c r="AS31" s="209" t="s">
        <v>132</v>
      </c>
      <c r="AT31" s="209" t="s">
        <v>132</v>
      </c>
      <c r="AU31" s="209" t="s">
        <v>4119</v>
      </c>
      <c r="AV31" s="209" t="s">
        <v>4130</v>
      </c>
      <c r="AW31" s="209" t="s">
        <v>4242</v>
      </c>
      <c r="AX31" s="209" t="s">
        <v>4257</v>
      </c>
      <c r="AY31" s="209" t="s">
        <v>132</v>
      </c>
      <c r="AZ31" s="209" t="s">
        <v>132</v>
      </c>
      <c r="BA31" s="209" t="s">
        <v>3999</v>
      </c>
      <c r="BB31" s="209" t="s">
        <v>4009</v>
      </c>
      <c r="BC31" s="209" t="s">
        <v>2576</v>
      </c>
      <c r="BD31" s="209" t="s">
        <v>2587</v>
      </c>
      <c r="BE31" s="209" t="s">
        <v>4031</v>
      </c>
      <c r="BF31" s="209" t="s">
        <v>4039</v>
      </c>
      <c r="BG31" s="209" t="s">
        <v>2609</v>
      </c>
      <c r="BH31" s="209" t="s">
        <v>2618</v>
      </c>
    </row>
    <row r="32" spans="1:60" x14ac:dyDescent="0.55000000000000004">
      <c r="A32" s="209" t="s">
        <v>6395</v>
      </c>
      <c r="B32" s="209" t="s">
        <v>5863</v>
      </c>
      <c r="C32" s="209" t="s">
        <v>5075</v>
      </c>
      <c r="D32" s="209" t="s">
        <v>6396</v>
      </c>
      <c r="E32" s="209" t="s">
        <v>6397</v>
      </c>
      <c r="F32" s="209" t="s">
        <v>6398</v>
      </c>
      <c r="G32" s="209" t="s">
        <v>6096</v>
      </c>
      <c r="H32" s="209" t="s">
        <v>6105</v>
      </c>
      <c r="I32" s="209" t="s">
        <v>6109</v>
      </c>
      <c r="J32" s="209" t="s">
        <v>6111</v>
      </c>
      <c r="K32" s="209" t="s">
        <v>6399</v>
      </c>
      <c r="L32" s="209" t="s">
        <v>6400</v>
      </c>
      <c r="M32" s="209" t="s">
        <v>6055</v>
      </c>
      <c r="N32" s="209" t="s">
        <v>6068</v>
      </c>
      <c r="O32" s="209" t="s">
        <v>6113</v>
      </c>
      <c r="P32" s="209" t="s">
        <v>6118</v>
      </c>
      <c r="Q32" s="209" t="s">
        <v>6206</v>
      </c>
      <c r="R32" s="209" t="s">
        <v>6223</v>
      </c>
      <c r="S32" s="209" t="s">
        <v>6232</v>
      </c>
      <c r="T32" s="209" t="s">
        <v>6249</v>
      </c>
      <c r="U32" s="209" t="s">
        <v>6258</v>
      </c>
      <c r="V32" s="209" t="s">
        <v>6275</v>
      </c>
      <c r="W32" s="209" t="s">
        <v>6284</v>
      </c>
      <c r="X32" s="209" t="s">
        <v>6301</v>
      </c>
      <c r="Y32" s="209" t="s">
        <v>6310</v>
      </c>
      <c r="Z32" s="209" t="s">
        <v>6327</v>
      </c>
      <c r="AA32" s="209" t="s">
        <v>6336</v>
      </c>
      <c r="AB32" s="209" t="s">
        <v>6353</v>
      </c>
      <c r="AC32" s="209" t="s">
        <v>6133</v>
      </c>
      <c r="AD32" s="209" t="s">
        <v>6139</v>
      </c>
      <c r="AE32" s="209" t="s">
        <v>6144</v>
      </c>
      <c r="AF32" s="209" t="s">
        <v>6149</v>
      </c>
      <c r="AG32" s="209" t="s">
        <v>6154</v>
      </c>
      <c r="AH32" s="209" t="s">
        <v>6159</v>
      </c>
      <c r="AI32" s="209" t="s">
        <v>6164</v>
      </c>
      <c r="AJ32" s="209" t="s">
        <v>6170</v>
      </c>
      <c r="AK32" s="209" t="s">
        <v>6175</v>
      </c>
      <c r="AL32" s="209" t="s">
        <v>6180</v>
      </c>
      <c r="AM32" s="209" t="s">
        <v>6185</v>
      </c>
      <c r="AN32" s="209" t="s">
        <v>6190</v>
      </c>
      <c r="AO32" s="209" t="s">
        <v>6388</v>
      </c>
      <c r="AP32" s="209" t="s">
        <v>6390</v>
      </c>
      <c r="AQ32" s="209" t="s">
        <v>1094</v>
      </c>
      <c r="AR32" s="209" t="s">
        <v>1100</v>
      </c>
      <c r="AS32" s="209" t="s">
        <v>6075</v>
      </c>
      <c r="AT32" s="209" t="s">
        <v>6088</v>
      </c>
      <c r="AU32" s="209" t="s">
        <v>4697</v>
      </c>
      <c r="AV32" s="209" t="s">
        <v>4712</v>
      </c>
      <c r="AW32" s="209" t="s">
        <v>4793</v>
      </c>
      <c r="AX32" s="209" t="s">
        <v>4808</v>
      </c>
      <c r="AY32" s="209" t="s">
        <v>5057</v>
      </c>
      <c r="AZ32" s="209" t="s">
        <v>5077</v>
      </c>
      <c r="BA32" s="209" t="s">
        <v>4549</v>
      </c>
      <c r="BB32" s="209" t="s">
        <v>4565</v>
      </c>
      <c r="BC32" s="209" t="s">
        <v>5483</v>
      </c>
      <c r="BD32" s="209" t="s">
        <v>5493</v>
      </c>
      <c r="BE32" s="209" t="s">
        <v>4602</v>
      </c>
      <c r="BF32" s="209" t="s">
        <v>4616</v>
      </c>
      <c r="BG32" s="209" t="s">
        <v>5515</v>
      </c>
      <c r="BH32" s="209" t="s">
        <v>5523</v>
      </c>
    </row>
    <row r="33" spans="1:60" x14ac:dyDescent="0.55000000000000004">
      <c r="A33" s="209" t="s">
        <v>6401</v>
      </c>
      <c r="B33" s="209" t="s">
        <v>5863</v>
      </c>
      <c r="C33" s="209" t="s">
        <v>5075</v>
      </c>
      <c r="D33" s="209" t="s">
        <v>6396</v>
      </c>
      <c r="E33" s="209" t="s">
        <v>6397</v>
      </c>
      <c r="F33" s="209" t="s">
        <v>6398</v>
      </c>
      <c r="G33" s="209" t="s">
        <v>6096</v>
      </c>
      <c r="H33" s="209" t="s">
        <v>6105</v>
      </c>
      <c r="I33" s="209" t="s">
        <v>6109</v>
      </c>
      <c r="J33" s="209" t="s">
        <v>6111</v>
      </c>
      <c r="K33" s="209" t="s">
        <v>6402</v>
      </c>
      <c r="L33" s="209" t="s">
        <v>6403</v>
      </c>
      <c r="M33" s="209" t="s">
        <v>6075</v>
      </c>
      <c r="N33" s="209" t="s">
        <v>6088</v>
      </c>
      <c r="O33" s="209" t="s">
        <v>6123</v>
      </c>
      <c r="P33" s="209" t="s">
        <v>6128</v>
      </c>
      <c r="Q33" s="209" t="s">
        <v>6362</v>
      </c>
      <c r="R33" s="209" t="s">
        <v>6379</v>
      </c>
      <c r="S33" s="209" t="s">
        <v>132</v>
      </c>
      <c r="T33" s="209" t="s">
        <v>132</v>
      </c>
      <c r="U33" s="209" t="s">
        <v>132</v>
      </c>
      <c r="V33" s="209" t="s">
        <v>132</v>
      </c>
      <c r="W33" s="209" t="s">
        <v>132</v>
      </c>
      <c r="X33" s="209" t="s">
        <v>132</v>
      </c>
      <c r="Y33" s="209" t="s">
        <v>132</v>
      </c>
      <c r="Z33" s="209" t="s">
        <v>132</v>
      </c>
      <c r="AA33" s="209" t="s">
        <v>132</v>
      </c>
      <c r="AB33" s="209" t="s">
        <v>132</v>
      </c>
      <c r="AC33" s="209" t="s">
        <v>6195</v>
      </c>
      <c r="AD33" s="209" t="s">
        <v>6201</v>
      </c>
      <c r="AE33" s="209" t="s">
        <v>132</v>
      </c>
      <c r="AF33" s="209" t="s">
        <v>132</v>
      </c>
      <c r="AG33" s="209" t="s">
        <v>132</v>
      </c>
      <c r="AH33" s="209" t="s">
        <v>132</v>
      </c>
      <c r="AI33" s="209" t="s">
        <v>132</v>
      </c>
      <c r="AJ33" s="209" t="s">
        <v>132</v>
      </c>
      <c r="AK33" s="209" t="s">
        <v>132</v>
      </c>
      <c r="AL33" s="209" t="s">
        <v>132</v>
      </c>
      <c r="AM33" s="209" t="s">
        <v>132</v>
      </c>
      <c r="AN33" s="209" t="s">
        <v>132</v>
      </c>
      <c r="AO33" s="209" t="s">
        <v>6392</v>
      </c>
      <c r="AP33" s="209" t="s">
        <v>132</v>
      </c>
      <c r="AQ33" s="209" t="s">
        <v>1094</v>
      </c>
      <c r="AR33" s="209" t="s">
        <v>1100</v>
      </c>
      <c r="AS33" s="209" t="s">
        <v>6055</v>
      </c>
      <c r="AT33" s="209" t="s">
        <v>6068</v>
      </c>
      <c r="AU33" s="209" t="s">
        <v>4697</v>
      </c>
      <c r="AV33" s="209" t="s">
        <v>4712</v>
      </c>
      <c r="AW33" s="209" t="s">
        <v>4793</v>
      </c>
      <c r="AX33" s="209" t="s">
        <v>4808</v>
      </c>
      <c r="AY33" s="209" t="s">
        <v>5057</v>
      </c>
      <c r="AZ33" s="209" t="s">
        <v>5077</v>
      </c>
      <c r="BA33" s="209" t="s">
        <v>4549</v>
      </c>
      <c r="BB33" s="209" t="s">
        <v>4565</v>
      </c>
      <c r="BC33" s="209" t="s">
        <v>5483</v>
      </c>
      <c r="BD33" s="209" t="s">
        <v>5493</v>
      </c>
      <c r="BE33" s="209" t="s">
        <v>4602</v>
      </c>
      <c r="BF33" s="209" t="s">
        <v>4616</v>
      </c>
      <c r="BG33" s="209" t="s">
        <v>5515</v>
      </c>
      <c r="BH33" s="209" t="s">
        <v>5523</v>
      </c>
    </row>
    <row r="34" spans="1:60" x14ac:dyDescent="0.55000000000000004">
      <c r="A34" s="209" t="s">
        <v>5862</v>
      </c>
      <c r="B34" s="209" t="s">
        <v>5863</v>
      </c>
      <c r="C34" s="209" t="s">
        <v>5103</v>
      </c>
      <c r="D34" s="209" t="s">
        <v>5864</v>
      </c>
      <c r="E34" s="209" t="s">
        <v>133</v>
      </c>
      <c r="F34" s="209" t="s">
        <v>133</v>
      </c>
      <c r="G34" s="209" t="s">
        <v>1094</v>
      </c>
      <c r="H34" s="209" t="s">
        <v>1100</v>
      </c>
      <c r="I34" s="209" t="s">
        <v>2108</v>
      </c>
      <c r="J34" s="209" t="s">
        <v>2110</v>
      </c>
      <c r="K34" s="209" t="s">
        <v>1972</v>
      </c>
      <c r="L34" s="209" t="s">
        <v>1974</v>
      </c>
      <c r="M34" s="209" t="s">
        <v>628</v>
      </c>
      <c r="N34" s="209" t="s">
        <v>641</v>
      </c>
      <c r="O34" s="209" t="s">
        <v>132</v>
      </c>
      <c r="P34" s="209" t="s">
        <v>132</v>
      </c>
      <c r="Q34" s="209" t="s">
        <v>4549</v>
      </c>
      <c r="R34" s="209" t="s">
        <v>4565</v>
      </c>
      <c r="S34" s="209" t="s">
        <v>4576</v>
      </c>
      <c r="T34" s="209" t="s">
        <v>4591</v>
      </c>
      <c r="U34" s="209" t="s">
        <v>4602</v>
      </c>
      <c r="V34" s="209" t="s">
        <v>4616</v>
      </c>
      <c r="W34" s="209" t="s">
        <v>132</v>
      </c>
      <c r="X34" s="209" t="s">
        <v>132</v>
      </c>
      <c r="Y34" s="209" t="s">
        <v>132</v>
      </c>
      <c r="Z34" s="209" t="s">
        <v>132</v>
      </c>
      <c r="AA34" s="209" t="s">
        <v>132</v>
      </c>
      <c r="AB34" s="209" t="s">
        <v>132</v>
      </c>
      <c r="AC34" s="209" t="s">
        <v>132</v>
      </c>
      <c r="AD34" s="209" t="s">
        <v>132</v>
      </c>
      <c r="AE34" s="209" t="s">
        <v>132</v>
      </c>
      <c r="AF34" s="209" t="s">
        <v>132</v>
      </c>
      <c r="AG34" s="209" t="s">
        <v>132</v>
      </c>
      <c r="AH34" s="209" t="s">
        <v>132</v>
      </c>
      <c r="AI34" s="209" t="s">
        <v>132</v>
      </c>
      <c r="AJ34" s="209" t="s">
        <v>132</v>
      </c>
      <c r="AK34" s="209" t="s">
        <v>132</v>
      </c>
      <c r="AL34" s="209" t="s">
        <v>132</v>
      </c>
      <c r="AM34" s="209" t="s">
        <v>132</v>
      </c>
      <c r="AN34" s="209" t="s">
        <v>132</v>
      </c>
      <c r="AO34" s="209" t="s">
        <v>132</v>
      </c>
      <c r="AP34" s="209" t="s">
        <v>132</v>
      </c>
      <c r="AQ34" s="209" t="s">
        <v>133</v>
      </c>
      <c r="AR34" s="209" t="s">
        <v>133</v>
      </c>
      <c r="AS34" s="209" t="s">
        <v>133</v>
      </c>
      <c r="AT34" s="209" t="s">
        <v>133</v>
      </c>
      <c r="AU34" s="209" t="s">
        <v>133</v>
      </c>
      <c r="AV34" s="209" t="s">
        <v>133</v>
      </c>
      <c r="AW34" s="209" t="s">
        <v>133</v>
      </c>
      <c r="AX34" s="209" t="s">
        <v>133</v>
      </c>
      <c r="AY34" s="209" t="s">
        <v>133</v>
      </c>
      <c r="AZ34" s="209" t="s">
        <v>133</v>
      </c>
      <c r="BA34" s="209" t="s">
        <v>133</v>
      </c>
      <c r="BB34" s="209" t="s">
        <v>133</v>
      </c>
      <c r="BC34" s="209" t="s">
        <v>133</v>
      </c>
      <c r="BD34" s="209" t="s">
        <v>133</v>
      </c>
      <c r="BE34" s="209" t="s">
        <v>133</v>
      </c>
      <c r="BF34" s="209" t="s">
        <v>133</v>
      </c>
      <c r="BG34" s="209" t="s">
        <v>133</v>
      </c>
      <c r="BH34" s="209" t="s">
        <v>133</v>
      </c>
    </row>
    <row r="35" spans="1:60" x14ac:dyDescent="0.55000000000000004">
      <c r="A35" s="209" t="s">
        <v>5865</v>
      </c>
      <c r="B35" s="209" t="s">
        <v>5863</v>
      </c>
      <c r="C35" s="209" t="s">
        <v>5103</v>
      </c>
      <c r="D35" s="209" t="s">
        <v>5864</v>
      </c>
      <c r="E35" s="209" t="s">
        <v>133</v>
      </c>
      <c r="F35" s="209" t="s">
        <v>133</v>
      </c>
      <c r="G35" s="209" t="s">
        <v>1094</v>
      </c>
      <c r="H35" s="209" t="s">
        <v>1100</v>
      </c>
      <c r="I35" s="209" t="s">
        <v>2108</v>
      </c>
      <c r="J35" s="209" t="s">
        <v>2110</v>
      </c>
      <c r="K35" s="209" t="s">
        <v>1976</v>
      </c>
      <c r="L35" s="209" t="s">
        <v>1978</v>
      </c>
      <c r="M35" s="209" t="s">
        <v>648</v>
      </c>
      <c r="N35" s="209" t="s">
        <v>661</v>
      </c>
      <c r="O35" s="209" t="s">
        <v>132</v>
      </c>
      <c r="P35" s="209" t="s">
        <v>132</v>
      </c>
      <c r="Q35" s="209" t="s">
        <v>4697</v>
      </c>
      <c r="R35" s="209" t="s">
        <v>4712</v>
      </c>
      <c r="S35" s="209" t="s">
        <v>4721</v>
      </c>
      <c r="T35" s="209" t="s">
        <v>4736</v>
      </c>
      <c r="U35" s="209" t="s">
        <v>4745</v>
      </c>
      <c r="V35" s="209" t="s">
        <v>4760</v>
      </c>
      <c r="W35" s="209" t="s">
        <v>4769</v>
      </c>
      <c r="X35" s="209" t="s">
        <v>4784</v>
      </c>
      <c r="Y35" s="209" t="s">
        <v>132</v>
      </c>
      <c r="Z35" s="209" t="s">
        <v>132</v>
      </c>
      <c r="AA35" s="209" t="s">
        <v>132</v>
      </c>
      <c r="AB35" s="209" t="s">
        <v>132</v>
      </c>
      <c r="AC35" s="209" t="s">
        <v>132</v>
      </c>
      <c r="AD35" s="209" t="s">
        <v>132</v>
      </c>
      <c r="AE35" s="209" t="s">
        <v>132</v>
      </c>
      <c r="AF35" s="209" t="s">
        <v>132</v>
      </c>
      <c r="AG35" s="209" t="s">
        <v>132</v>
      </c>
      <c r="AH35" s="209" t="s">
        <v>132</v>
      </c>
      <c r="AI35" s="209" t="s">
        <v>132</v>
      </c>
      <c r="AJ35" s="209" t="s">
        <v>132</v>
      </c>
      <c r="AK35" s="209" t="s">
        <v>132</v>
      </c>
      <c r="AL35" s="209" t="s">
        <v>132</v>
      </c>
      <c r="AM35" s="209" t="s">
        <v>132</v>
      </c>
      <c r="AN35" s="209" t="s">
        <v>132</v>
      </c>
      <c r="AO35" s="209" t="s">
        <v>132</v>
      </c>
      <c r="AP35" s="209" t="s">
        <v>132</v>
      </c>
      <c r="AQ35" s="209" t="s">
        <v>133</v>
      </c>
      <c r="AR35" s="209" t="s">
        <v>133</v>
      </c>
      <c r="AS35" s="209" t="s">
        <v>133</v>
      </c>
      <c r="AT35" s="209" t="s">
        <v>133</v>
      </c>
      <c r="AU35" s="209" t="s">
        <v>133</v>
      </c>
      <c r="AV35" s="209" t="s">
        <v>133</v>
      </c>
      <c r="AW35" s="209" t="s">
        <v>133</v>
      </c>
      <c r="AX35" s="209" t="s">
        <v>133</v>
      </c>
      <c r="AY35" s="209" t="s">
        <v>133</v>
      </c>
      <c r="AZ35" s="209" t="s">
        <v>133</v>
      </c>
      <c r="BA35" s="209" t="s">
        <v>133</v>
      </c>
      <c r="BB35" s="209" t="s">
        <v>133</v>
      </c>
      <c r="BC35" s="209" t="s">
        <v>133</v>
      </c>
      <c r="BD35" s="209" t="s">
        <v>133</v>
      </c>
      <c r="BE35" s="209" t="s">
        <v>133</v>
      </c>
      <c r="BF35" s="209" t="s">
        <v>133</v>
      </c>
      <c r="BG35" s="209" t="s">
        <v>133</v>
      </c>
      <c r="BH35" s="209" t="s">
        <v>133</v>
      </c>
    </row>
    <row r="36" spans="1:60" x14ac:dyDescent="0.55000000000000004">
      <c r="A36" s="209" t="s">
        <v>5866</v>
      </c>
      <c r="B36" s="209" t="s">
        <v>5863</v>
      </c>
      <c r="C36" s="209" t="s">
        <v>5103</v>
      </c>
      <c r="D36" s="209" t="s">
        <v>5864</v>
      </c>
      <c r="E36" s="209" t="s">
        <v>133</v>
      </c>
      <c r="F36" s="209" t="s">
        <v>133</v>
      </c>
      <c r="G36" s="209" t="s">
        <v>1094</v>
      </c>
      <c r="H36" s="209" t="s">
        <v>1100</v>
      </c>
      <c r="I36" s="209" t="s">
        <v>2108</v>
      </c>
      <c r="J36" s="209" t="s">
        <v>2110</v>
      </c>
      <c r="K36" s="209" t="s">
        <v>1980</v>
      </c>
      <c r="L36" s="209" t="s">
        <v>1982</v>
      </c>
      <c r="M36" s="209" t="s">
        <v>668</v>
      </c>
      <c r="N36" s="209" t="s">
        <v>681</v>
      </c>
      <c r="O36" s="209" t="s">
        <v>132</v>
      </c>
      <c r="P36" s="209" t="s">
        <v>132</v>
      </c>
      <c r="Q36" s="209" t="s">
        <v>4793</v>
      </c>
      <c r="R36" s="209" t="s">
        <v>4808</v>
      </c>
      <c r="S36" s="209" t="s">
        <v>4817</v>
      </c>
      <c r="T36" s="209" t="s">
        <v>4832</v>
      </c>
      <c r="U36" s="209" t="s">
        <v>4841</v>
      </c>
      <c r="V36" s="209" t="s">
        <v>4856</v>
      </c>
      <c r="W36" s="209" t="s">
        <v>132</v>
      </c>
      <c r="X36" s="209" t="s">
        <v>132</v>
      </c>
      <c r="Y36" s="209" t="s">
        <v>132</v>
      </c>
      <c r="Z36" s="209" t="s">
        <v>132</v>
      </c>
      <c r="AA36" s="209" t="s">
        <v>132</v>
      </c>
      <c r="AB36" s="209" t="s">
        <v>132</v>
      </c>
      <c r="AC36" s="209" t="s">
        <v>132</v>
      </c>
      <c r="AD36" s="209" t="s">
        <v>132</v>
      </c>
      <c r="AE36" s="209" t="s">
        <v>132</v>
      </c>
      <c r="AF36" s="209" t="s">
        <v>132</v>
      </c>
      <c r="AG36" s="209" t="s">
        <v>132</v>
      </c>
      <c r="AH36" s="209" t="s">
        <v>132</v>
      </c>
      <c r="AI36" s="209" t="s">
        <v>132</v>
      </c>
      <c r="AJ36" s="209" t="s">
        <v>132</v>
      </c>
      <c r="AK36" s="209" t="s">
        <v>132</v>
      </c>
      <c r="AL36" s="209" t="s">
        <v>132</v>
      </c>
      <c r="AM36" s="209" t="s">
        <v>132</v>
      </c>
      <c r="AN36" s="209" t="s">
        <v>132</v>
      </c>
      <c r="AO36" s="209" t="s">
        <v>132</v>
      </c>
      <c r="AP36" s="209" t="s">
        <v>132</v>
      </c>
      <c r="AQ36" s="209" t="s">
        <v>133</v>
      </c>
      <c r="AR36" s="209" t="s">
        <v>133</v>
      </c>
      <c r="AS36" s="209" t="s">
        <v>133</v>
      </c>
      <c r="AT36" s="209" t="s">
        <v>133</v>
      </c>
      <c r="AU36" s="209" t="s">
        <v>133</v>
      </c>
      <c r="AV36" s="209" t="s">
        <v>133</v>
      </c>
      <c r="AW36" s="209" t="s">
        <v>133</v>
      </c>
      <c r="AX36" s="209" t="s">
        <v>133</v>
      </c>
      <c r="AY36" s="209" t="s">
        <v>133</v>
      </c>
      <c r="AZ36" s="209" t="s">
        <v>133</v>
      </c>
      <c r="BA36" s="209" t="s">
        <v>133</v>
      </c>
      <c r="BB36" s="209" t="s">
        <v>133</v>
      </c>
      <c r="BC36" s="209" t="s">
        <v>133</v>
      </c>
      <c r="BD36" s="209" t="s">
        <v>133</v>
      </c>
      <c r="BE36" s="209" t="s">
        <v>133</v>
      </c>
      <c r="BF36" s="209" t="s">
        <v>133</v>
      </c>
      <c r="BG36" s="209" t="s">
        <v>133</v>
      </c>
      <c r="BH36" s="209" t="s">
        <v>133</v>
      </c>
    </row>
    <row r="37" spans="1:60" x14ac:dyDescent="0.55000000000000004">
      <c r="A37" s="209" t="s">
        <v>5867</v>
      </c>
      <c r="B37" s="209" t="s">
        <v>5863</v>
      </c>
      <c r="C37" s="209" t="s">
        <v>5103</v>
      </c>
      <c r="D37" s="209" t="s">
        <v>5864</v>
      </c>
      <c r="E37" s="209" t="s">
        <v>133</v>
      </c>
      <c r="F37" s="209" t="s">
        <v>133</v>
      </c>
      <c r="G37" s="209" t="s">
        <v>1104</v>
      </c>
      <c r="H37" s="209" t="s">
        <v>1110</v>
      </c>
      <c r="I37" s="209" t="s">
        <v>2112</v>
      </c>
      <c r="J37" s="209" t="s">
        <v>2114</v>
      </c>
      <c r="K37" s="209" t="s">
        <v>1984</v>
      </c>
      <c r="L37" s="209" t="s">
        <v>1986</v>
      </c>
      <c r="M37" s="209" t="s">
        <v>688</v>
      </c>
      <c r="N37" s="209" t="s">
        <v>697</v>
      </c>
      <c r="O37" s="209" t="s">
        <v>132</v>
      </c>
      <c r="P37" s="209" t="s">
        <v>132</v>
      </c>
      <c r="Q37" s="209" t="s">
        <v>4625</v>
      </c>
      <c r="R37" s="209" t="s">
        <v>4636</v>
      </c>
      <c r="S37" s="209" t="s">
        <v>4642</v>
      </c>
      <c r="T37" s="209" t="s">
        <v>4652</v>
      </c>
      <c r="U37" s="209" t="s">
        <v>4658</v>
      </c>
      <c r="V37" s="209" t="s">
        <v>4667</v>
      </c>
      <c r="W37" s="209" t="s">
        <v>4671</v>
      </c>
      <c r="X37" s="209" t="s">
        <v>4686</v>
      </c>
      <c r="Y37" s="209" t="s">
        <v>132</v>
      </c>
      <c r="Z37" s="209" t="s">
        <v>132</v>
      </c>
      <c r="AA37" s="209" t="s">
        <v>132</v>
      </c>
      <c r="AB37" s="209" t="s">
        <v>132</v>
      </c>
      <c r="AC37" s="209" t="s">
        <v>132</v>
      </c>
      <c r="AD37" s="209" t="s">
        <v>132</v>
      </c>
      <c r="AE37" s="209" t="s">
        <v>132</v>
      </c>
      <c r="AF37" s="209" t="s">
        <v>132</v>
      </c>
      <c r="AG37" s="209" t="s">
        <v>132</v>
      </c>
      <c r="AH37" s="209" t="s">
        <v>132</v>
      </c>
      <c r="AI37" s="209" t="s">
        <v>132</v>
      </c>
      <c r="AJ37" s="209" t="s">
        <v>132</v>
      </c>
      <c r="AK37" s="209" t="s">
        <v>132</v>
      </c>
      <c r="AL37" s="209" t="s">
        <v>132</v>
      </c>
      <c r="AM37" s="209" t="s">
        <v>132</v>
      </c>
      <c r="AN37" s="209" t="s">
        <v>132</v>
      </c>
      <c r="AO37" s="209" t="s">
        <v>132</v>
      </c>
      <c r="AP37" s="209" t="s">
        <v>132</v>
      </c>
      <c r="AQ37" s="209" t="s">
        <v>133</v>
      </c>
      <c r="AR37" s="209" t="s">
        <v>133</v>
      </c>
      <c r="AS37" s="209" t="s">
        <v>133</v>
      </c>
      <c r="AT37" s="209" t="s">
        <v>133</v>
      </c>
      <c r="AU37" s="209" t="s">
        <v>133</v>
      </c>
      <c r="AV37" s="209" t="s">
        <v>133</v>
      </c>
      <c r="AW37" s="209" t="s">
        <v>133</v>
      </c>
      <c r="AX37" s="209" t="s">
        <v>133</v>
      </c>
      <c r="AY37" s="209" t="s">
        <v>133</v>
      </c>
      <c r="AZ37" s="209" t="s">
        <v>133</v>
      </c>
      <c r="BA37" s="209" t="s">
        <v>133</v>
      </c>
      <c r="BB37" s="209" t="s">
        <v>133</v>
      </c>
      <c r="BC37" s="209" t="s">
        <v>133</v>
      </c>
      <c r="BD37" s="209" t="s">
        <v>133</v>
      </c>
      <c r="BE37" s="209" t="s">
        <v>133</v>
      </c>
      <c r="BF37" s="209" t="s">
        <v>133</v>
      </c>
      <c r="BG37" s="209" t="s">
        <v>133</v>
      </c>
      <c r="BH37" s="209" t="s">
        <v>133</v>
      </c>
    </row>
    <row r="38" spans="1:60" x14ac:dyDescent="0.55000000000000004">
      <c r="A38" s="209" t="s">
        <v>5868</v>
      </c>
      <c r="B38" s="209" t="s">
        <v>5863</v>
      </c>
      <c r="C38" s="209" t="s">
        <v>5103</v>
      </c>
      <c r="D38" s="209" t="s">
        <v>5864</v>
      </c>
      <c r="E38" s="209" t="s">
        <v>133</v>
      </c>
      <c r="F38" s="209" t="s">
        <v>133</v>
      </c>
      <c r="G38" s="209" t="s">
        <v>1114</v>
      </c>
      <c r="H38" s="209" t="s">
        <v>1120</v>
      </c>
      <c r="I38" s="209" t="s">
        <v>2116</v>
      </c>
      <c r="J38" s="209" t="s">
        <v>2118</v>
      </c>
      <c r="K38" s="209" t="s">
        <v>1988</v>
      </c>
      <c r="L38" s="209" t="s">
        <v>1990</v>
      </c>
      <c r="M38" s="209" t="s">
        <v>700</v>
      </c>
      <c r="N38" s="209" t="s">
        <v>713</v>
      </c>
      <c r="O38" s="209" t="s">
        <v>132</v>
      </c>
      <c r="P38" s="209" t="s">
        <v>132</v>
      </c>
      <c r="Q38" s="209" t="s">
        <v>4865</v>
      </c>
      <c r="R38" s="209" t="s">
        <v>4880</v>
      </c>
      <c r="S38" s="209" t="s">
        <v>4889</v>
      </c>
      <c r="T38" s="209" t="s">
        <v>4904</v>
      </c>
      <c r="U38" s="209" t="s">
        <v>4913</v>
      </c>
      <c r="V38" s="209" t="s">
        <v>4928</v>
      </c>
      <c r="W38" s="209" t="s">
        <v>4937</v>
      </c>
      <c r="X38" s="209" t="s">
        <v>4952</v>
      </c>
      <c r="Y38" s="209" t="s">
        <v>4961</v>
      </c>
      <c r="Z38" s="209" t="s">
        <v>4976</v>
      </c>
      <c r="AA38" s="209" t="s">
        <v>132</v>
      </c>
      <c r="AB38" s="209" t="s">
        <v>132</v>
      </c>
      <c r="AC38" s="209" t="s">
        <v>132</v>
      </c>
      <c r="AD38" s="209" t="s">
        <v>132</v>
      </c>
      <c r="AE38" s="209" t="s">
        <v>132</v>
      </c>
      <c r="AF38" s="209" t="s">
        <v>132</v>
      </c>
      <c r="AG38" s="209" t="s">
        <v>132</v>
      </c>
      <c r="AH38" s="209" t="s">
        <v>132</v>
      </c>
      <c r="AI38" s="209" t="s">
        <v>132</v>
      </c>
      <c r="AJ38" s="209" t="s">
        <v>132</v>
      </c>
      <c r="AK38" s="209" t="s">
        <v>132</v>
      </c>
      <c r="AL38" s="209" t="s">
        <v>132</v>
      </c>
      <c r="AM38" s="209" t="s">
        <v>132</v>
      </c>
      <c r="AN38" s="209" t="s">
        <v>132</v>
      </c>
      <c r="AO38" s="209" t="s">
        <v>132</v>
      </c>
      <c r="AP38" s="209" t="s">
        <v>132</v>
      </c>
      <c r="AQ38" s="209" t="s">
        <v>133</v>
      </c>
      <c r="AR38" s="209" t="s">
        <v>133</v>
      </c>
      <c r="AS38" s="209" t="s">
        <v>133</v>
      </c>
      <c r="AT38" s="209" t="s">
        <v>133</v>
      </c>
      <c r="AU38" s="209" t="s">
        <v>133</v>
      </c>
      <c r="AV38" s="209" t="s">
        <v>133</v>
      </c>
      <c r="AW38" s="209" t="s">
        <v>133</v>
      </c>
      <c r="AX38" s="209" t="s">
        <v>133</v>
      </c>
      <c r="AY38" s="209" t="s">
        <v>133</v>
      </c>
      <c r="AZ38" s="209" t="s">
        <v>133</v>
      </c>
      <c r="BA38" s="209" t="s">
        <v>133</v>
      </c>
      <c r="BB38" s="209" t="s">
        <v>133</v>
      </c>
      <c r="BC38" s="209" t="s">
        <v>133</v>
      </c>
      <c r="BD38" s="209" t="s">
        <v>133</v>
      </c>
      <c r="BE38" s="209" t="s">
        <v>133</v>
      </c>
      <c r="BF38" s="209" t="s">
        <v>133</v>
      </c>
      <c r="BG38" s="209" t="s">
        <v>133</v>
      </c>
      <c r="BH38" s="209" t="s">
        <v>133</v>
      </c>
    </row>
    <row r="39" spans="1:60" x14ac:dyDescent="0.55000000000000004">
      <c r="A39" s="209" t="s">
        <v>5869</v>
      </c>
      <c r="B39" s="209" t="s">
        <v>5863</v>
      </c>
      <c r="C39" s="209" t="s">
        <v>5103</v>
      </c>
      <c r="D39" s="209" t="s">
        <v>5864</v>
      </c>
      <c r="E39" s="209" t="s">
        <v>133</v>
      </c>
      <c r="F39" s="209" t="s">
        <v>133</v>
      </c>
      <c r="G39" s="209" t="s">
        <v>1114</v>
      </c>
      <c r="H39" s="209" t="s">
        <v>1120</v>
      </c>
      <c r="I39" s="209" t="s">
        <v>2116</v>
      </c>
      <c r="J39" s="209" t="s">
        <v>2118</v>
      </c>
      <c r="K39" s="209" t="s">
        <v>1992</v>
      </c>
      <c r="L39" s="209" t="s">
        <v>1994</v>
      </c>
      <c r="M39" s="209" t="s">
        <v>720</v>
      </c>
      <c r="N39" s="209" t="s">
        <v>733</v>
      </c>
      <c r="O39" s="209" t="s">
        <v>132</v>
      </c>
      <c r="P39" s="209" t="s">
        <v>132</v>
      </c>
      <c r="Q39" s="209" t="s">
        <v>4985</v>
      </c>
      <c r="R39" s="209" t="s">
        <v>5000</v>
      </c>
      <c r="S39" s="209" t="s">
        <v>5009</v>
      </c>
      <c r="T39" s="209" t="s">
        <v>5024</v>
      </c>
      <c r="U39" s="209" t="s">
        <v>5033</v>
      </c>
      <c r="V39" s="209" t="s">
        <v>5048</v>
      </c>
      <c r="W39" s="209" t="s">
        <v>132</v>
      </c>
      <c r="X39" s="209" t="s">
        <v>132</v>
      </c>
      <c r="Y39" s="209" t="s">
        <v>132</v>
      </c>
      <c r="Z39" s="209" t="s">
        <v>132</v>
      </c>
      <c r="AA39" s="209" t="s">
        <v>132</v>
      </c>
      <c r="AB39" s="209" t="s">
        <v>132</v>
      </c>
      <c r="AC39" s="209" t="s">
        <v>132</v>
      </c>
      <c r="AD39" s="209" t="s">
        <v>132</v>
      </c>
      <c r="AE39" s="209" t="s">
        <v>132</v>
      </c>
      <c r="AF39" s="209" t="s">
        <v>132</v>
      </c>
      <c r="AG39" s="209" t="s">
        <v>132</v>
      </c>
      <c r="AH39" s="209" t="s">
        <v>132</v>
      </c>
      <c r="AI39" s="209" t="s">
        <v>132</v>
      </c>
      <c r="AJ39" s="209" t="s">
        <v>132</v>
      </c>
      <c r="AK39" s="209" t="s">
        <v>132</v>
      </c>
      <c r="AL39" s="209" t="s">
        <v>132</v>
      </c>
      <c r="AM39" s="209" t="s">
        <v>132</v>
      </c>
      <c r="AN39" s="209" t="s">
        <v>132</v>
      </c>
      <c r="AO39" s="209" t="s">
        <v>132</v>
      </c>
      <c r="AP39" s="209" t="s">
        <v>132</v>
      </c>
      <c r="AQ39" s="209" t="s">
        <v>133</v>
      </c>
      <c r="AR39" s="209" t="s">
        <v>133</v>
      </c>
      <c r="AS39" s="209" t="s">
        <v>133</v>
      </c>
      <c r="AT39" s="209" t="s">
        <v>133</v>
      </c>
      <c r="AU39" s="209" t="s">
        <v>133</v>
      </c>
      <c r="AV39" s="209" t="s">
        <v>133</v>
      </c>
      <c r="AW39" s="209" t="s">
        <v>133</v>
      </c>
      <c r="AX39" s="209" t="s">
        <v>133</v>
      </c>
      <c r="AY39" s="209" t="s">
        <v>133</v>
      </c>
      <c r="AZ39" s="209" t="s">
        <v>133</v>
      </c>
      <c r="BA39" s="209" t="s">
        <v>133</v>
      </c>
      <c r="BB39" s="209" t="s">
        <v>133</v>
      </c>
      <c r="BC39" s="209" t="s">
        <v>133</v>
      </c>
      <c r="BD39" s="209" t="s">
        <v>133</v>
      </c>
      <c r="BE39" s="209" t="s">
        <v>133</v>
      </c>
      <c r="BF39" s="209" t="s">
        <v>133</v>
      </c>
      <c r="BG39" s="209" t="s">
        <v>133</v>
      </c>
      <c r="BH39" s="209" t="s">
        <v>133</v>
      </c>
    </row>
    <row r="40" spans="1:60" x14ac:dyDescent="0.55000000000000004">
      <c r="A40" s="209" t="s">
        <v>5870</v>
      </c>
      <c r="B40" s="209" t="s">
        <v>5863</v>
      </c>
      <c r="C40" s="209" t="s">
        <v>5103</v>
      </c>
      <c r="D40" s="209" t="s">
        <v>5871</v>
      </c>
      <c r="E40" s="209" t="s">
        <v>5872</v>
      </c>
      <c r="F40" s="209" t="s">
        <v>5873</v>
      </c>
      <c r="G40" s="209" t="s">
        <v>1124</v>
      </c>
      <c r="H40" s="209" t="s">
        <v>1135</v>
      </c>
      <c r="I40" s="209" t="s">
        <v>2120</v>
      </c>
      <c r="J40" s="209" t="s">
        <v>2122</v>
      </c>
      <c r="K40" s="209" t="s">
        <v>1996</v>
      </c>
      <c r="L40" s="209" t="s">
        <v>1998</v>
      </c>
      <c r="M40" s="209" t="s">
        <v>740</v>
      </c>
      <c r="N40" s="209" t="s">
        <v>753</v>
      </c>
      <c r="O40" s="209" t="s">
        <v>1252</v>
      </c>
      <c r="P40" s="209" t="s">
        <v>1258</v>
      </c>
      <c r="Q40" s="209" t="s">
        <v>5057</v>
      </c>
      <c r="R40" s="209" t="s">
        <v>5077</v>
      </c>
      <c r="S40" s="209" t="s">
        <v>5086</v>
      </c>
      <c r="T40" s="209" t="s">
        <v>5105</v>
      </c>
      <c r="U40" s="209" t="s">
        <v>5114</v>
      </c>
      <c r="V40" s="209" t="s">
        <v>5133</v>
      </c>
      <c r="W40" s="209" t="s">
        <v>5142</v>
      </c>
      <c r="X40" s="209" t="s">
        <v>5161</v>
      </c>
      <c r="Y40" s="209" t="s">
        <v>5170</v>
      </c>
      <c r="Z40" s="209" t="s">
        <v>5189</v>
      </c>
      <c r="AA40" s="209" t="s">
        <v>5198</v>
      </c>
      <c r="AB40" s="209" t="s">
        <v>5217</v>
      </c>
      <c r="AC40" s="209" t="s">
        <v>1706</v>
      </c>
      <c r="AD40" s="209" t="s">
        <v>1712</v>
      </c>
      <c r="AE40" s="209" t="s">
        <v>1717</v>
      </c>
      <c r="AF40" s="209" t="s">
        <v>1722</v>
      </c>
      <c r="AG40" s="209" t="s">
        <v>1728</v>
      </c>
      <c r="AH40" s="209" t="s">
        <v>1735</v>
      </c>
      <c r="AI40" s="209" t="s">
        <v>1740</v>
      </c>
      <c r="AJ40" s="209" t="s">
        <v>1746</v>
      </c>
      <c r="AK40" s="209" t="s">
        <v>1751</v>
      </c>
      <c r="AL40" s="209" t="s">
        <v>1757</v>
      </c>
      <c r="AM40" s="209" t="s">
        <v>1763</v>
      </c>
      <c r="AN40" s="209" t="s">
        <v>1768</v>
      </c>
      <c r="AO40" s="209" t="s">
        <v>5874</v>
      </c>
      <c r="AP40" s="209" t="s">
        <v>5875</v>
      </c>
      <c r="AQ40" s="209" t="s">
        <v>1094</v>
      </c>
      <c r="AR40" s="209" t="s">
        <v>1100</v>
      </c>
      <c r="AS40" s="209" t="s">
        <v>132</v>
      </c>
      <c r="AT40" s="209" t="s">
        <v>132</v>
      </c>
      <c r="AU40" s="209" t="s">
        <v>4697</v>
      </c>
      <c r="AV40" s="209" t="s">
        <v>4712</v>
      </c>
      <c r="AW40" s="209" t="s">
        <v>4793</v>
      </c>
      <c r="AX40" s="209" t="s">
        <v>4808</v>
      </c>
      <c r="AY40" s="209" t="s">
        <v>132</v>
      </c>
      <c r="AZ40" s="209" t="s">
        <v>132</v>
      </c>
      <c r="BA40" s="209" t="s">
        <v>4549</v>
      </c>
      <c r="BB40" s="209" t="s">
        <v>4565</v>
      </c>
      <c r="BC40" s="209" t="s">
        <v>5483</v>
      </c>
      <c r="BD40" s="209" t="s">
        <v>5493</v>
      </c>
      <c r="BE40" s="209" t="s">
        <v>4602</v>
      </c>
      <c r="BF40" s="209" t="s">
        <v>4616</v>
      </c>
      <c r="BG40" s="209" t="s">
        <v>5515</v>
      </c>
      <c r="BH40" s="209" t="s">
        <v>5523</v>
      </c>
    </row>
    <row r="41" spans="1:60" x14ac:dyDescent="0.55000000000000004">
      <c r="A41" s="209" t="s">
        <v>5876</v>
      </c>
      <c r="B41" s="209" t="s">
        <v>5877</v>
      </c>
      <c r="C41" s="209" t="s">
        <v>5244</v>
      </c>
      <c r="D41" s="209" t="s">
        <v>5878</v>
      </c>
      <c r="E41" s="209" t="s">
        <v>5879</v>
      </c>
      <c r="F41" s="209" t="s">
        <v>5880</v>
      </c>
      <c r="G41" s="209" t="s">
        <v>1139</v>
      </c>
      <c r="H41" s="209" t="s">
        <v>1150</v>
      </c>
      <c r="I41" s="209" t="s">
        <v>2124</v>
      </c>
      <c r="J41" s="209" t="s">
        <v>2127</v>
      </c>
      <c r="K41" s="209" t="s">
        <v>2000</v>
      </c>
      <c r="L41" s="209" t="s">
        <v>2002</v>
      </c>
      <c r="M41" s="209" t="s">
        <v>760</v>
      </c>
      <c r="N41" s="209" t="s">
        <v>773</v>
      </c>
      <c r="O41" s="209" t="s">
        <v>1264</v>
      </c>
      <c r="P41" s="209" t="s">
        <v>1270</v>
      </c>
      <c r="Q41" s="209" t="s">
        <v>5226</v>
      </c>
      <c r="R41" s="209" t="s">
        <v>5246</v>
      </c>
      <c r="S41" s="209" t="s">
        <v>5255</v>
      </c>
      <c r="T41" s="209" t="s">
        <v>5274</v>
      </c>
      <c r="U41" s="209" t="s">
        <v>5283</v>
      </c>
      <c r="V41" s="209" t="s">
        <v>5302</v>
      </c>
      <c r="W41" s="209" t="s">
        <v>5311</v>
      </c>
      <c r="X41" s="209" t="s">
        <v>5330</v>
      </c>
      <c r="Y41" s="209" t="s">
        <v>5339</v>
      </c>
      <c r="Z41" s="209" t="s">
        <v>5358</v>
      </c>
      <c r="AA41" s="209" t="s">
        <v>5367</v>
      </c>
      <c r="AB41" s="209" t="s">
        <v>5386</v>
      </c>
      <c r="AC41" s="209" t="s">
        <v>1773</v>
      </c>
      <c r="AD41" s="209" t="s">
        <v>1779</v>
      </c>
      <c r="AE41" s="209" t="s">
        <v>1784</v>
      </c>
      <c r="AF41" s="209" t="s">
        <v>1789</v>
      </c>
      <c r="AG41" s="209" t="s">
        <v>1794</v>
      </c>
      <c r="AH41" s="209" t="s">
        <v>1800</v>
      </c>
      <c r="AI41" s="209" t="s">
        <v>1806</v>
      </c>
      <c r="AJ41" s="209" t="s">
        <v>1812</v>
      </c>
      <c r="AK41" s="209" t="s">
        <v>1817</v>
      </c>
      <c r="AL41" s="209" t="s">
        <v>1822</v>
      </c>
      <c r="AM41" s="209" t="s">
        <v>1827</v>
      </c>
      <c r="AN41" s="209" t="s">
        <v>1832</v>
      </c>
      <c r="AO41" s="209" t="s">
        <v>5881</v>
      </c>
      <c r="AP41" s="209" t="s">
        <v>5882</v>
      </c>
      <c r="AQ41" s="209" t="s">
        <v>1155</v>
      </c>
      <c r="AR41" s="209" t="s">
        <v>1161</v>
      </c>
      <c r="AS41" s="209" t="s">
        <v>780</v>
      </c>
      <c r="AT41" s="209" t="s">
        <v>793</v>
      </c>
      <c r="AU41" s="209" t="s">
        <v>5527</v>
      </c>
      <c r="AV41" s="209" t="s">
        <v>5533</v>
      </c>
      <c r="AW41" s="209" t="s">
        <v>5597</v>
      </c>
      <c r="AX41" s="209" t="s">
        <v>5608</v>
      </c>
      <c r="AY41" s="209" t="s">
        <v>5395</v>
      </c>
      <c r="AZ41" s="209" t="s">
        <v>5414</v>
      </c>
      <c r="BA41" s="209" t="s">
        <v>5423</v>
      </c>
      <c r="BB41" s="209" t="s">
        <v>5433</v>
      </c>
      <c r="BC41" s="209" t="s">
        <v>4625</v>
      </c>
      <c r="BD41" s="209" t="s">
        <v>4636</v>
      </c>
      <c r="BE41" s="209" t="s">
        <v>5455</v>
      </c>
      <c r="BF41" s="209" t="s">
        <v>5463</v>
      </c>
      <c r="BG41" s="209" t="s">
        <v>4658</v>
      </c>
      <c r="BH41" s="209" t="s">
        <v>4667</v>
      </c>
    </row>
    <row r="42" spans="1:60" x14ac:dyDescent="0.55000000000000004">
      <c r="A42" s="209" t="s">
        <v>5883</v>
      </c>
      <c r="B42" s="209" t="s">
        <v>5877</v>
      </c>
      <c r="C42" s="209" t="s">
        <v>5244</v>
      </c>
      <c r="D42" s="209" t="s">
        <v>5878</v>
      </c>
      <c r="E42" s="209" t="s">
        <v>5879</v>
      </c>
      <c r="F42" s="209" t="s">
        <v>5880</v>
      </c>
      <c r="G42" s="209" t="s">
        <v>1139</v>
      </c>
      <c r="H42" s="209" t="s">
        <v>1150</v>
      </c>
      <c r="I42" s="209" t="s">
        <v>2124</v>
      </c>
      <c r="J42" s="209" t="s">
        <v>2127</v>
      </c>
      <c r="K42" s="209" t="s">
        <v>2004</v>
      </c>
      <c r="L42" s="209" t="s">
        <v>2006</v>
      </c>
      <c r="M42" s="209" t="s">
        <v>780</v>
      </c>
      <c r="N42" s="209" t="s">
        <v>793</v>
      </c>
      <c r="O42" s="209" t="s">
        <v>1276</v>
      </c>
      <c r="P42" s="209" t="s">
        <v>1283</v>
      </c>
      <c r="Q42" s="209" t="s">
        <v>5395</v>
      </c>
      <c r="R42" s="209" t="s">
        <v>5414</v>
      </c>
      <c r="S42" s="209" t="s">
        <v>132</v>
      </c>
      <c r="T42" s="209" t="s">
        <v>132</v>
      </c>
      <c r="U42" s="209" t="s">
        <v>132</v>
      </c>
      <c r="V42" s="209" t="s">
        <v>132</v>
      </c>
      <c r="W42" s="209" t="s">
        <v>132</v>
      </c>
      <c r="X42" s="209" t="s">
        <v>132</v>
      </c>
      <c r="Y42" s="209" t="s">
        <v>132</v>
      </c>
      <c r="Z42" s="209" t="s">
        <v>132</v>
      </c>
      <c r="AA42" s="209" t="s">
        <v>132</v>
      </c>
      <c r="AB42" s="209" t="s">
        <v>132</v>
      </c>
      <c r="AC42" s="209" t="s">
        <v>1837</v>
      </c>
      <c r="AD42" s="209" t="s">
        <v>1845</v>
      </c>
      <c r="AE42" s="209" t="s">
        <v>132</v>
      </c>
      <c r="AF42" s="209" t="s">
        <v>132</v>
      </c>
      <c r="AG42" s="209" t="s">
        <v>132</v>
      </c>
      <c r="AH42" s="209" t="s">
        <v>132</v>
      </c>
      <c r="AI42" s="209" t="s">
        <v>132</v>
      </c>
      <c r="AJ42" s="209" t="s">
        <v>132</v>
      </c>
      <c r="AK42" s="209" t="s">
        <v>132</v>
      </c>
      <c r="AL42" s="209" t="s">
        <v>132</v>
      </c>
      <c r="AM42" s="209" t="s">
        <v>132</v>
      </c>
      <c r="AN42" s="209" t="s">
        <v>132</v>
      </c>
      <c r="AO42" s="209" t="s">
        <v>5884</v>
      </c>
      <c r="AP42" s="209" t="s">
        <v>132</v>
      </c>
      <c r="AQ42" s="209" t="s">
        <v>1155</v>
      </c>
      <c r="AR42" s="209" t="s">
        <v>1161</v>
      </c>
      <c r="AS42" s="209" t="s">
        <v>760</v>
      </c>
      <c r="AT42" s="209" t="s">
        <v>773</v>
      </c>
      <c r="AU42" s="209" t="s">
        <v>5527</v>
      </c>
      <c r="AV42" s="209" t="s">
        <v>5533</v>
      </c>
      <c r="AW42" s="209" t="s">
        <v>5597</v>
      </c>
      <c r="AX42" s="209" t="s">
        <v>5608</v>
      </c>
      <c r="AY42" s="209" t="s">
        <v>5226</v>
      </c>
      <c r="AZ42" s="209" t="s">
        <v>5246</v>
      </c>
      <c r="BA42" s="209" t="s">
        <v>5423</v>
      </c>
      <c r="BB42" s="209" t="s">
        <v>5433</v>
      </c>
      <c r="BC42" s="209" t="s">
        <v>4625</v>
      </c>
      <c r="BD42" s="209" t="s">
        <v>4636</v>
      </c>
      <c r="BE42" s="209" t="s">
        <v>5455</v>
      </c>
      <c r="BF42" s="209" t="s">
        <v>5463</v>
      </c>
      <c r="BG42" s="209" t="s">
        <v>4658</v>
      </c>
      <c r="BH42" s="209" t="s">
        <v>4667</v>
      </c>
    </row>
    <row r="43" spans="1:60" x14ac:dyDescent="0.55000000000000004">
      <c r="A43" s="209" t="s">
        <v>5885</v>
      </c>
      <c r="B43" s="209" t="s">
        <v>5877</v>
      </c>
      <c r="C43" s="209" t="s">
        <v>5244</v>
      </c>
      <c r="D43" s="209" t="s">
        <v>5886</v>
      </c>
      <c r="E43" s="209" t="s">
        <v>133</v>
      </c>
      <c r="F43" s="209" t="s">
        <v>133</v>
      </c>
      <c r="G43" s="209" t="s">
        <v>1155</v>
      </c>
      <c r="H43" s="209" t="s">
        <v>1161</v>
      </c>
      <c r="I43" s="209" t="s">
        <v>2130</v>
      </c>
      <c r="J43" s="209" t="s">
        <v>2132</v>
      </c>
      <c r="K43" s="209" t="s">
        <v>2008</v>
      </c>
      <c r="L43" s="209" t="s">
        <v>2010</v>
      </c>
      <c r="M43" s="209" t="s">
        <v>800</v>
      </c>
      <c r="N43" s="209" t="s">
        <v>809</v>
      </c>
      <c r="O43" s="209" t="s">
        <v>132</v>
      </c>
      <c r="P43" s="209" t="s">
        <v>132</v>
      </c>
      <c r="Q43" s="209" t="s">
        <v>5423</v>
      </c>
      <c r="R43" s="209" t="s">
        <v>5433</v>
      </c>
      <c r="S43" s="209" t="s">
        <v>5439</v>
      </c>
      <c r="T43" s="209" t="s">
        <v>5449</v>
      </c>
      <c r="U43" s="209" t="s">
        <v>5455</v>
      </c>
      <c r="V43" s="209" t="s">
        <v>5463</v>
      </c>
      <c r="W43" s="209" t="s">
        <v>5467</v>
      </c>
      <c r="X43" s="209" t="s">
        <v>5477</v>
      </c>
      <c r="Y43" s="209" t="s">
        <v>132</v>
      </c>
      <c r="Z43" s="209" t="s">
        <v>132</v>
      </c>
      <c r="AA43" s="209" t="s">
        <v>132</v>
      </c>
      <c r="AB43" s="209" t="s">
        <v>132</v>
      </c>
      <c r="AC43" s="209" t="s">
        <v>132</v>
      </c>
      <c r="AD43" s="209" t="s">
        <v>132</v>
      </c>
      <c r="AE43" s="209" t="s">
        <v>132</v>
      </c>
      <c r="AF43" s="209" t="s">
        <v>132</v>
      </c>
      <c r="AG43" s="209" t="s">
        <v>132</v>
      </c>
      <c r="AH43" s="209" t="s">
        <v>132</v>
      </c>
      <c r="AI43" s="209" t="s">
        <v>132</v>
      </c>
      <c r="AJ43" s="209" t="s">
        <v>132</v>
      </c>
      <c r="AK43" s="209" t="s">
        <v>132</v>
      </c>
      <c r="AL43" s="209" t="s">
        <v>132</v>
      </c>
      <c r="AM43" s="209" t="s">
        <v>132</v>
      </c>
      <c r="AN43" s="209" t="s">
        <v>132</v>
      </c>
      <c r="AO43" s="209" t="s">
        <v>132</v>
      </c>
      <c r="AP43" s="209" t="s">
        <v>132</v>
      </c>
      <c r="AQ43" s="209" t="s">
        <v>133</v>
      </c>
      <c r="AR43" s="209" t="s">
        <v>133</v>
      </c>
      <c r="AS43" s="209" t="s">
        <v>133</v>
      </c>
      <c r="AT43" s="209" t="s">
        <v>133</v>
      </c>
      <c r="AU43" s="209" t="s">
        <v>133</v>
      </c>
      <c r="AV43" s="209" t="s">
        <v>133</v>
      </c>
      <c r="AW43" s="209" t="s">
        <v>133</v>
      </c>
      <c r="AX43" s="209" t="s">
        <v>133</v>
      </c>
      <c r="AY43" s="209" t="s">
        <v>133</v>
      </c>
      <c r="AZ43" s="209" t="s">
        <v>133</v>
      </c>
      <c r="BA43" s="209" t="s">
        <v>133</v>
      </c>
      <c r="BB43" s="209" t="s">
        <v>133</v>
      </c>
      <c r="BC43" s="209" t="s">
        <v>133</v>
      </c>
      <c r="BD43" s="209" t="s">
        <v>133</v>
      </c>
      <c r="BE43" s="209" t="s">
        <v>133</v>
      </c>
      <c r="BF43" s="209" t="s">
        <v>133</v>
      </c>
      <c r="BG43" s="209" t="s">
        <v>133</v>
      </c>
      <c r="BH43" s="209" t="s">
        <v>133</v>
      </c>
    </row>
    <row r="44" spans="1:60" x14ac:dyDescent="0.55000000000000004">
      <c r="A44" s="209" t="s">
        <v>5887</v>
      </c>
      <c r="B44" s="209" t="s">
        <v>5877</v>
      </c>
      <c r="C44" s="209" t="s">
        <v>5244</v>
      </c>
      <c r="D44" s="209" t="s">
        <v>5886</v>
      </c>
      <c r="E44" s="209" t="s">
        <v>133</v>
      </c>
      <c r="F44" s="209" t="s">
        <v>133</v>
      </c>
      <c r="G44" s="209" t="s">
        <v>1155</v>
      </c>
      <c r="H44" s="209" t="s">
        <v>1161</v>
      </c>
      <c r="I44" s="209" t="s">
        <v>2130</v>
      </c>
      <c r="J44" s="209" t="s">
        <v>2132</v>
      </c>
      <c r="K44" s="209" t="s">
        <v>2012</v>
      </c>
      <c r="L44" s="209" t="s">
        <v>2014</v>
      </c>
      <c r="M44" s="209" t="s">
        <v>812</v>
      </c>
      <c r="N44" s="209" t="s">
        <v>821</v>
      </c>
      <c r="O44" s="209" t="s">
        <v>132</v>
      </c>
      <c r="P44" s="209" t="s">
        <v>132</v>
      </c>
      <c r="Q44" s="209" t="s">
        <v>5527</v>
      </c>
      <c r="R44" s="209" t="s">
        <v>5533</v>
      </c>
      <c r="S44" s="209" t="s">
        <v>5537</v>
      </c>
      <c r="T44" s="209" t="s">
        <v>5543</v>
      </c>
      <c r="U44" s="209" t="s">
        <v>5547</v>
      </c>
      <c r="V44" s="209" t="s">
        <v>5553</v>
      </c>
      <c r="W44" s="209" t="s">
        <v>5557</v>
      </c>
      <c r="X44" s="209" t="s">
        <v>5568</v>
      </c>
      <c r="Y44" s="209" t="s">
        <v>5577</v>
      </c>
      <c r="Z44" s="209" t="s">
        <v>5588</v>
      </c>
      <c r="AA44" s="209" t="s">
        <v>132</v>
      </c>
      <c r="AB44" s="209" t="s">
        <v>132</v>
      </c>
      <c r="AC44" s="209" t="s">
        <v>132</v>
      </c>
      <c r="AD44" s="209" t="s">
        <v>132</v>
      </c>
      <c r="AE44" s="209" t="s">
        <v>132</v>
      </c>
      <c r="AF44" s="209" t="s">
        <v>132</v>
      </c>
      <c r="AG44" s="209" t="s">
        <v>132</v>
      </c>
      <c r="AH44" s="209" t="s">
        <v>132</v>
      </c>
      <c r="AI44" s="209" t="s">
        <v>132</v>
      </c>
      <c r="AJ44" s="209" t="s">
        <v>132</v>
      </c>
      <c r="AK44" s="209" t="s">
        <v>132</v>
      </c>
      <c r="AL44" s="209" t="s">
        <v>132</v>
      </c>
      <c r="AM44" s="209" t="s">
        <v>132</v>
      </c>
      <c r="AN44" s="209" t="s">
        <v>132</v>
      </c>
      <c r="AO44" s="209" t="s">
        <v>132</v>
      </c>
      <c r="AP44" s="209" t="s">
        <v>132</v>
      </c>
      <c r="AQ44" s="209" t="s">
        <v>133</v>
      </c>
      <c r="AR44" s="209" t="s">
        <v>133</v>
      </c>
      <c r="AS44" s="209" t="s">
        <v>133</v>
      </c>
      <c r="AT44" s="209" t="s">
        <v>133</v>
      </c>
      <c r="AU44" s="209" t="s">
        <v>133</v>
      </c>
      <c r="AV44" s="209" t="s">
        <v>133</v>
      </c>
      <c r="AW44" s="209" t="s">
        <v>133</v>
      </c>
      <c r="AX44" s="209" t="s">
        <v>133</v>
      </c>
      <c r="AY44" s="209" t="s">
        <v>133</v>
      </c>
      <c r="AZ44" s="209" t="s">
        <v>133</v>
      </c>
      <c r="BA44" s="209" t="s">
        <v>133</v>
      </c>
      <c r="BB44" s="209" t="s">
        <v>133</v>
      </c>
      <c r="BC44" s="209" t="s">
        <v>133</v>
      </c>
      <c r="BD44" s="209" t="s">
        <v>133</v>
      </c>
      <c r="BE44" s="209" t="s">
        <v>133</v>
      </c>
      <c r="BF44" s="209" t="s">
        <v>133</v>
      </c>
      <c r="BG44" s="209" t="s">
        <v>133</v>
      </c>
      <c r="BH44" s="209" t="s">
        <v>133</v>
      </c>
    </row>
    <row r="45" spans="1:60" x14ac:dyDescent="0.55000000000000004">
      <c r="A45" s="209" t="s">
        <v>5888</v>
      </c>
      <c r="B45" s="209" t="s">
        <v>5877</v>
      </c>
      <c r="C45" s="209" t="s">
        <v>5244</v>
      </c>
      <c r="D45" s="209" t="s">
        <v>5886</v>
      </c>
      <c r="E45" s="209" t="s">
        <v>133</v>
      </c>
      <c r="F45" s="209" t="s">
        <v>133</v>
      </c>
      <c r="G45" s="209" t="s">
        <v>1155</v>
      </c>
      <c r="H45" s="209" t="s">
        <v>1161</v>
      </c>
      <c r="I45" s="209" t="s">
        <v>2130</v>
      </c>
      <c r="J45" s="209" t="s">
        <v>2132</v>
      </c>
      <c r="K45" s="209" t="s">
        <v>2016</v>
      </c>
      <c r="L45" s="209" t="s">
        <v>2018</v>
      </c>
      <c r="M45" s="209" t="s">
        <v>824</v>
      </c>
      <c r="N45" s="209" t="s">
        <v>837</v>
      </c>
      <c r="O45" s="209" t="s">
        <v>132</v>
      </c>
      <c r="P45" s="209" t="s">
        <v>132</v>
      </c>
      <c r="Q45" s="209" t="s">
        <v>5597</v>
      </c>
      <c r="R45" s="209" t="s">
        <v>5608</v>
      </c>
      <c r="S45" s="209" t="s">
        <v>5617</v>
      </c>
      <c r="T45" s="209" t="s">
        <v>5628</v>
      </c>
      <c r="U45" s="209" t="s">
        <v>5637</v>
      </c>
      <c r="V45" s="209" t="s">
        <v>5648</v>
      </c>
      <c r="W45" s="209" t="s">
        <v>132</v>
      </c>
      <c r="X45" s="209" t="s">
        <v>132</v>
      </c>
      <c r="Y45" s="209" t="s">
        <v>132</v>
      </c>
      <c r="Z45" s="209" t="s">
        <v>132</v>
      </c>
      <c r="AA45" s="209" t="s">
        <v>132</v>
      </c>
      <c r="AB45" s="209" t="s">
        <v>132</v>
      </c>
      <c r="AC45" s="209" t="s">
        <v>132</v>
      </c>
      <c r="AD45" s="209" t="s">
        <v>132</v>
      </c>
      <c r="AE45" s="209" t="s">
        <v>132</v>
      </c>
      <c r="AF45" s="209" t="s">
        <v>132</v>
      </c>
      <c r="AG45" s="209" t="s">
        <v>132</v>
      </c>
      <c r="AH45" s="209" t="s">
        <v>132</v>
      </c>
      <c r="AI45" s="209" t="s">
        <v>132</v>
      </c>
      <c r="AJ45" s="209" t="s">
        <v>132</v>
      </c>
      <c r="AK45" s="209" t="s">
        <v>132</v>
      </c>
      <c r="AL45" s="209" t="s">
        <v>132</v>
      </c>
      <c r="AM45" s="209" t="s">
        <v>132</v>
      </c>
      <c r="AN45" s="209" t="s">
        <v>132</v>
      </c>
      <c r="AO45" s="209" t="s">
        <v>132</v>
      </c>
      <c r="AP45" s="209" t="s">
        <v>132</v>
      </c>
      <c r="AQ45" s="209" t="s">
        <v>133</v>
      </c>
      <c r="AR45" s="209" t="s">
        <v>133</v>
      </c>
      <c r="AS45" s="209" t="s">
        <v>133</v>
      </c>
      <c r="AT45" s="209" t="s">
        <v>133</v>
      </c>
      <c r="AU45" s="209" t="s">
        <v>133</v>
      </c>
      <c r="AV45" s="209" t="s">
        <v>133</v>
      </c>
      <c r="AW45" s="209" t="s">
        <v>133</v>
      </c>
      <c r="AX45" s="209" t="s">
        <v>133</v>
      </c>
      <c r="AY45" s="209" t="s">
        <v>133</v>
      </c>
      <c r="AZ45" s="209" t="s">
        <v>133</v>
      </c>
      <c r="BA45" s="209" t="s">
        <v>133</v>
      </c>
      <c r="BB45" s="209" t="s">
        <v>133</v>
      </c>
      <c r="BC45" s="209" t="s">
        <v>133</v>
      </c>
      <c r="BD45" s="209" t="s">
        <v>133</v>
      </c>
      <c r="BE45" s="209" t="s">
        <v>133</v>
      </c>
      <c r="BF45" s="209" t="s">
        <v>133</v>
      </c>
      <c r="BG45" s="209" t="s">
        <v>133</v>
      </c>
      <c r="BH45" s="209" t="s">
        <v>133</v>
      </c>
    </row>
    <row r="46" spans="1:60" x14ac:dyDescent="0.55000000000000004">
      <c r="A46" s="209" t="s">
        <v>5889</v>
      </c>
      <c r="B46" s="209" t="s">
        <v>5877</v>
      </c>
      <c r="C46" s="209" t="s">
        <v>5244</v>
      </c>
      <c r="D46" s="209" t="s">
        <v>5886</v>
      </c>
      <c r="E46" s="209" t="s">
        <v>133</v>
      </c>
      <c r="F46" s="209" t="s">
        <v>133</v>
      </c>
      <c r="G46" s="209" t="s">
        <v>1165</v>
      </c>
      <c r="H46" s="209" t="s">
        <v>1171</v>
      </c>
      <c r="I46" s="209" t="s">
        <v>2134</v>
      </c>
      <c r="J46" s="209" t="s">
        <v>2136</v>
      </c>
      <c r="K46" s="209" t="s">
        <v>2020</v>
      </c>
      <c r="L46" s="209" t="s">
        <v>2022</v>
      </c>
      <c r="M46" s="209" t="s">
        <v>844</v>
      </c>
      <c r="N46" s="209" t="s">
        <v>853</v>
      </c>
      <c r="O46" s="209" t="s">
        <v>132</v>
      </c>
      <c r="P46" s="209" t="s">
        <v>132</v>
      </c>
      <c r="Q46" s="209" t="s">
        <v>5483</v>
      </c>
      <c r="R46" s="209" t="s">
        <v>5493</v>
      </c>
      <c r="S46" s="209" t="s">
        <v>5499</v>
      </c>
      <c r="T46" s="209" t="s">
        <v>5509</v>
      </c>
      <c r="U46" s="209" t="s">
        <v>5515</v>
      </c>
      <c r="V46" s="209" t="s">
        <v>5523</v>
      </c>
      <c r="W46" s="209" t="s">
        <v>132</v>
      </c>
      <c r="X46" s="209" t="s">
        <v>132</v>
      </c>
      <c r="Y46" s="209" t="s">
        <v>132</v>
      </c>
      <c r="Z46" s="209" t="s">
        <v>132</v>
      </c>
      <c r="AA46" s="209" t="s">
        <v>132</v>
      </c>
      <c r="AB46" s="209" t="s">
        <v>132</v>
      </c>
      <c r="AC46" s="209" t="s">
        <v>132</v>
      </c>
      <c r="AD46" s="209" t="s">
        <v>132</v>
      </c>
      <c r="AE46" s="209" t="s">
        <v>132</v>
      </c>
      <c r="AF46" s="209" t="s">
        <v>132</v>
      </c>
      <c r="AG46" s="209" t="s">
        <v>132</v>
      </c>
      <c r="AH46" s="209" t="s">
        <v>132</v>
      </c>
      <c r="AI46" s="209" t="s">
        <v>132</v>
      </c>
      <c r="AJ46" s="209" t="s">
        <v>132</v>
      </c>
      <c r="AK46" s="209" t="s">
        <v>132</v>
      </c>
      <c r="AL46" s="209" t="s">
        <v>132</v>
      </c>
      <c r="AM46" s="209" t="s">
        <v>132</v>
      </c>
      <c r="AN46" s="209" t="s">
        <v>132</v>
      </c>
      <c r="AO46" s="209" t="s">
        <v>132</v>
      </c>
      <c r="AP46" s="209" t="s">
        <v>132</v>
      </c>
      <c r="AQ46" s="209" t="s">
        <v>133</v>
      </c>
      <c r="AR46" s="209" t="s">
        <v>133</v>
      </c>
      <c r="AS46" s="209" t="s">
        <v>133</v>
      </c>
      <c r="AT46" s="209" t="s">
        <v>133</v>
      </c>
      <c r="AU46" s="209" t="s">
        <v>133</v>
      </c>
      <c r="AV46" s="209" t="s">
        <v>133</v>
      </c>
      <c r="AW46" s="209" t="s">
        <v>133</v>
      </c>
      <c r="AX46" s="209" t="s">
        <v>133</v>
      </c>
      <c r="AY46" s="209" t="s">
        <v>133</v>
      </c>
      <c r="AZ46" s="209" t="s">
        <v>133</v>
      </c>
      <c r="BA46" s="209" t="s">
        <v>133</v>
      </c>
      <c r="BB46" s="209" t="s">
        <v>133</v>
      </c>
      <c r="BC46" s="209" t="s">
        <v>133</v>
      </c>
      <c r="BD46" s="209" t="s">
        <v>133</v>
      </c>
      <c r="BE46" s="209" t="s">
        <v>133</v>
      </c>
      <c r="BF46" s="209" t="s">
        <v>133</v>
      </c>
      <c r="BG46" s="209" t="s">
        <v>133</v>
      </c>
      <c r="BH46" s="209" t="s">
        <v>133</v>
      </c>
    </row>
    <row r="47" spans="1:60" x14ac:dyDescent="0.55000000000000004">
      <c r="A47" s="209" t="s">
        <v>5890</v>
      </c>
      <c r="B47" s="209" t="s">
        <v>5877</v>
      </c>
      <c r="C47" s="209" t="s">
        <v>5244</v>
      </c>
      <c r="D47" s="209" t="s">
        <v>5886</v>
      </c>
      <c r="E47" s="209" t="s">
        <v>133</v>
      </c>
      <c r="F47" s="209" t="s">
        <v>133</v>
      </c>
      <c r="G47" s="209" t="s">
        <v>1175</v>
      </c>
      <c r="H47" s="209" t="s">
        <v>1181</v>
      </c>
      <c r="I47" s="209" t="s">
        <v>2138</v>
      </c>
      <c r="J47" s="209" t="s">
        <v>2140</v>
      </c>
      <c r="K47" s="209" t="s">
        <v>2024</v>
      </c>
      <c r="L47" s="209" t="s">
        <v>2026</v>
      </c>
      <c r="M47" s="209" t="s">
        <v>856</v>
      </c>
      <c r="N47" s="209" t="s">
        <v>865</v>
      </c>
      <c r="O47" s="209" t="s">
        <v>132</v>
      </c>
      <c r="P47" s="209" t="s">
        <v>132</v>
      </c>
      <c r="Q47" s="209" t="s">
        <v>5657</v>
      </c>
      <c r="R47" s="209" t="s">
        <v>5663</v>
      </c>
      <c r="S47" s="209" t="s">
        <v>5667</v>
      </c>
      <c r="T47" s="209" t="s">
        <v>5673</v>
      </c>
      <c r="U47" s="209" t="s">
        <v>5677</v>
      </c>
      <c r="V47" s="209" t="s">
        <v>5683</v>
      </c>
      <c r="W47" s="209" t="s">
        <v>5687</v>
      </c>
      <c r="X47" s="209" t="s">
        <v>5693</v>
      </c>
      <c r="Y47" s="209" t="s">
        <v>132</v>
      </c>
      <c r="Z47" s="209" t="s">
        <v>132</v>
      </c>
      <c r="AA47" s="209" t="s">
        <v>132</v>
      </c>
      <c r="AB47" s="209" t="s">
        <v>132</v>
      </c>
      <c r="AC47" s="209" t="s">
        <v>132</v>
      </c>
      <c r="AD47" s="209" t="s">
        <v>132</v>
      </c>
      <c r="AE47" s="209" t="s">
        <v>132</v>
      </c>
      <c r="AF47" s="209" t="s">
        <v>132</v>
      </c>
      <c r="AG47" s="209" t="s">
        <v>132</v>
      </c>
      <c r="AH47" s="209" t="s">
        <v>132</v>
      </c>
      <c r="AI47" s="209" t="s">
        <v>132</v>
      </c>
      <c r="AJ47" s="209" t="s">
        <v>132</v>
      </c>
      <c r="AK47" s="209" t="s">
        <v>132</v>
      </c>
      <c r="AL47" s="209" t="s">
        <v>132</v>
      </c>
      <c r="AM47" s="209" t="s">
        <v>132</v>
      </c>
      <c r="AN47" s="209" t="s">
        <v>132</v>
      </c>
      <c r="AO47" s="209" t="s">
        <v>132</v>
      </c>
      <c r="AP47" s="209" t="s">
        <v>132</v>
      </c>
      <c r="AQ47" s="209" t="s">
        <v>133</v>
      </c>
      <c r="AR47" s="209" t="s">
        <v>133</v>
      </c>
      <c r="AS47" s="209" t="s">
        <v>133</v>
      </c>
      <c r="AT47" s="209" t="s">
        <v>133</v>
      </c>
      <c r="AU47" s="209" t="s">
        <v>133</v>
      </c>
      <c r="AV47" s="209" t="s">
        <v>133</v>
      </c>
      <c r="AW47" s="209" t="s">
        <v>133</v>
      </c>
      <c r="AX47" s="209" t="s">
        <v>133</v>
      </c>
      <c r="AY47" s="209" t="s">
        <v>133</v>
      </c>
      <c r="AZ47" s="209" t="s">
        <v>133</v>
      </c>
      <c r="BA47" s="209" t="s">
        <v>133</v>
      </c>
      <c r="BB47" s="209" t="s">
        <v>133</v>
      </c>
      <c r="BC47" s="209" t="s">
        <v>133</v>
      </c>
      <c r="BD47" s="209" t="s">
        <v>133</v>
      </c>
      <c r="BE47" s="209" t="s">
        <v>133</v>
      </c>
      <c r="BF47" s="209" t="s">
        <v>133</v>
      </c>
      <c r="BG47" s="209" t="s">
        <v>133</v>
      </c>
      <c r="BH47" s="209" t="s">
        <v>133</v>
      </c>
    </row>
    <row r="48" spans="1:60" x14ac:dyDescent="0.55000000000000004">
      <c r="A48" s="209" t="s">
        <v>5891</v>
      </c>
      <c r="B48" s="209" t="s">
        <v>5877</v>
      </c>
      <c r="C48" s="209" t="s">
        <v>5244</v>
      </c>
      <c r="D48" s="209" t="s">
        <v>5886</v>
      </c>
      <c r="E48" s="209" t="s">
        <v>133</v>
      </c>
      <c r="F48" s="209" t="s">
        <v>133</v>
      </c>
      <c r="G48" s="209" t="s">
        <v>1175</v>
      </c>
      <c r="H48" s="209" t="s">
        <v>1181</v>
      </c>
      <c r="I48" s="209" t="s">
        <v>2138</v>
      </c>
      <c r="J48" s="209" t="s">
        <v>2140</v>
      </c>
      <c r="K48" s="209" t="s">
        <v>2028</v>
      </c>
      <c r="L48" s="209" t="s">
        <v>2030</v>
      </c>
      <c r="M48" s="209" t="s">
        <v>868</v>
      </c>
      <c r="N48" s="209" t="s">
        <v>877</v>
      </c>
      <c r="O48" s="209" t="s">
        <v>132</v>
      </c>
      <c r="P48" s="209" t="s">
        <v>132</v>
      </c>
      <c r="Q48" s="209" t="s">
        <v>5697</v>
      </c>
      <c r="R48" s="209" t="s">
        <v>5703</v>
      </c>
      <c r="S48" s="209" t="s">
        <v>5707</v>
      </c>
      <c r="T48" s="209" t="s">
        <v>5713</v>
      </c>
      <c r="U48" s="209" t="s">
        <v>5717</v>
      </c>
      <c r="V48" s="209" t="s">
        <v>5723</v>
      </c>
      <c r="W48" s="209" t="s">
        <v>132</v>
      </c>
      <c r="X48" s="209" t="s">
        <v>132</v>
      </c>
      <c r="Y48" s="209" t="s">
        <v>132</v>
      </c>
      <c r="Z48" s="209" t="s">
        <v>132</v>
      </c>
      <c r="AA48" s="209" t="s">
        <v>132</v>
      </c>
      <c r="AB48" s="209" t="s">
        <v>132</v>
      </c>
      <c r="AC48" s="209" t="s">
        <v>132</v>
      </c>
      <c r="AD48" s="209" t="s">
        <v>132</v>
      </c>
      <c r="AE48" s="209" t="s">
        <v>132</v>
      </c>
      <c r="AF48" s="209" t="s">
        <v>132</v>
      </c>
      <c r="AG48" s="209" t="s">
        <v>132</v>
      </c>
      <c r="AH48" s="209" t="s">
        <v>132</v>
      </c>
      <c r="AI48" s="209" t="s">
        <v>132</v>
      </c>
      <c r="AJ48" s="209" t="s">
        <v>132</v>
      </c>
      <c r="AK48" s="209" t="s">
        <v>132</v>
      </c>
      <c r="AL48" s="209" t="s">
        <v>132</v>
      </c>
      <c r="AM48" s="209" t="s">
        <v>132</v>
      </c>
      <c r="AN48" s="209" t="s">
        <v>132</v>
      </c>
      <c r="AO48" s="209" t="s">
        <v>132</v>
      </c>
      <c r="AP48" s="209" t="s">
        <v>132</v>
      </c>
      <c r="AQ48" s="209" t="s">
        <v>133</v>
      </c>
      <c r="AR48" s="209" t="s">
        <v>133</v>
      </c>
      <c r="AS48" s="209" t="s">
        <v>133</v>
      </c>
      <c r="AT48" s="209" t="s">
        <v>133</v>
      </c>
      <c r="AU48" s="209" t="s">
        <v>133</v>
      </c>
      <c r="AV48" s="209" t="s">
        <v>133</v>
      </c>
      <c r="AW48" s="209" t="s">
        <v>133</v>
      </c>
      <c r="AX48" s="209" t="s">
        <v>133</v>
      </c>
      <c r="AY48" s="209" t="s">
        <v>133</v>
      </c>
      <c r="AZ48" s="209" t="s">
        <v>133</v>
      </c>
      <c r="BA48" s="209" t="s">
        <v>133</v>
      </c>
      <c r="BB48" s="209" t="s">
        <v>133</v>
      </c>
      <c r="BC48" s="209" t="s">
        <v>133</v>
      </c>
      <c r="BD48" s="209" t="s">
        <v>133</v>
      </c>
      <c r="BE48" s="209" t="s">
        <v>133</v>
      </c>
      <c r="BF48" s="209" t="s">
        <v>133</v>
      </c>
      <c r="BG48" s="209" t="s">
        <v>133</v>
      </c>
      <c r="BH48" s="209" t="s">
        <v>133</v>
      </c>
    </row>
  </sheetData>
  <phoneticPr fontId="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6079E-A1C2-4465-A71F-11CEF1F6517C}">
  <sheetPr codeName="Sheet2">
    <tabColor theme="0" tint="-0.499984740745262"/>
  </sheetPr>
  <dimension ref="A1:Q26"/>
  <sheetViews>
    <sheetView workbookViewId="0">
      <selection sqref="A1:Q23"/>
    </sheetView>
  </sheetViews>
  <sheetFormatPr defaultRowHeight="18" x14ac:dyDescent="0.55000000000000004"/>
  <cols>
    <col min="1" max="1" width="17.6640625" bestFit="1" customWidth="1"/>
    <col min="2" max="2" width="18.33203125" bestFit="1" customWidth="1"/>
    <col min="3" max="3" width="22.08203125" bestFit="1" customWidth="1"/>
    <col min="4" max="4" width="13.1640625" bestFit="1" customWidth="1"/>
    <col min="5" max="5" width="11.5" bestFit="1" customWidth="1"/>
    <col min="6" max="11" width="28.4140625" bestFit="1" customWidth="1"/>
    <col min="12" max="13" width="26.83203125" style="43" bestFit="1" customWidth="1"/>
    <col min="14" max="17" width="27.9140625" style="43" bestFit="1" customWidth="1"/>
    <col min="18" max="18" width="30.08203125" bestFit="1" customWidth="1"/>
  </cols>
  <sheetData>
    <row r="1" spans="1:17" x14ac:dyDescent="0.55000000000000004">
      <c r="A1" t="s">
        <v>119</v>
      </c>
      <c r="B1" t="s">
        <v>1850</v>
      </c>
      <c r="C1" t="s">
        <v>886</v>
      </c>
      <c r="D1" t="s">
        <v>887</v>
      </c>
      <c r="E1" t="s">
        <v>888</v>
      </c>
      <c r="F1" t="s">
        <v>5892</v>
      </c>
      <c r="G1" t="s">
        <v>5983</v>
      </c>
      <c r="H1" t="s">
        <v>5893</v>
      </c>
      <c r="I1" t="s">
        <v>5984</v>
      </c>
      <c r="J1" t="s">
        <v>5894</v>
      </c>
      <c r="K1" t="s">
        <v>5985</v>
      </c>
      <c r="L1" t="s">
        <v>5895</v>
      </c>
      <c r="M1" t="s">
        <v>5986</v>
      </c>
      <c r="N1" t="s">
        <v>5896</v>
      </c>
      <c r="O1" t="s">
        <v>5987</v>
      </c>
      <c r="P1" t="s">
        <v>5897</v>
      </c>
      <c r="Q1" t="s">
        <v>5988</v>
      </c>
    </row>
    <row r="2" spans="1:17" x14ac:dyDescent="0.55000000000000004">
      <c r="A2" s="209" t="s">
        <v>132</v>
      </c>
      <c r="B2" s="209" t="s">
        <v>133</v>
      </c>
      <c r="C2" s="209" t="s">
        <v>133</v>
      </c>
      <c r="D2" s="209" t="s">
        <v>133</v>
      </c>
      <c r="E2" s="209" t="s">
        <v>133</v>
      </c>
      <c r="F2" s="209" t="s">
        <v>133</v>
      </c>
      <c r="G2" s="209" t="s">
        <v>133</v>
      </c>
      <c r="H2" s="209" t="s">
        <v>133</v>
      </c>
      <c r="I2" s="209" t="s">
        <v>133</v>
      </c>
      <c r="J2" s="209" t="s">
        <v>133</v>
      </c>
      <c r="K2" s="209" t="s">
        <v>133</v>
      </c>
      <c r="L2" s="209" t="s">
        <v>133</v>
      </c>
      <c r="M2" s="209" t="s">
        <v>133</v>
      </c>
      <c r="N2" s="209" t="s">
        <v>133</v>
      </c>
      <c r="O2" s="209" t="s">
        <v>133</v>
      </c>
      <c r="P2" s="209" t="s">
        <v>133</v>
      </c>
      <c r="Q2" s="209" t="s">
        <v>133</v>
      </c>
    </row>
    <row r="3" spans="1:17" x14ac:dyDescent="0.55000000000000004">
      <c r="A3" s="209" t="s">
        <v>5797</v>
      </c>
      <c r="B3" s="209" t="s">
        <v>5898</v>
      </c>
      <c r="C3" s="209" t="s">
        <v>133</v>
      </c>
      <c r="D3" s="209" t="s">
        <v>133</v>
      </c>
      <c r="E3" s="209" t="s">
        <v>133</v>
      </c>
      <c r="F3" s="209" t="s">
        <v>133</v>
      </c>
      <c r="G3" s="209" t="s">
        <v>133</v>
      </c>
      <c r="H3" s="209" t="s">
        <v>133</v>
      </c>
      <c r="I3" s="209" t="s">
        <v>133</v>
      </c>
      <c r="J3" s="209" t="s">
        <v>133</v>
      </c>
      <c r="K3" s="209" t="s">
        <v>133</v>
      </c>
      <c r="L3" s="209" t="s">
        <v>133</v>
      </c>
      <c r="M3" s="209" t="s">
        <v>133</v>
      </c>
      <c r="N3" s="209" t="s">
        <v>133</v>
      </c>
      <c r="O3" s="209" t="s">
        <v>133</v>
      </c>
      <c r="P3" s="209" t="s">
        <v>133</v>
      </c>
      <c r="Q3" s="209" t="s">
        <v>133</v>
      </c>
    </row>
    <row r="4" spans="1:17" x14ac:dyDescent="0.55000000000000004">
      <c r="A4" s="209" t="s">
        <v>5801</v>
      </c>
      <c r="B4" s="209" t="s">
        <v>5899</v>
      </c>
      <c r="C4" s="209" t="s">
        <v>133</v>
      </c>
      <c r="D4" s="209" t="s">
        <v>133</v>
      </c>
      <c r="E4" s="209" t="s">
        <v>133</v>
      </c>
      <c r="F4" s="209" t="s">
        <v>133</v>
      </c>
      <c r="G4" s="209" t="s">
        <v>133</v>
      </c>
      <c r="H4" s="209" t="s">
        <v>133</v>
      </c>
      <c r="I4" s="209" t="s">
        <v>133</v>
      </c>
      <c r="J4" s="209" t="s">
        <v>133</v>
      </c>
      <c r="K4" s="209" t="s">
        <v>133</v>
      </c>
      <c r="L4" s="209" t="s">
        <v>133</v>
      </c>
      <c r="M4" s="209" t="s">
        <v>133</v>
      </c>
      <c r="N4" s="209" t="s">
        <v>133</v>
      </c>
      <c r="O4" s="209" t="s">
        <v>133</v>
      </c>
      <c r="P4" s="209" t="s">
        <v>133</v>
      </c>
      <c r="Q4" s="209" t="s">
        <v>133</v>
      </c>
    </row>
    <row r="5" spans="1:17" x14ac:dyDescent="0.55000000000000004">
      <c r="A5" s="209" t="s">
        <v>5807</v>
      </c>
      <c r="B5" s="209" t="s">
        <v>5900</v>
      </c>
      <c r="C5" s="209" t="s">
        <v>133</v>
      </c>
      <c r="D5" s="209" t="s">
        <v>133</v>
      </c>
      <c r="E5" s="209" t="s">
        <v>133</v>
      </c>
      <c r="F5" s="209" t="s">
        <v>133</v>
      </c>
      <c r="G5" s="209" t="s">
        <v>133</v>
      </c>
      <c r="H5" s="209" t="s">
        <v>133</v>
      </c>
      <c r="I5" s="209" t="s">
        <v>133</v>
      </c>
      <c r="J5" s="209" t="s">
        <v>133</v>
      </c>
      <c r="K5" s="209" t="s">
        <v>133</v>
      </c>
      <c r="L5" s="209" t="s">
        <v>133</v>
      </c>
      <c r="M5" s="209" t="s">
        <v>133</v>
      </c>
      <c r="N5" s="209" t="s">
        <v>133</v>
      </c>
      <c r="O5" s="209" t="s">
        <v>133</v>
      </c>
      <c r="P5" s="209" t="s">
        <v>133</v>
      </c>
      <c r="Q5" s="209" t="s">
        <v>133</v>
      </c>
    </row>
    <row r="6" spans="1:17" x14ac:dyDescent="0.55000000000000004">
      <c r="A6" s="209" t="s">
        <v>5815</v>
      </c>
      <c r="B6" s="209" t="s">
        <v>5901</v>
      </c>
      <c r="C6" s="209" t="s">
        <v>133</v>
      </c>
      <c r="D6" s="209" t="s">
        <v>133</v>
      </c>
      <c r="E6" s="209" t="s">
        <v>133</v>
      </c>
      <c r="F6" s="209" t="s">
        <v>133</v>
      </c>
      <c r="G6" s="209" t="s">
        <v>133</v>
      </c>
      <c r="H6" s="209" t="s">
        <v>133</v>
      </c>
      <c r="I6" s="209" t="s">
        <v>133</v>
      </c>
      <c r="J6" s="209" t="s">
        <v>133</v>
      </c>
      <c r="K6" s="209" t="s">
        <v>133</v>
      </c>
      <c r="L6" s="209" t="s">
        <v>133</v>
      </c>
      <c r="M6" s="209" t="s">
        <v>133</v>
      </c>
      <c r="N6" s="209" t="s">
        <v>133</v>
      </c>
      <c r="O6" s="209" t="s">
        <v>133</v>
      </c>
      <c r="P6" s="209" t="s">
        <v>133</v>
      </c>
      <c r="Q6" s="209" t="s">
        <v>133</v>
      </c>
    </row>
    <row r="7" spans="1:17" x14ac:dyDescent="0.55000000000000004">
      <c r="A7" s="209" t="s">
        <v>5816</v>
      </c>
      <c r="B7" s="209" t="s">
        <v>5902</v>
      </c>
      <c r="C7" s="209" t="s">
        <v>133</v>
      </c>
      <c r="D7" s="209" t="s">
        <v>133</v>
      </c>
      <c r="E7" s="209" t="s">
        <v>133</v>
      </c>
      <c r="F7" s="209" t="s">
        <v>133</v>
      </c>
      <c r="G7" s="209" t="s">
        <v>133</v>
      </c>
      <c r="H7" s="209" t="s">
        <v>133</v>
      </c>
      <c r="I7" s="209" t="s">
        <v>133</v>
      </c>
      <c r="J7" s="209" t="s">
        <v>133</v>
      </c>
      <c r="K7" s="209" t="s">
        <v>133</v>
      </c>
      <c r="L7" s="209" t="s">
        <v>133</v>
      </c>
      <c r="M7" s="209" t="s">
        <v>133</v>
      </c>
      <c r="N7" s="209" t="s">
        <v>133</v>
      </c>
      <c r="O7" s="209" t="s">
        <v>133</v>
      </c>
      <c r="P7" s="209" t="s">
        <v>133</v>
      </c>
      <c r="Q7" s="209" t="s">
        <v>133</v>
      </c>
    </row>
    <row r="8" spans="1:17" x14ac:dyDescent="0.55000000000000004">
      <c r="A8" s="209" t="s">
        <v>6023</v>
      </c>
      <c r="B8" s="209" t="s">
        <v>5915</v>
      </c>
      <c r="C8" s="209" t="s">
        <v>6025</v>
      </c>
      <c r="D8" s="209" t="s">
        <v>6026</v>
      </c>
      <c r="E8" s="209" t="s">
        <v>1799</v>
      </c>
      <c r="F8" s="209" t="s">
        <v>5904</v>
      </c>
      <c r="G8" s="209" t="s">
        <v>5904</v>
      </c>
      <c r="H8" s="209" t="s">
        <v>5904</v>
      </c>
      <c r="I8" s="209" t="s">
        <v>5904</v>
      </c>
      <c r="J8" s="209" t="s">
        <v>5904</v>
      </c>
      <c r="K8" s="209" t="s">
        <v>5904</v>
      </c>
      <c r="L8" s="209" t="s">
        <v>2309</v>
      </c>
      <c r="M8" s="209" t="s">
        <v>2309</v>
      </c>
      <c r="N8" s="209" t="s">
        <v>2309</v>
      </c>
      <c r="O8" s="209" t="s">
        <v>2309</v>
      </c>
      <c r="P8" s="209" t="s">
        <v>2309</v>
      </c>
      <c r="Q8" s="209" t="s">
        <v>2309</v>
      </c>
    </row>
    <row r="9" spans="1:17" x14ac:dyDescent="0.55000000000000004">
      <c r="A9" s="209" t="s">
        <v>6024</v>
      </c>
      <c r="B9" s="209" t="s">
        <v>5916</v>
      </c>
      <c r="C9" s="209" t="s">
        <v>6025</v>
      </c>
      <c r="D9" s="209" t="s">
        <v>6026</v>
      </c>
      <c r="E9" s="209" t="s">
        <v>1472</v>
      </c>
      <c r="F9" s="209" t="s">
        <v>5907</v>
      </c>
      <c r="G9" s="209" t="s">
        <v>5907</v>
      </c>
      <c r="H9" s="209" t="s">
        <v>5907</v>
      </c>
      <c r="I9" s="209" t="s">
        <v>5907</v>
      </c>
      <c r="J9" s="209" t="s">
        <v>5907</v>
      </c>
      <c r="K9" s="209" t="s">
        <v>5907</v>
      </c>
      <c r="L9" s="209" t="s">
        <v>2309</v>
      </c>
      <c r="M9" s="209" t="s">
        <v>2309</v>
      </c>
      <c r="N9" s="209" t="s">
        <v>2309</v>
      </c>
      <c r="O9" s="209" t="s">
        <v>2309</v>
      </c>
      <c r="P9" s="209" t="s">
        <v>2309</v>
      </c>
      <c r="Q9" s="209" t="s">
        <v>2309</v>
      </c>
    </row>
    <row r="10" spans="1:17" x14ac:dyDescent="0.55000000000000004">
      <c r="A10" s="209" t="s">
        <v>6031</v>
      </c>
      <c r="B10" s="209" t="s">
        <v>5903</v>
      </c>
      <c r="C10" s="209" t="s">
        <v>5989</v>
      </c>
      <c r="D10" s="209" t="s">
        <v>996</v>
      </c>
      <c r="E10" s="209" t="s">
        <v>1799</v>
      </c>
      <c r="F10" s="209" t="s">
        <v>5904</v>
      </c>
      <c r="G10" s="209" t="s">
        <v>5904</v>
      </c>
      <c r="H10" s="209" t="s">
        <v>5904</v>
      </c>
      <c r="I10" s="209" t="s">
        <v>5904</v>
      </c>
      <c r="J10" s="209" t="s">
        <v>5904</v>
      </c>
      <c r="K10" s="209" t="s">
        <v>5904</v>
      </c>
      <c r="L10" s="209" t="s">
        <v>2309</v>
      </c>
      <c r="M10" s="209" t="s">
        <v>2309</v>
      </c>
      <c r="N10" s="209" t="s">
        <v>2309</v>
      </c>
      <c r="O10" s="209" t="s">
        <v>2309</v>
      </c>
      <c r="P10" s="209" t="s">
        <v>2309</v>
      </c>
      <c r="Q10" s="209" t="s">
        <v>2309</v>
      </c>
    </row>
    <row r="11" spans="1:17" x14ac:dyDescent="0.55000000000000004">
      <c r="A11" s="209" t="s">
        <v>6032</v>
      </c>
      <c r="B11" s="209" t="s">
        <v>5905</v>
      </c>
      <c r="C11" s="209" t="s">
        <v>5989</v>
      </c>
      <c r="D11" s="209" t="s">
        <v>996</v>
      </c>
      <c r="E11" s="209" t="s">
        <v>5906</v>
      </c>
      <c r="F11" s="209" t="s">
        <v>5907</v>
      </c>
      <c r="G11" s="209" t="s">
        <v>5907</v>
      </c>
      <c r="H11" s="209" t="s">
        <v>5907</v>
      </c>
      <c r="I11" s="209" t="s">
        <v>5907</v>
      </c>
      <c r="J11" s="209" t="s">
        <v>5907</v>
      </c>
      <c r="K11" s="209" t="s">
        <v>5907</v>
      </c>
      <c r="L11" s="209" t="s">
        <v>2309</v>
      </c>
      <c r="M11" s="209" t="s">
        <v>2309</v>
      </c>
      <c r="N11" s="209" t="s">
        <v>2309</v>
      </c>
      <c r="O11" s="209" t="s">
        <v>2309</v>
      </c>
      <c r="P11" s="209" t="s">
        <v>2309</v>
      </c>
      <c r="Q11" s="209" t="s">
        <v>2309</v>
      </c>
    </row>
    <row r="12" spans="1:17" x14ac:dyDescent="0.55000000000000004">
      <c r="A12" s="209" t="s">
        <v>5840</v>
      </c>
      <c r="B12" s="209" t="s">
        <v>5908</v>
      </c>
      <c r="C12" s="209" t="s">
        <v>133</v>
      </c>
      <c r="D12" s="209" t="s">
        <v>133</v>
      </c>
      <c r="E12" s="209" t="s">
        <v>133</v>
      </c>
      <c r="F12" s="209" t="s">
        <v>133</v>
      </c>
      <c r="G12" s="209" t="s">
        <v>133</v>
      </c>
      <c r="H12" s="209" t="s">
        <v>133</v>
      </c>
      <c r="I12" s="209" t="s">
        <v>133</v>
      </c>
      <c r="J12" s="209" t="s">
        <v>133</v>
      </c>
      <c r="K12" s="209" t="s">
        <v>133</v>
      </c>
      <c r="L12" s="209" t="s">
        <v>133</v>
      </c>
      <c r="M12" s="209" t="s">
        <v>133</v>
      </c>
      <c r="N12" s="209" t="s">
        <v>133</v>
      </c>
      <c r="O12" s="209" t="s">
        <v>133</v>
      </c>
      <c r="P12" s="209" t="s">
        <v>133</v>
      </c>
      <c r="Q12" s="209" t="s">
        <v>133</v>
      </c>
    </row>
    <row r="13" spans="1:17" x14ac:dyDescent="0.55000000000000004">
      <c r="A13" s="209" t="s">
        <v>5832</v>
      </c>
      <c r="B13" s="209" t="s">
        <v>5909</v>
      </c>
      <c r="C13" s="209" t="s">
        <v>5990</v>
      </c>
      <c r="D13" s="209" t="s">
        <v>1011</v>
      </c>
      <c r="E13" s="209" t="s">
        <v>1799</v>
      </c>
      <c r="F13" s="209" t="s">
        <v>5904</v>
      </c>
      <c r="G13" s="209" t="s">
        <v>5904</v>
      </c>
      <c r="H13" s="209" t="s">
        <v>5904</v>
      </c>
      <c r="I13" s="209" t="s">
        <v>5904</v>
      </c>
      <c r="J13" s="209" t="s">
        <v>5904</v>
      </c>
      <c r="K13" s="209" t="s">
        <v>5904</v>
      </c>
      <c r="L13" s="209" t="s">
        <v>2309</v>
      </c>
      <c r="M13" s="209" t="s">
        <v>2309</v>
      </c>
      <c r="N13" s="209" t="s">
        <v>2309</v>
      </c>
      <c r="O13" s="209" t="s">
        <v>2309</v>
      </c>
      <c r="P13" s="209" t="s">
        <v>2309</v>
      </c>
      <c r="Q13" s="209" t="s">
        <v>2309</v>
      </c>
    </row>
    <row r="14" spans="1:17" x14ac:dyDescent="0.55000000000000004">
      <c r="A14" s="209" t="s">
        <v>5833</v>
      </c>
      <c r="B14" s="209" t="s">
        <v>5910</v>
      </c>
      <c r="C14" s="209" t="s">
        <v>5990</v>
      </c>
      <c r="D14" s="209" t="s">
        <v>1011</v>
      </c>
      <c r="E14" s="209" t="s">
        <v>5906</v>
      </c>
      <c r="F14" s="209" t="s">
        <v>5907</v>
      </c>
      <c r="G14" s="209" t="s">
        <v>5907</v>
      </c>
      <c r="H14" s="209" t="s">
        <v>5907</v>
      </c>
      <c r="I14" s="209" t="s">
        <v>5907</v>
      </c>
      <c r="J14" s="209" t="s">
        <v>5907</v>
      </c>
      <c r="K14" s="209" t="s">
        <v>5907</v>
      </c>
      <c r="L14" s="209" t="s">
        <v>2309</v>
      </c>
      <c r="M14" s="209" t="s">
        <v>2309</v>
      </c>
      <c r="N14" s="209" t="s">
        <v>2309</v>
      </c>
      <c r="O14" s="209" t="s">
        <v>2309</v>
      </c>
      <c r="P14" s="209" t="s">
        <v>2309</v>
      </c>
      <c r="Q14" s="209" t="s">
        <v>2309</v>
      </c>
    </row>
    <row r="15" spans="1:17" x14ac:dyDescent="0.55000000000000004">
      <c r="A15" s="209" t="s">
        <v>5849</v>
      </c>
      <c r="B15" s="209" t="s">
        <v>5911</v>
      </c>
      <c r="C15" s="209" t="s">
        <v>133</v>
      </c>
      <c r="D15" s="209" t="s">
        <v>133</v>
      </c>
      <c r="E15" s="209" t="s">
        <v>133</v>
      </c>
      <c r="F15" s="209" t="s">
        <v>133</v>
      </c>
      <c r="G15" s="209" t="s">
        <v>133</v>
      </c>
      <c r="H15" s="209" t="s">
        <v>133</v>
      </c>
      <c r="I15" s="209" t="s">
        <v>133</v>
      </c>
      <c r="J15" s="209" t="s">
        <v>133</v>
      </c>
      <c r="K15" s="209" t="s">
        <v>133</v>
      </c>
      <c r="L15" s="209" t="s">
        <v>133</v>
      </c>
      <c r="M15" s="209" t="s">
        <v>133</v>
      </c>
      <c r="N15" s="209" t="s">
        <v>133</v>
      </c>
      <c r="O15" s="209" t="s">
        <v>133</v>
      </c>
      <c r="P15" s="209" t="s">
        <v>133</v>
      </c>
      <c r="Q15" s="209" t="s">
        <v>133</v>
      </c>
    </row>
    <row r="16" spans="1:17" x14ac:dyDescent="0.55000000000000004">
      <c r="A16" s="209" t="s">
        <v>5850</v>
      </c>
      <c r="B16" s="209" t="s">
        <v>5912</v>
      </c>
      <c r="C16" s="209" t="s">
        <v>133</v>
      </c>
      <c r="D16" s="209" t="s">
        <v>133</v>
      </c>
      <c r="E16" s="209" t="s">
        <v>133</v>
      </c>
      <c r="F16" s="209" t="s">
        <v>133</v>
      </c>
      <c r="G16" s="209" t="s">
        <v>133</v>
      </c>
      <c r="H16" s="209" t="s">
        <v>133</v>
      </c>
      <c r="I16" s="209" t="s">
        <v>133</v>
      </c>
      <c r="J16" s="209" t="s">
        <v>133</v>
      </c>
      <c r="K16" s="209" t="s">
        <v>133</v>
      </c>
      <c r="L16" s="209" t="s">
        <v>133</v>
      </c>
      <c r="M16" s="209" t="s">
        <v>133</v>
      </c>
      <c r="N16" s="209" t="s">
        <v>133</v>
      </c>
      <c r="O16" s="209" t="s">
        <v>133</v>
      </c>
      <c r="P16" s="209" t="s">
        <v>133</v>
      </c>
      <c r="Q16" s="209" t="s">
        <v>133</v>
      </c>
    </row>
    <row r="17" spans="1:17" x14ac:dyDescent="0.55000000000000004">
      <c r="A17" s="209" t="s">
        <v>5856</v>
      </c>
      <c r="B17" s="209" t="s">
        <v>5913</v>
      </c>
      <c r="C17" s="209" t="s">
        <v>133</v>
      </c>
      <c r="D17" s="209" t="s">
        <v>133</v>
      </c>
      <c r="E17" s="209" t="s">
        <v>133</v>
      </c>
      <c r="F17" s="209" t="s">
        <v>5904</v>
      </c>
      <c r="G17" s="209" t="s">
        <v>5904</v>
      </c>
      <c r="H17" s="209" t="s">
        <v>5904</v>
      </c>
      <c r="I17" s="209" t="s">
        <v>5904</v>
      </c>
      <c r="J17" s="209" t="s">
        <v>5904</v>
      </c>
      <c r="K17" s="209" t="s">
        <v>5904</v>
      </c>
      <c r="L17" s="209" t="s">
        <v>2309</v>
      </c>
      <c r="M17" s="209" t="s">
        <v>2309</v>
      </c>
      <c r="N17" s="209" t="s">
        <v>2309</v>
      </c>
      <c r="O17" s="209" t="s">
        <v>2309</v>
      </c>
      <c r="P17" s="209" t="s">
        <v>2309</v>
      </c>
      <c r="Q17" s="209" t="s">
        <v>2309</v>
      </c>
    </row>
    <row r="18" spans="1:17" x14ac:dyDescent="0.55000000000000004">
      <c r="A18" s="209" t="s">
        <v>5857</v>
      </c>
      <c r="B18" s="209" t="s">
        <v>5914</v>
      </c>
      <c r="C18" s="209" t="s">
        <v>133</v>
      </c>
      <c r="D18" s="209" t="s">
        <v>133</v>
      </c>
      <c r="E18" s="209" t="s">
        <v>133</v>
      </c>
      <c r="F18" s="209" t="s">
        <v>5907</v>
      </c>
      <c r="G18" s="209" t="s">
        <v>5907</v>
      </c>
      <c r="H18" s="209" t="s">
        <v>5907</v>
      </c>
      <c r="I18" s="209" t="s">
        <v>5907</v>
      </c>
      <c r="J18" s="209" t="s">
        <v>5907</v>
      </c>
      <c r="K18" s="209" t="s">
        <v>5907</v>
      </c>
      <c r="L18" s="209" t="s">
        <v>2309</v>
      </c>
      <c r="M18" s="209" t="s">
        <v>2309</v>
      </c>
      <c r="N18" s="209" t="s">
        <v>2309</v>
      </c>
      <c r="O18" s="209" t="s">
        <v>2309</v>
      </c>
      <c r="P18" s="209" t="s">
        <v>2309</v>
      </c>
      <c r="Q18" s="209" t="s">
        <v>2309</v>
      </c>
    </row>
    <row r="19" spans="1:17" x14ac:dyDescent="0.55000000000000004">
      <c r="A19" s="209" t="s">
        <v>6388</v>
      </c>
      <c r="B19" s="209" t="s">
        <v>6389</v>
      </c>
      <c r="C19" s="209" t="s">
        <v>6102</v>
      </c>
      <c r="D19" s="209" t="s">
        <v>6103</v>
      </c>
      <c r="E19" s="209" t="s">
        <v>1217</v>
      </c>
      <c r="F19" s="209" t="s">
        <v>5904</v>
      </c>
      <c r="G19" s="209" t="s">
        <v>5904</v>
      </c>
      <c r="H19" s="209" t="s">
        <v>5904</v>
      </c>
      <c r="I19" s="209" t="s">
        <v>5904</v>
      </c>
      <c r="J19" s="209" t="s">
        <v>5904</v>
      </c>
      <c r="K19" s="209" t="s">
        <v>5904</v>
      </c>
      <c r="L19" s="209" t="s">
        <v>2309</v>
      </c>
      <c r="M19" s="209" t="s">
        <v>2309</v>
      </c>
      <c r="N19" s="209" t="s">
        <v>2309</v>
      </c>
      <c r="O19" s="209" t="s">
        <v>2309</v>
      </c>
      <c r="P19" s="209" t="s">
        <v>2309</v>
      </c>
      <c r="Q19" s="209" t="s">
        <v>2309</v>
      </c>
    </row>
    <row r="20" spans="1:17" x14ac:dyDescent="0.55000000000000004">
      <c r="A20" s="209" t="s">
        <v>6390</v>
      </c>
      <c r="B20" s="209" t="s">
        <v>6391</v>
      </c>
      <c r="C20" s="209" t="s">
        <v>6102</v>
      </c>
      <c r="D20" s="209" t="s">
        <v>6103</v>
      </c>
      <c r="E20" s="209" t="s">
        <v>1147</v>
      </c>
      <c r="F20" s="209" t="s">
        <v>5907</v>
      </c>
      <c r="G20" s="209" t="s">
        <v>5907</v>
      </c>
      <c r="H20" s="209" t="s">
        <v>5907</v>
      </c>
      <c r="I20" s="209" t="s">
        <v>5907</v>
      </c>
      <c r="J20" s="209" t="s">
        <v>5907</v>
      </c>
      <c r="K20" s="209" t="s">
        <v>5907</v>
      </c>
      <c r="L20" s="209" t="s">
        <v>2309</v>
      </c>
      <c r="M20" s="209" t="s">
        <v>2309</v>
      </c>
      <c r="N20" s="209" t="s">
        <v>2309</v>
      </c>
      <c r="O20" s="209" t="s">
        <v>2309</v>
      </c>
      <c r="P20" s="209" t="s">
        <v>2309</v>
      </c>
      <c r="Q20" s="209" t="s">
        <v>2309</v>
      </c>
    </row>
    <row r="21" spans="1:17" x14ac:dyDescent="0.55000000000000004">
      <c r="A21" s="209" t="s">
        <v>6392</v>
      </c>
      <c r="B21" s="209" t="s">
        <v>6393</v>
      </c>
      <c r="C21" s="209" t="s">
        <v>6102</v>
      </c>
      <c r="D21" s="209" t="s">
        <v>6103</v>
      </c>
      <c r="E21" s="209" t="s">
        <v>1269</v>
      </c>
      <c r="F21" s="209" t="s">
        <v>6394</v>
      </c>
      <c r="G21" s="209" t="s">
        <v>6394</v>
      </c>
      <c r="H21" s="209" t="s">
        <v>6394</v>
      </c>
      <c r="I21" s="209" t="s">
        <v>6394</v>
      </c>
      <c r="J21" s="209" t="s">
        <v>6394</v>
      </c>
      <c r="K21" s="209" t="s">
        <v>6394</v>
      </c>
      <c r="L21" s="209" t="s">
        <v>2309</v>
      </c>
      <c r="M21" s="209" t="s">
        <v>2309</v>
      </c>
      <c r="N21" s="209" t="s">
        <v>2309</v>
      </c>
      <c r="O21" s="209" t="s">
        <v>2309</v>
      </c>
      <c r="P21" s="209" t="s">
        <v>2309</v>
      </c>
      <c r="Q21" s="209" t="s">
        <v>2309</v>
      </c>
    </row>
    <row r="22" spans="1:17" x14ac:dyDescent="0.55000000000000004">
      <c r="A22" s="209" t="s">
        <v>5874</v>
      </c>
      <c r="B22" s="209" t="s">
        <v>5917</v>
      </c>
      <c r="C22" s="209" t="s">
        <v>1131</v>
      </c>
      <c r="D22" s="209" t="s">
        <v>1132</v>
      </c>
      <c r="E22" s="209" t="s">
        <v>1269</v>
      </c>
      <c r="F22" s="209" t="s">
        <v>5918</v>
      </c>
      <c r="G22" s="209" t="s">
        <v>5918</v>
      </c>
      <c r="H22" s="209" t="s">
        <v>5918</v>
      </c>
      <c r="I22" s="209" t="s">
        <v>5918</v>
      </c>
      <c r="J22" s="209" t="s">
        <v>5918</v>
      </c>
      <c r="K22" s="209" t="s">
        <v>5918</v>
      </c>
      <c r="L22" s="209" t="s">
        <v>2309</v>
      </c>
      <c r="M22" s="209" t="s">
        <v>2309</v>
      </c>
      <c r="N22" s="209" t="s">
        <v>2309</v>
      </c>
      <c r="O22" s="209"/>
      <c r="P22" s="209" t="s">
        <v>2309</v>
      </c>
      <c r="Q22" s="209" t="s">
        <v>2309</v>
      </c>
    </row>
    <row r="23" spans="1:17" x14ac:dyDescent="0.55000000000000004">
      <c r="A23" s="209" t="s">
        <v>5875</v>
      </c>
      <c r="B23" s="209" t="s">
        <v>5919</v>
      </c>
      <c r="C23" s="209" t="s">
        <v>1733</v>
      </c>
      <c r="D23" s="209" t="s">
        <v>1734</v>
      </c>
      <c r="E23" s="209" t="s">
        <v>997</v>
      </c>
      <c r="F23" s="209" t="s">
        <v>5920</v>
      </c>
      <c r="G23" s="209" t="s">
        <v>5920</v>
      </c>
      <c r="H23" s="209" t="s">
        <v>5920</v>
      </c>
      <c r="I23" s="209" t="s">
        <v>5920</v>
      </c>
      <c r="J23" s="209" t="s">
        <v>5920</v>
      </c>
      <c r="K23" s="209" t="s">
        <v>5920</v>
      </c>
      <c r="L23" s="209" t="s">
        <v>2309</v>
      </c>
      <c r="M23" s="209" t="s">
        <v>2309</v>
      </c>
      <c r="N23" s="209" t="s">
        <v>2309</v>
      </c>
      <c r="O23" s="209" t="s">
        <v>2309</v>
      </c>
      <c r="P23" s="209" t="s">
        <v>2309</v>
      </c>
      <c r="Q23" s="209" t="s">
        <v>2309</v>
      </c>
    </row>
    <row r="24" spans="1:17" x14ac:dyDescent="0.55000000000000004">
      <c r="A24" s="209" t="s">
        <v>5881</v>
      </c>
      <c r="B24" s="209" t="s">
        <v>5921</v>
      </c>
      <c r="C24" s="209" t="s">
        <v>1281</v>
      </c>
      <c r="D24" s="209" t="s">
        <v>1282</v>
      </c>
      <c r="E24" s="209" t="s">
        <v>1435</v>
      </c>
      <c r="F24" s="209" t="s">
        <v>5918</v>
      </c>
      <c r="G24" s="209" t="s">
        <v>5918</v>
      </c>
      <c r="H24" s="209" t="s">
        <v>5918</v>
      </c>
      <c r="I24" s="209" t="s">
        <v>5918</v>
      </c>
      <c r="J24" s="209" t="s">
        <v>5918</v>
      </c>
      <c r="K24" s="209" t="s">
        <v>5918</v>
      </c>
      <c r="L24" s="209" t="s">
        <v>2309</v>
      </c>
      <c r="M24" s="209" t="s">
        <v>2309</v>
      </c>
      <c r="N24" s="209" t="s">
        <v>2309</v>
      </c>
      <c r="O24" s="209" t="s">
        <v>2309</v>
      </c>
      <c r="P24" s="209" t="s">
        <v>2309</v>
      </c>
      <c r="Q24" s="209" t="s">
        <v>2309</v>
      </c>
    </row>
    <row r="25" spans="1:17" x14ac:dyDescent="0.55000000000000004">
      <c r="A25" s="209" t="s">
        <v>5882</v>
      </c>
      <c r="B25" s="209" t="s">
        <v>5922</v>
      </c>
      <c r="C25" s="209" t="s">
        <v>1281</v>
      </c>
      <c r="D25" s="209" t="s">
        <v>1282</v>
      </c>
      <c r="E25" s="209" t="s">
        <v>1460</v>
      </c>
      <c r="F25" s="209" t="s">
        <v>5920</v>
      </c>
      <c r="G25" s="209" t="s">
        <v>5920</v>
      </c>
      <c r="H25" s="209" t="s">
        <v>5920</v>
      </c>
      <c r="I25" s="209" t="s">
        <v>5920</v>
      </c>
      <c r="J25" s="209" t="s">
        <v>5920</v>
      </c>
      <c r="K25" s="209" t="s">
        <v>5920</v>
      </c>
      <c r="L25" s="209" t="s">
        <v>2309</v>
      </c>
      <c r="M25" s="209" t="s">
        <v>2309</v>
      </c>
      <c r="N25" s="209" t="s">
        <v>2309</v>
      </c>
      <c r="O25" s="209" t="s">
        <v>2309</v>
      </c>
      <c r="P25" s="209" t="s">
        <v>2309</v>
      </c>
      <c r="Q25" s="209" t="s">
        <v>2309</v>
      </c>
    </row>
    <row r="26" spans="1:17" x14ac:dyDescent="0.55000000000000004">
      <c r="A26" s="209" t="s">
        <v>5884</v>
      </c>
      <c r="B26" s="209" t="s">
        <v>5923</v>
      </c>
      <c r="C26" s="209" t="s">
        <v>1843</v>
      </c>
      <c r="D26" s="209" t="s">
        <v>1844</v>
      </c>
      <c r="E26" s="209" t="s">
        <v>1799</v>
      </c>
      <c r="F26" s="209" t="s">
        <v>5924</v>
      </c>
      <c r="G26" s="209" t="s">
        <v>5924</v>
      </c>
      <c r="H26" s="209" t="s">
        <v>5924</v>
      </c>
      <c r="I26" s="209" t="s">
        <v>5924</v>
      </c>
      <c r="J26" s="209" t="s">
        <v>5924</v>
      </c>
      <c r="K26" s="209" t="s">
        <v>5924</v>
      </c>
      <c r="L26" s="209" t="s">
        <v>2309</v>
      </c>
      <c r="M26" s="209" t="s">
        <v>2309</v>
      </c>
      <c r="N26" s="209" t="s">
        <v>2309</v>
      </c>
      <c r="O26" s="209" t="s">
        <v>2309</v>
      </c>
      <c r="P26" s="209" t="s">
        <v>2309</v>
      </c>
      <c r="Q26" s="209" t="s">
        <v>2309</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0FE32-A984-4A85-9CA0-530DD5E17ADD}">
  <sheetPr codeName="Sheet3">
    <tabColor theme="0" tint="-0.499984740745262"/>
  </sheetPr>
  <dimension ref="A1:AE362"/>
  <sheetViews>
    <sheetView workbookViewId="0"/>
  </sheetViews>
  <sheetFormatPr defaultRowHeight="18" x14ac:dyDescent="0.55000000000000004"/>
  <cols>
    <col min="1" max="1" width="18.08203125" bestFit="1" customWidth="1"/>
    <col min="2" max="2" width="13.1640625" bestFit="1" customWidth="1"/>
    <col min="3" max="3" width="14.1640625" bestFit="1" customWidth="1"/>
    <col min="4" max="5" width="13.1640625" bestFit="1" customWidth="1"/>
    <col min="6" max="6" width="33.9140625" bestFit="1" customWidth="1"/>
    <col min="7" max="7" width="41.6640625" bestFit="1" customWidth="1"/>
    <col min="8" max="9" width="22.58203125" bestFit="1" customWidth="1"/>
    <col min="10" max="10" width="35.83203125" bestFit="1" customWidth="1"/>
    <col min="11" max="11" width="43.58203125" bestFit="1" customWidth="1"/>
    <col min="12" max="12" width="49.5" bestFit="1" customWidth="1"/>
    <col min="13" max="13" width="34.08203125" bestFit="1" customWidth="1"/>
    <col min="14" max="14" width="41.6640625" bestFit="1" customWidth="1"/>
    <col min="15" max="15" width="41.58203125" bestFit="1" customWidth="1"/>
    <col min="16" max="16" width="8.6640625" bestFit="1" customWidth="1"/>
    <col min="17" max="17" width="8.83203125" bestFit="1" customWidth="1"/>
    <col min="18" max="18" width="12.4140625" bestFit="1" customWidth="1"/>
    <col min="19" max="22" width="38" bestFit="1" customWidth="1"/>
    <col min="23" max="23" width="36.33203125" bestFit="1" customWidth="1"/>
    <col min="24" max="24" width="38" bestFit="1" customWidth="1"/>
    <col min="25" max="25" width="10.83203125" bestFit="1" customWidth="1"/>
    <col min="26" max="26" width="9.1640625" bestFit="1" customWidth="1"/>
    <col min="27" max="27" width="8.6640625" bestFit="1" customWidth="1"/>
    <col min="28" max="28" width="18.5" bestFit="1" customWidth="1"/>
    <col min="29" max="29" width="14.08203125" bestFit="1" customWidth="1"/>
    <col min="30" max="30" width="10.58203125" bestFit="1" customWidth="1"/>
    <col min="31" max="31" width="14.4140625" bestFit="1" customWidth="1"/>
  </cols>
  <sheetData>
    <row r="1" spans="1:31" x14ac:dyDescent="0.55000000000000004">
      <c r="A1" t="s">
        <v>119</v>
      </c>
      <c r="B1" t="s">
        <v>121</v>
      </c>
      <c r="C1" t="s">
        <v>123</v>
      </c>
      <c r="D1" t="s">
        <v>120</v>
      </c>
      <c r="E1" t="s">
        <v>122</v>
      </c>
      <c r="F1" t="s">
        <v>2142</v>
      </c>
      <c r="G1" t="s">
        <v>2143</v>
      </c>
      <c r="H1" t="s">
        <v>2144</v>
      </c>
      <c r="I1" t="s">
        <v>2145</v>
      </c>
      <c r="J1" t="s">
        <v>126</v>
      </c>
      <c r="K1" t="s">
        <v>2146</v>
      </c>
      <c r="L1" t="s">
        <v>125</v>
      </c>
      <c r="M1" t="s">
        <v>2147</v>
      </c>
      <c r="N1" t="s">
        <v>2148</v>
      </c>
      <c r="O1" t="s">
        <v>2149</v>
      </c>
      <c r="P1" t="s">
        <v>2150</v>
      </c>
      <c r="Q1" t="s">
        <v>2151</v>
      </c>
      <c r="R1" t="s">
        <v>2152</v>
      </c>
      <c r="S1" t="s">
        <v>2153</v>
      </c>
      <c r="T1" t="s">
        <v>2154</v>
      </c>
      <c r="U1" t="s">
        <v>2155</v>
      </c>
      <c r="V1" t="s">
        <v>2156</v>
      </c>
      <c r="W1" t="s">
        <v>2157</v>
      </c>
      <c r="X1" t="s">
        <v>2158</v>
      </c>
      <c r="Y1" t="s">
        <v>2159</v>
      </c>
      <c r="Z1" t="s">
        <v>2160</v>
      </c>
      <c r="AA1" t="s">
        <v>2161</v>
      </c>
      <c r="AB1" t="s">
        <v>2162</v>
      </c>
      <c r="AC1" t="s">
        <v>2163</v>
      </c>
      <c r="AD1" t="s">
        <v>2164</v>
      </c>
      <c r="AE1" t="s">
        <v>2165</v>
      </c>
    </row>
    <row r="2" spans="1:31" x14ac:dyDescent="0.55000000000000004">
      <c r="A2" s="209" t="s">
        <v>132</v>
      </c>
      <c r="B2" s="209" t="s">
        <v>133</v>
      </c>
      <c r="C2" s="209" t="s">
        <v>133</v>
      </c>
      <c r="D2" s="209" t="s">
        <v>133</v>
      </c>
      <c r="E2" s="209" t="s">
        <v>133</v>
      </c>
      <c r="F2" s="209" t="s">
        <v>133</v>
      </c>
      <c r="G2" s="209" t="s">
        <v>133</v>
      </c>
      <c r="H2" s="209" t="s">
        <v>133</v>
      </c>
      <c r="I2" s="209" t="s">
        <v>133</v>
      </c>
      <c r="J2" s="209" t="s">
        <v>133</v>
      </c>
      <c r="K2" s="209" t="s">
        <v>133</v>
      </c>
      <c r="L2" s="209" t="s">
        <v>133</v>
      </c>
      <c r="M2" s="209" t="s">
        <v>133</v>
      </c>
      <c r="N2" s="209" t="s">
        <v>133</v>
      </c>
      <c r="O2" s="209" t="s">
        <v>133</v>
      </c>
      <c r="P2" s="209" t="s">
        <v>133</v>
      </c>
      <c r="Q2" s="209" t="s">
        <v>133</v>
      </c>
      <c r="R2" s="209" t="s">
        <v>133</v>
      </c>
      <c r="S2" s="209" t="s">
        <v>133</v>
      </c>
      <c r="T2" s="209" t="s">
        <v>133</v>
      </c>
      <c r="U2" s="209" t="s">
        <v>133</v>
      </c>
      <c r="V2" s="209" t="s">
        <v>133</v>
      </c>
      <c r="W2" s="209" t="s">
        <v>133</v>
      </c>
      <c r="X2" s="209" t="s">
        <v>133</v>
      </c>
      <c r="Y2" s="209" t="s">
        <v>133</v>
      </c>
      <c r="Z2" s="209" t="s">
        <v>133</v>
      </c>
      <c r="AA2" s="209" t="s">
        <v>133</v>
      </c>
      <c r="AB2" s="209" t="s">
        <v>133</v>
      </c>
      <c r="AC2" s="209" t="s">
        <v>133</v>
      </c>
      <c r="AD2" s="209" t="s">
        <v>133</v>
      </c>
      <c r="AE2" s="209" t="s">
        <v>133</v>
      </c>
    </row>
    <row r="3" spans="1:31" x14ac:dyDescent="0.55000000000000004">
      <c r="A3" s="209" t="s">
        <v>2166</v>
      </c>
      <c r="B3" s="209" t="s">
        <v>2167</v>
      </c>
      <c r="C3" s="209" t="s">
        <v>2168</v>
      </c>
      <c r="D3" s="209" t="s">
        <v>2169</v>
      </c>
      <c r="E3" s="209" t="s">
        <v>2170</v>
      </c>
      <c r="F3" s="209" t="s">
        <v>2171</v>
      </c>
      <c r="G3" s="209" t="s">
        <v>2172</v>
      </c>
      <c r="H3" s="209" t="s">
        <v>133</v>
      </c>
      <c r="I3" s="209" t="s">
        <v>133</v>
      </c>
      <c r="J3" s="209" t="s">
        <v>2173</v>
      </c>
      <c r="K3" s="209" t="s">
        <v>2174</v>
      </c>
      <c r="L3" s="209" t="s">
        <v>2175</v>
      </c>
      <c r="M3" s="209" t="s">
        <v>2176</v>
      </c>
      <c r="N3" s="209" t="s">
        <v>2177</v>
      </c>
      <c r="O3" s="209" t="s">
        <v>2178</v>
      </c>
      <c r="P3" s="209" t="s">
        <v>2179</v>
      </c>
      <c r="Q3" s="209" t="s">
        <v>2180</v>
      </c>
      <c r="R3" s="209" t="s">
        <v>2181</v>
      </c>
      <c r="S3" s="209" t="s">
        <v>133</v>
      </c>
      <c r="T3" s="209" t="s">
        <v>133</v>
      </c>
      <c r="U3" s="209" t="s">
        <v>133</v>
      </c>
      <c r="V3" s="209" t="s">
        <v>133</v>
      </c>
      <c r="W3" s="209" t="s">
        <v>133</v>
      </c>
      <c r="X3" s="209" t="s">
        <v>133</v>
      </c>
      <c r="Y3" s="209" t="s">
        <v>133</v>
      </c>
      <c r="Z3" s="209" t="s">
        <v>133</v>
      </c>
      <c r="AA3" s="209" t="s">
        <v>133</v>
      </c>
      <c r="AB3" s="209" t="s">
        <v>133</v>
      </c>
      <c r="AC3" s="209" t="s">
        <v>133</v>
      </c>
      <c r="AD3" s="209" t="s">
        <v>133</v>
      </c>
      <c r="AE3" s="209" t="s">
        <v>133</v>
      </c>
    </row>
    <row r="4" spans="1:31" x14ac:dyDescent="0.55000000000000004">
      <c r="A4" s="209" t="s">
        <v>2182</v>
      </c>
      <c r="B4" s="209" t="s">
        <v>2183</v>
      </c>
      <c r="C4" s="209" t="s">
        <v>2184</v>
      </c>
      <c r="D4" s="209" t="s">
        <v>2185</v>
      </c>
      <c r="E4" s="209" t="s">
        <v>2186</v>
      </c>
      <c r="F4" s="209" t="s">
        <v>2171</v>
      </c>
      <c r="G4" s="209" t="s">
        <v>2172</v>
      </c>
      <c r="H4" s="209" t="s">
        <v>133</v>
      </c>
      <c r="I4" s="209" t="s">
        <v>133</v>
      </c>
      <c r="J4" s="209" t="s">
        <v>2173</v>
      </c>
      <c r="K4" s="209" t="s">
        <v>2187</v>
      </c>
      <c r="L4" s="209" t="s">
        <v>2188</v>
      </c>
      <c r="M4" s="209" t="s">
        <v>2189</v>
      </c>
      <c r="N4" s="209" t="s">
        <v>2177</v>
      </c>
      <c r="O4" s="209" t="s">
        <v>2190</v>
      </c>
      <c r="P4" s="209" t="s">
        <v>2179</v>
      </c>
      <c r="Q4" s="209" t="s">
        <v>2179</v>
      </c>
      <c r="R4" s="209" t="s">
        <v>2181</v>
      </c>
      <c r="S4" s="209" t="s">
        <v>133</v>
      </c>
      <c r="T4" s="209" t="s">
        <v>133</v>
      </c>
      <c r="U4" s="209" t="s">
        <v>133</v>
      </c>
      <c r="V4" s="209" t="s">
        <v>133</v>
      </c>
      <c r="W4" s="209" t="s">
        <v>133</v>
      </c>
      <c r="X4" s="209" t="s">
        <v>133</v>
      </c>
      <c r="Y4" s="209" t="s">
        <v>133</v>
      </c>
      <c r="Z4" s="209" t="s">
        <v>133</v>
      </c>
      <c r="AA4" s="209" t="s">
        <v>133</v>
      </c>
      <c r="AB4" s="209" t="s">
        <v>133</v>
      </c>
      <c r="AC4" s="209" t="s">
        <v>133</v>
      </c>
      <c r="AD4" s="209" t="s">
        <v>133</v>
      </c>
      <c r="AE4" s="209" t="s">
        <v>133</v>
      </c>
    </row>
    <row r="5" spans="1:31" x14ac:dyDescent="0.55000000000000004">
      <c r="A5" s="209" t="s">
        <v>2191</v>
      </c>
      <c r="B5" s="209" t="s">
        <v>2192</v>
      </c>
      <c r="C5" s="209" t="s">
        <v>2193</v>
      </c>
      <c r="D5" s="209" t="s">
        <v>2194</v>
      </c>
      <c r="E5" s="209" t="s">
        <v>2195</v>
      </c>
      <c r="F5" s="209" t="s">
        <v>2196</v>
      </c>
      <c r="G5" s="209" t="s">
        <v>2197</v>
      </c>
      <c r="H5" s="209" t="s">
        <v>133</v>
      </c>
      <c r="I5" s="209" t="s">
        <v>133</v>
      </c>
      <c r="J5" s="209" t="s">
        <v>2198</v>
      </c>
      <c r="K5" s="209" t="s">
        <v>2199</v>
      </c>
      <c r="L5" s="209" t="s">
        <v>2200</v>
      </c>
      <c r="M5" s="209" t="s">
        <v>2201</v>
      </c>
      <c r="N5" s="209" t="s">
        <v>2202</v>
      </c>
      <c r="O5" s="209" t="s">
        <v>2203</v>
      </c>
      <c r="P5" s="209" t="s">
        <v>2179</v>
      </c>
      <c r="Q5" s="209" t="s">
        <v>2180</v>
      </c>
      <c r="R5" s="209" t="s">
        <v>2181</v>
      </c>
      <c r="S5" s="209" t="s">
        <v>133</v>
      </c>
      <c r="T5" s="209" t="s">
        <v>133</v>
      </c>
      <c r="U5" s="209" t="s">
        <v>133</v>
      </c>
      <c r="V5" s="209" t="s">
        <v>133</v>
      </c>
      <c r="W5" s="209" t="s">
        <v>133</v>
      </c>
      <c r="X5" s="209" t="s">
        <v>133</v>
      </c>
      <c r="Y5" s="209" t="s">
        <v>133</v>
      </c>
      <c r="Z5" s="209" t="s">
        <v>133</v>
      </c>
      <c r="AA5" s="209" t="s">
        <v>133</v>
      </c>
      <c r="AB5" s="209" t="s">
        <v>133</v>
      </c>
      <c r="AC5" s="209" t="s">
        <v>133</v>
      </c>
      <c r="AD5" s="209" t="s">
        <v>133</v>
      </c>
      <c r="AE5" s="209" t="s">
        <v>133</v>
      </c>
    </row>
    <row r="6" spans="1:31" x14ac:dyDescent="0.55000000000000004">
      <c r="A6" s="209" t="s">
        <v>2204</v>
      </c>
      <c r="B6" s="209" t="s">
        <v>2205</v>
      </c>
      <c r="C6" s="209" t="s">
        <v>2206</v>
      </c>
      <c r="D6" s="209" t="s">
        <v>2207</v>
      </c>
      <c r="E6" s="209" t="s">
        <v>2208</v>
      </c>
      <c r="F6" s="209" t="s">
        <v>2196</v>
      </c>
      <c r="G6" s="209" t="s">
        <v>2197</v>
      </c>
      <c r="H6" s="209" t="s">
        <v>133</v>
      </c>
      <c r="I6" s="209" t="s">
        <v>133</v>
      </c>
      <c r="J6" s="209" t="s">
        <v>2198</v>
      </c>
      <c r="K6" s="209" t="s">
        <v>2209</v>
      </c>
      <c r="L6" s="209" t="s">
        <v>2210</v>
      </c>
      <c r="M6" s="209" t="s">
        <v>2211</v>
      </c>
      <c r="N6" s="209" t="s">
        <v>2202</v>
      </c>
      <c r="O6" s="209" t="s">
        <v>2212</v>
      </c>
      <c r="P6" s="209" t="s">
        <v>2179</v>
      </c>
      <c r="Q6" s="209" t="s">
        <v>2179</v>
      </c>
      <c r="R6" s="209" t="s">
        <v>2181</v>
      </c>
      <c r="S6" s="209" t="s">
        <v>133</v>
      </c>
      <c r="T6" s="209" t="s">
        <v>133</v>
      </c>
      <c r="U6" s="209" t="s">
        <v>133</v>
      </c>
      <c r="V6" s="209" t="s">
        <v>133</v>
      </c>
      <c r="W6" s="209" t="s">
        <v>133</v>
      </c>
      <c r="X6" s="209" t="s">
        <v>133</v>
      </c>
      <c r="Y6" s="209" t="s">
        <v>133</v>
      </c>
      <c r="Z6" s="209" t="s">
        <v>133</v>
      </c>
      <c r="AA6" s="209" t="s">
        <v>133</v>
      </c>
      <c r="AB6" s="209" t="s">
        <v>133</v>
      </c>
      <c r="AC6" s="209" t="s">
        <v>133</v>
      </c>
      <c r="AD6" s="209" t="s">
        <v>133</v>
      </c>
      <c r="AE6" s="209" t="s">
        <v>133</v>
      </c>
    </row>
    <row r="7" spans="1:31" x14ac:dyDescent="0.55000000000000004">
      <c r="A7" s="209" t="s">
        <v>2213</v>
      </c>
      <c r="B7" s="209" t="s">
        <v>2214</v>
      </c>
      <c r="C7" s="209" t="s">
        <v>2215</v>
      </c>
      <c r="D7" s="209" t="s">
        <v>2216</v>
      </c>
      <c r="E7" s="209" t="s">
        <v>2217</v>
      </c>
      <c r="F7" s="209" t="s">
        <v>2218</v>
      </c>
      <c r="G7" s="209" t="s">
        <v>2219</v>
      </c>
      <c r="H7" s="209" t="s">
        <v>133</v>
      </c>
      <c r="I7" s="209" t="s">
        <v>133</v>
      </c>
      <c r="J7" s="209" t="s">
        <v>2220</v>
      </c>
      <c r="K7" s="209" t="s">
        <v>2221</v>
      </c>
      <c r="L7" s="209" t="s">
        <v>2222</v>
      </c>
      <c r="M7" s="209" t="s">
        <v>2223</v>
      </c>
      <c r="N7" s="209" t="s">
        <v>2224</v>
      </c>
      <c r="O7" s="209" t="s">
        <v>2225</v>
      </c>
      <c r="P7" s="209" t="s">
        <v>2226</v>
      </c>
      <c r="Q7" s="209" t="s">
        <v>2226</v>
      </c>
      <c r="R7" s="209" t="s">
        <v>2181</v>
      </c>
      <c r="S7" s="209" t="s">
        <v>133</v>
      </c>
      <c r="T7" s="209" t="s">
        <v>133</v>
      </c>
      <c r="U7" s="209" t="s">
        <v>133</v>
      </c>
      <c r="V7" s="209" t="s">
        <v>133</v>
      </c>
      <c r="W7" s="209" t="s">
        <v>133</v>
      </c>
      <c r="X7" s="209" t="s">
        <v>133</v>
      </c>
      <c r="Y7" s="209" t="s">
        <v>133</v>
      </c>
      <c r="Z7" s="209" t="s">
        <v>133</v>
      </c>
      <c r="AA7" s="209" t="s">
        <v>133</v>
      </c>
      <c r="AB7" s="209" t="s">
        <v>133</v>
      </c>
      <c r="AC7" s="209" t="s">
        <v>133</v>
      </c>
      <c r="AD7" s="209" t="s">
        <v>133</v>
      </c>
      <c r="AE7" s="209" t="s">
        <v>133</v>
      </c>
    </row>
    <row r="8" spans="1:31" x14ac:dyDescent="0.55000000000000004">
      <c r="A8" s="209" t="s">
        <v>2227</v>
      </c>
      <c r="B8" s="209" t="s">
        <v>2228</v>
      </c>
      <c r="C8" s="209" t="s">
        <v>2229</v>
      </c>
      <c r="D8" s="209" t="s">
        <v>2230</v>
      </c>
      <c r="E8" s="209" t="s">
        <v>2231</v>
      </c>
      <c r="F8" s="209" t="s">
        <v>2218</v>
      </c>
      <c r="G8" s="209" t="s">
        <v>2219</v>
      </c>
      <c r="H8" s="209" t="s">
        <v>133</v>
      </c>
      <c r="I8" s="209" t="s">
        <v>133</v>
      </c>
      <c r="J8" s="209" t="s">
        <v>2220</v>
      </c>
      <c r="K8" s="209" t="s">
        <v>2232</v>
      </c>
      <c r="L8" s="209" t="s">
        <v>2233</v>
      </c>
      <c r="M8" s="209" t="s">
        <v>2234</v>
      </c>
      <c r="N8" s="209" t="s">
        <v>2224</v>
      </c>
      <c r="O8" s="209" t="s">
        <v>2235</v>
      </c>
      <c r="P8" s="209" t="s">
        <v>2226</v>
      </c>
      <c r="Q8" s="209" t="s">
        <v>2236</v>
      </c>
      <c r="R8" s="209" t="s">
        <v>2181</v>
      </c>
      <c r="S8" s="209" t="s">
        <v>133</v>
      </c>
      <c r="T8" s="209" t="s">
        <v>133</v>
      </c>
      <c r="U8" s="209" t="s">
        <v>133</v>
      </c>
      <c r="V8" s="209" t="s">
        <v>133</v>
      </c>
      <c r="W8" s="209" t="s">
        <v>133</v>
      </c>
      <c r="X8" s="209" t="s">
        <v>133</v>
      </c>
      <c r="Y8" s="209" t="s">
        <v>133</v>
      </c>
      <c r="Z8" s="209" t="s">
        <v>133</v>
      </c>
      <c r="AA8" s="209" t="s">
        <v>133</v>
      </c>
      <c r="AB8" s="209" t="s">
        <v>133</v>
      </c>
      <c r="AC8" s="209" t="s">
        <v>133</v>
      </c>
      <c r="AD8" s="209" t="s">
        <v>133</v>
      </c>
      <c r="AE8" s="209" t="s">
        <v>133</v>
      </c>
    </row>
    <row r="9" spans="1:31" x14ac:dyDescent="0.55000000000000004">
      <c r="A9" s="209" t="s">
        <v>2237</v>
      </c>
      <c r="B9" s="209" t="s">
        <v>2238</v>
      </c>
      <c r="C9" s="209" t="s">
        <v>2239</v>
      </c>
      <c r="D9" s="209" t="s">
        <v>2240</v>
      </c>
      <c r="E9" s="209" t="s">
        <v>2241</v>
      </c>
      <c r="F9" s="209" t="s">
        <v>2242</v>
      </c>
      <c r="G9" s="209" t="s">
        <v>2243</v>
      </c>
      <c r="H9" s="209" t="s">
        <v>133</v>
      </c>
      <c r="I9" s="209" t="s">
        <v>133</v>
      </c>
      <c r="J9" s="209" t="s">
        <v>2244</v>
      </c>
      <c r="K9" s="209" t="s">
        <v>2245</v>
      </c>
      <c r="L9" s="209" t="s">
        <v>2246</v>
      </c>
      <c r="M9" s="209" t="s">
        <v>2247</v>
      </c>
      <c r="N9" s="209" t="s">
        <v>2248</v>
      </c>
      <c r="O9" s="209" t="s">
        <v>2249</v>
      </c>
      <c r="P9" s="209" t="s">
        <v>2236</v>
      </c>
      <c r="Q9" s="209" t="s">
        <v>2250</v>
      </c>
      <c r="R9" s="209" t="s">
        <v>2181</v>
      </c>
      <c r="S9" s="209" t="s">
        <v>133</v>
      </c>
      <c r="T9" s="209" t="s">
        <v>133</v>
      </c>
      <c r="U9" s="209" t="s">
        <v>133</v>
      </c>
      <c r="V9" s="209" t="s">
        <v>133</v>
      </c>
      <c r="W9" s="209" t="s">
        <v>133</v>
      </c>
      <c r="X9" s="209" t="s">
        <v>133</v>
      </c>
      <c r="Y9" s="209" t="s">
        <v>133</v>
      </c>
      <c r="Z9" s="209" t="s">
        <v>133</v>
      </c>
      <c r="AA9" s="209" t="s">
        <v>133</v>
      </c>
      <c r="AB9" s="209" t="s">
        <v>133</v>
      </c>
      <c r="AC9" s="209" t="s">
        <v>133</v>
      </c>
      <c r="AD9" s="209" t="s">
        <v>133</v>
      </c>
      <c r="AE9" s="209" t="s">
        <v>133</v>
      </c>
    </row>
    <row r="10" spans="1:31" x14ac:dyDescent="0.55000000000000004">
      <c r="A10" s="209" t="s">
        <v>2251</v>
      </c>
      <c r="B10" s="209" t="s">
        <v>2252</v>
      </c>
      <c r="C10" s="209" t="s">
        <v>2253</v>
      </c>
      <c r="D10" s="209" t="s">
        <v>2254</v>
      </c>
      <c r="E10" s="209" t="s">
        <v>2255</v>
      </c>
      <c r="F10" s="209" t="s">
        <v>2242</v>
      </c>
      <c r="G10" s="209" t="s">
        <v>2243</v>
      </c>
      <c r="H10" s="209" t="s">
        <v>133</v>
      </c>
      <c r="I10" s="209" t="s">
        <v>133</v>
      </c>
      <c r="J10" s="209" t="s">
        <v>2244</v>
      </c>
      <c r="K10" s="209" t="s">
        <v>2256</v>
      </c>
      <c r="L10" s="209" t="s">
        <v>2257</v>
      </c>
      <c r="M10" s="209" t="s">
        <v>2258</v>
      </c>
      <c r="N10" s="209" t="s">
        <v>2248</v>
      </c>
      <c r="O10" s="209" t="s">
        <v>2259</v>
      </c>
      <c r="P10" s="209" t="s">
        <v>2236</v>
      </c>
      <c r="Q10" s="209" t="s">
        <v>2260</v>
      </c>
      <c r="R10" s="209" t="s">
        <v>2181</v>
      </c>
      <c r="S10" s="209" t="s">
        <v>133</v>
      </c>
      <c r="T10" s="209" t="s">
        <v>133</v>
      </c>
      <c r="U10" s="209" t="s">
        <v>133</v>
      </c>
      <c r="V10" s="209" t="s">
        <v>133</v>
      </c>
      <c r="W10" s="209" t="s">
        <v>133</v>
      </c>
      <c r="X10" s="209" t="s">
        <v>133</v>
      </c>
      <c r="Y10" s="209" t="s">
        <v>133</v>
      </c>
      <c r="Z10" s="209" t="s">
        <v>133</v>
      </c>
      <c r="AA10" s="209" t="s">
        <v>133</v>
      </c>
      <c r="AB10" s="209" t="s">
        <v>133</v>
      </c>
      <c r="AC10" s="209" t="s">
        <v>133</v>
      </c>
      <c r="AD10" s="209" t="s">
        <v>133</v>
      </c>
      <c r="AE10" s="209" t="s">
        <v>133</v>
      </c>
    </row>
    <row r="11" spans="1:31" x14ac:dyDescent="0.55000000000000004">
      <c r="A11" s="209" t="s">
        <v>2261</v>
      </c>
      <c r="B11" s="209" t="s">
        <v>2262</v>
      </c>
      <c r="C11" s="209" t="s">
        <v>2263</v>
      </c>
      <c r="D11" s="209" t="s">
        <v>2264</v>
      </c>
      <c r="E11" s="209" t="s">
        <v>2265</v>
      </c>
      <c r="F11" s="209" t="s">
        <v>2266</v>
      </c>
      <c r="G11" s="209" t="s">
        <v>2267</v>
      </c>
      <c r="H11" s="209" t="s">
        <v>133</v>
      </c>
      <c r="I11" s="209" t="s">
        <v>133</v>
      </c>
      <c r="J11" s="209" t="s">
        <v>2268</v>
      </c>
      <c r="K11" s="209" t="s">
        <v>2269</v>
      </c>
      <c r="L11" s="209" t="s">
        <v>2270</v>
      </c>
      <c r="M11" s="209" t="s">
        <v>2271</v>
      </c>
      <c r="N11" s="209" t="s">
        <v>2272</v>
      </c>
      <c r="O11" s="209" t="s">
        <v>2273</v>
      </c>
      <c r="P11" s="209" t="s">
        <v>2250</v>
      </c>
      <c r="Q11" s="209" t="s">
        <v>2274</v>
      </c>
      <c r="R11" s="209" t="s">
        <v>2181</v>
      </c>
      <c r="S11" s="209" t="s">
        <v>133</v>
      </c>
      <c r="T11" s="209" t="s">
        <v>133</v>
      </c>
      <c r="U11" s="209" t="s">
        <v>133</v>
      </c>
      <c r="V11" s="209" t="s">
        <v>133</v>
      </c>
      <c r="W11" s="209" t="s">
        <v>133</v>
      </c>
      <c r="X11" s="209" t="s">
        <v>133</v>
      </c>
      <c r="Y11" s="209" t="s">
        <v>133</v>
      </c>
      <c r="Z11" s="209" t="s">
        <v>133</v>
      </c>
      <c r="AA11" s="209" t="s">
        <v>133</v>
      </c>
      <c r="AB11" s="209" t="s">
        <v>133</v>
      </c>
      <c r="AC11" s="209" t="s">
        <v>133</v>
      </c>
      <c r="AD11" s="209" t="s">
        <v>133</v>
      </c>
      <c r="AE11" s="209" t="s">
        <v>133</v>
      </c>
    </row>
    <row r="12" spans="1:31" x14ac:dyDescent="0.55000000000000004">
      <c r="A12" s="209" t="s">
        <v>2275</v>
      </c>
      <c r="B12" s="209" t="s">
        <v>2276</v>
      </c>
      <c r="C12" s="209" t="s">
        <v>2277</v>
      </c>
      <c r="D12" s="209" t="s">
        <v>2278</v>
      </c>
      <c r="E12" s="209" t="s">
        <v>2279</v>
      </c>
      <c r="F12" s="209" t="s">
        <v>2266</v>
      </c>
      <c r="G12" s="209" t="s">
        <v>2267</v>
      </c>
      <c r="H12" s="209" t="s">
        <v>133</v>
      </c>
      <c r="I12" s="209" t="s">
        <v>133</v>
      </c>
      <c r="J12" s="209" t="s">
        <v>2268</v>
      </c>
      <c r="K12" s="209" t="s">
        <v>2280</v>
      </c>
      <c r="L12" s="209" t="s">
        <v>2281</v>
      </c>
      <c r="M12" s="209" t="s">
        <v>2282</v>
      </c>
      <c r="N12" s="209" t="s">
        <v>2272</v>
      </c>
      <c r="O12" s="209" t="s">
        <v>2283</v>
      </c>
      <c r="P12" s="209" t="s">
        <v>2250</v>
      </c>
      <c r="Q12" s="209" t="s">
        <v>2284</v>
      </c>
      <c r="R12" s="209" t="s">
        <v>2181</v>
      </c>
      <c r="S12" s="209" t="s">
        <v>133</v>
      </c>
      <c r="T12" s="209" t="s">
        <v>133</v>
      </c>
      <c r="U12" s="209" t="s">
        <v>133</v>
      </c>
      <c r="V12" s="209" t="s">
        <v>133</v>
      </c>
      <c r="W12" s="209" t="s">
        <v>133</v>
      </c>
      <c r="X12" s="209" t="s">
        <v>133</v>
      </c>
      <c r="Y12" s="209" t="s">
        <v>133</v>
      </c>
      <c r="Z12" s="209" t="s">
        <v>133</v>
      </c>
      <c r="AA12" s="209" t="s">
        <v>133</v>
      </c>
      <c r="AB12" s="209" t="s">
        <v>133</v>
      </c>
      <c r="AC12" s="209" t="s">
        <v>133</v>
      </c>
      <c r="AD12" s="209" t="s">
        <v>133</v>
      </c>
      <c r="AE12" s="209" t="s">
        <v>133</v>
      </c>
    </row>
    <row r="13" spans="1:31" x14ac:dyDescent="0.55000000000000004">
      <c r="A13" s="209" t="s">
        <v>2285</v>
      </c>
      <c r="B13" s="209" t="s">
        <v>2286</v>
      </c>
      <c r="C13" s="209" t="s">
        <v>2287</v>
      </c>
      <c r="D13" s="209" t="s">
        <v>2288</v>
      </c>
      <c r="E13" s="209" t="s">
        <v>2289</v>
      </c>
      <c r="F13" s="209" t="s">
        <v>2290</v>
      </c>
      <c r="G13" s="209" t="s">
        <v>2291</v>
      </c>
      <c r="H13" s="209" t="s">
        <v>133</v>
      </c>
      <c r="I13" s="209" t="s">
        <v>133</v>
      </c>
      <c r="J13" s="209" t="s">
        <v>2292</v>
      </c>
      <c r="K13" s="209" t="s">
        <v>2293</v>
      </c>
      <c r="L13" s="209" t="s">
        <v>2294</v>
      </c>
      <c r="M13" s="209" t="s">
        <v>2295</v>
      </c>
      <c r="N13" s="209" t="s">
        <v>2296</v>
      </c>
      <c r="O13" s="209" t="s">
        <v>2297</v>
      </c>
      <c r="P13" s="209" t="s">
        <v>2260</v>
      </c>
      <c r="Q13" s="209" t="s">
        <v>2298</v>
      </c>
      <c r="R13" s="209" t="s">
        <v>2299</v>
      </c>
      <c r="S13" s="209" t="s">
        <v>133</v>
      </c>
      <c r="T13" s="209" t="s">
        <v>133</v>
      </c>
      <c r="U13" s="209" t="s">
        <v>133</v>
      </c>
      <c r="V13" s="209" t="s">
        <v>133</v>
      </c>
      <c r="W13" s="209" t="s">
        <v>133</v>
      </c>
      <c r="X13" s="209" t="s">
        <v>133</v>
      </c>
      <c r="Y13" s="209" t="s">
        <v>133</v>
      </c>
      <c r="Z13" s="209" t="s">
        <v>133</v>
      </c>
      <c r="AA13" s="209" t="s">
        <v>133</v>
      </c>
      <c r="AB13" s="209" t="s">
        <v>133</v>
      </c>
      <c r="AC13" s="209" t="s">
        <v>133</v>
      </c>
      <c r="AD13" s="209" t="s">
        <v>133</v>
      </c>
      <c r="AE13" s="209" t="s">
        <v>133</v>
      </c>
    </row>
    <row r="14" spans="1:31" x14ac:dyDescent="0.55000000000000004">
      <c r="A14" s="209" t="s">
        <v>2300</v>
      </c>
      <c r="B14" s="209" t="s">
        <v>2301</v>
      </c>
      <c r="C14" s="209" t="s">
        <v>2302</v>
      </c>
      <c r="D14" s="209" t="s">
        <v>2303</v>
      </c>
      <c r="E14" s="209" t="s">
        <v>2304</v>
      </c>
      <c r="F14" s="209" t="s">
        <v>2290</v>
      </c>
      <c r="G14" s="209" t="s">
        <v>2291</v>
      </c>
      <c r="H14" s="209" t="s">
        <v>133</v>
      </c>
      <c r="I14" s="209" t="s">
        <v>133</v>
      </c>
      <c r="J14" s="209" t="s">
        <v>2292</v>
      </c>
      <c r="K14" s="209" t="s">
        <v>2305</v>
      </c>
      <c r="L14" s="209" t="s">
        <v>2306</v>
      </c>
      <c r="M14" s="209" t="s">
        <v>2307</v>
      </c>
      <c r="N14" s="209" t="s">
        <v>2296</v>
      </c>
      <c r="O14" s="209" t="s">
        <v>2308</v>
      </c>
      <c r="P14" s="209" t="s">
        <v>2260</v>
      </c>
      <c r="Q14" s="209" t="s">
        <v>2309</v>
      </c>
      <c r="R14" s="209" t="s">
        <v>2299</v>
      </c>
      <c r="S14" s="209" t="s">
        <v>133</v>
      </c>
      <c r="T14" s="209" t="s">
        <v>133</v>
      </c>
      <c r="U14" s="209" t="s">
        <v>133</v>
      </c>
      <c r="V14" s="209" t="s">
        <v>133</v>
      </c>
      <c r="W14" s="209" t="s">
        <v>133</v>
      </c>
      <c r="X14" s="209" t="s">
        <v>133</v>
      </c>
      <c r="Y14" s="209" t="s">
        <v>133</v>
      </c>
      <c r="Z14" s="209" t="s">
        <v>133</v>
      </c>
      <c r="AA14" s="209" t="s">
        <v>133</v>
      </c>
      <c r="AB14" s="209" t="s">
        <v>133</v>
      </c>
      <c r="AC14" s="209" t="s">
        <v>133</v>
      </c>
      <c r="AD14" s="209" t="s">
        <v>133</v>
      </c>
      <c r="AE14" s="209" t="s">
        <v>133</v>
      </c>
    </row>
    <row r="15" spans="1:31" x14ac:dyDescent="0.55000000000000004">
      <c r="A15" s="209" t="s">
        <v>2310</v>
      </c>
      <c r="B15" s="209" t="s">
        <v>2311</v>
      </c>
      <c r="C15" s="209" t="s">
        <v>2312</v>
      </c>
      <c r="D15" s="209" t="s">
        <v>2313</v>
      </c>
      <c r="E15" s="209" t="s">
        <v>2314</v>
      </c>
      <c r="F15" s="209" t="s">
        <v>2315</v>
      </c>
      <c r="G15" s="209" t="s">
        <v>2316</v>
      </c>
      <c r="H15" s="209" t="s">
        <v>133</v>
      </c>
      <c r="I15" s="209" t="s">
        <v>133</v>
      </c>
      <c r="J15" s="209" t="s">
        <v>2317</v>
      </c>
      <c r="K15" s="209" t="s">
        <v>2318</v>
      </c>
      <c r="L15" s="209" t="s">
        <v>2319</v>
      </c>
      <c r="M15" s="209" t="s">
        <v>2320</v>
      </c>
      <c r="N15" s="209" t="s">
        <v>2321</v>
      </c>
      <c r="O15" s="209" t="s">
        <v>2322</v>
      </c>
      <c r="P15" s="209" t="s">
        <v>2274</v>
      </c>
      <c r="Q15" s="209" t="s">
        <v>2323</v>
      </c>
      <c r="R15" s="209" t="s">
        <v>2299</v>
      </c>
      <c r="S15" s="209" t="s">
        <v>133</v>
      </c>
      <c r="T15" s="209" t="s">
        <v>133</v>
      </c>
      <c r="U15" s="209" t="s">
        <v>133</v>
      </c>
      <c r="V15" s="209" t="s">
        <v>133</v>
      </c>
      <c r="W15" s="209" t="s">
        <v>133</v>
      </c>
      <c r="X15" s="209" t="s">
        <v>133</v>
      </c>
      <c r="Y15" s="209" t="s">
        <v>133</v>
      </c>
      <c r="Z15" s="209" t="s">
        <v>133</v>
      </c>
      <c r="AA15" s="209" t="s">
        <v>133</v>
      </c>
      <c r="AB15" s="209" t="s">
        <v>133</v>
      </c>
      <c r="AC15" s="209" t="s">
        <v>133</v>
      </c>
      <c r="AD15" s="209" t="s">
        <v>133</v>
      </c>
      <c r="AE15" s="209" t="s">
        <v>133</v>
      </c>
    </row>
    <row r="16" spans="1:31" x14ac:dyDescent="0.55000000000000004">
      <c r="A16" s="209" t="s">
        <v>2324</v>
      </c>
      <c r="B16" s="209" t="s">
        <v>2325</v>
      </c>
      <c r="C16" s="209" t="s">
        <v>2326</v>
      </c>
      <c r="D16" s="209" t="s">
        <v>2327</v>
      </c>
      <c r="E16" s="209" t="s">
        <v>2328</v>
      </c>
      <c r="F16" s="209" t="s">
        <v>2315</v>
      </c>
      <c r="G16" s="209" t="s">
        <v>2316</v>
      </c>
      <c r="H16" s="209" t="s">
        <v>133</v>
      </c>
      <c r="I16" s="209" t="s">
        <v>133</v>
      </c>
      <c r="J16" s="209" t="s">
        <v>2317</v>
      </c>
      <c r="K16" s="209" t="s">
        <v>2329</v>
      </c>
      <c r="L16" s="209" t="s">
        <v>2330</v>
      </c>
      <c r="M16" s="209" t="s">
        <v>2331</v>
      </c>
      <c r="N16" s="209" t="s">
        <v>2321</v>
      </c>
      <c r="O16" s="209" t="s">
        <v>2332</v>
      </c>
      <c r="P16" s="209" t="s">
        <v>2274</v>
      </c>
      <c r="Q16" s="209" t="s">
        <v>2333</v>
      </c>
      <c r="R16" s="209" t="s">
        <v>2299</v>
      </c>
      <c r="S16" s="209" t="s">
        <v>133</v>
      </c>
      <c r="T16" s="209" t="s">
        <v>133</v>
      </c>
      <c r="U16" s="209" t="s">
        <v>133</v>
      </c>
      <c r="V16" s="209" t="s">
        <v>133</v>
      </c>
      <c r="W16" s="209" t="s">
        <v>133</v>
      </c>
      <c r="X16" s="209" t="s">
        <v>133</v>
      </c>
      <c r="Y16" s="209" t="s">
        <v>133</v>
      </c>
      <c r="Z16" s="209" t="s">
        <v>133</v>
      </c>
      <c r="AA16" s="209" t="s">
        <v>133</v>
      </c>
      <c r="AB16" s="209" t="s">
        <v>133</v>
      </c>
      <c r="AC16" s="209" t="s">
        <v>133</v>
      </c>
      <c r="AD16" s="209" t="s">
        <v>133</v>
      </c>
      <c r="AE16" s="209" t="s">
        <v>133</v>
      </c>
    </row>
    <row r="17" spans="1:31" x14ac:dyDescent="0.55000000000000004">
      <c r="A17" s="209" t="s">
        <v>2334</v>
      </c>
      <c r="B17" s="209" t="s">
        <v>2335</v>
      </c>
      <c r="C17" s="209" t="s">
        <v>2336</v>
      </c>
      <c r="D17" s="209" t="s">
        <v>2337</v>
      </c>
      <c r="E17" s="209" t="s">
        <v>2338</v>
      </c>
      <c r="F17" s="209" t="s">
        <v>2339</v>
      </c>
      <c r="G17" s="209" t="s">
        <v>2340</v>
      </c>
      <c r="H17" s="209" t="s">
        <v>133</v>
      </c>
      <c r="I17" s="209" t="s">
        <v>133</v>
      </c>
      <c r="J17" s="209" t="s">
        <v>2341</v>
      </c>
      <c r="K17" s="209" t="s">
        <v>2342</v>
      </c>
      <c r="L17" s="209" t="s">
        <v>2343</v>
      </c>
      <c r="M17" s="209" t="s">
        <v>2344</v>
      </c>
      <c r="N17" s="209" t="s">
        <v>2345</v>
      </c>
      <c r="O17" s="209" t="s">
        <v>2346</v>
      </c>
      <c r="P17" s="209" t="s">
        <v>2274</v>
      </c>
      <c r="Q17" s="209" t="s">
        <v>2323</v>
      </c>
      <c r="R17" s="209" t="s">
        <v>2347</v>
      </c>
      <c r="S17" s="209" t="s">
        <v>133</v>
      </c>
      <c r="T17" s="209" t="s">
        <v>133</v>
      </c>
      <c r="U17" s="209" t="s">
        <v>133</v>
      </c>
      <c r="V17" s="209" t="s">
        <v>133</v>
      </c>
      <c r="W17" s="209" t="s">
        <v>133</v>
      </c>
      <c r="X17" s="209" t="s">
        <v>133</v>
      </c>
      <c r="Y17" s="209" t="s">
        <v>133</v>
      </c>
      <c r="Z17" s="209" t="s">
        <v>2348</v>
      </c>
      <c r="AA17" s="209" t="s">
        <v>133</v>
      </c>
      <c r="AB17" s="209" t="s">
        <v>133</v>
      </c>
      <c r="AC17" s="209" t="s">
        <v>133</v>
      </c>
      <c r="AD17" s="209" t="s">
        <v>133</v>
      </c>
      <c r="AE17" s="209" t="s">
        <v>133</v>
      </c>
    </row>
    <row r="18" spans="1:31" x14ac:dyDescent="0.55000000000000004">
      <c r="A18" s="209" t="s">
        <v>2349</v>
      </c>
      <c r="B18" s="209" t="s">
        <v>2350</v>
      </c>
      <c r="C18" s="209" t="s">
        <v>2351</v>
      </c>
      <c r="D18" s="209" t="s">
        <v>2352</v>
      </c>
      <c r="E18" s="209" t="s">
        <v>2353</v>
      </c>
      <c r="F18" s="209" t="s">
        <v>2339</v>
      </c>
      <c r="G18" s="209" t="s">
        <v>2340</v>
      </c>
      <c r="H18" s="209" t="s">
        <v>133</v>
      </c>
      <c r="I18" s="209" t="s">
        <v>133</v>
      </c>
      <c r="J18" s="209" t="s">
        <v>2341</v>
      </c>
      <c r="K18" s="209" t="s">
        <v>2354</v>
      </c>
      <c r="L18" s="209" t="s">
        <v>2355</v>
      </c>
      <c r="M18" s="209" t="s">
        <v>2356</v>
      </c>
      <c r="N18" s="209" t="s">
        <v>2345</v>
      </c>
      <c r="O18" s="209" t="s">
        <v>2357</v>
      </c>
      <c r="P18" s="209" t="s">
        <v>2274</v>
      </c>
      <c r="Q18" s="209" t="s">
        <v>2333</v>
      </c>
      <c r="R18" s="209" t="s">
        <v>2347</v>
      </c>
      <c r="S18" s="209" t="s">
        <v>133</v>
      </c>
      <c r="T18" s="209" t="s">
        <v>133</v>
      </c>
      <c r="U18" s="209" t="s">
        <v>133</v>
      </c>
      <c r="V18" s="209" t="s">
        <v>133</v>
      </c>
      <c r="W18" s="209" t="s">
        <v>133</v>
      </c>
      <c r="X18" s="209" t="s">
        <v>133</v>
      </c>
      <c r="Y18" s="209" t="s">
        <v>133</v>
      </c>
      <c r="Z18" s="209" t="s">
        <v>2348</v>
      </c>
      <c r="AA18" s="209" t="s">
        <v>133</v>
      </c>
      <c r="AB18" s="209" t="s">
        <v>133</v>
      </c>
      <c r="AC18" s="209" t="s">
        <v>133</v>
      </c>
      <c r="AD18" s="209" t="s">
        <v>133</v>
      </c>
      <c r="AE18" s="209" t="s">
        <v>133</v>
      </c>
    </row>
    <row r="19" spans="1:31" x14ac:dyDescent="0.55000000000000004">
      <c r="A19" s="209" t="s">
        <v>2358</v>
      </c>
      <c r="B19" s="209" t="s">
        <v>2359</v>
      </c>
      <c r="C19" s="209" t="s">
        <v>2360</v>
      </c>
      <c r="D19" s="209" t="s">
        <v>2361</v>
      </c>
      <c r="E19" s="209" t="s">
        <v>2362</v>
      </c>
      <c r="F19" s="209" t="s">
        <v>2363</v>
      </c>
      <c r="G19" s="209" t="s">
        <v>2364</v>
      </c>
      <c r="H19" s="209" t="s">
        <v>2365</v>
      </c>
      <c r="I19" s="209" t="s">
        <v>2366</v>
      </c>
      <c r="J19" s="209" t="s">
        <v>2367</v>
      </c>
      <c r="K19" s="209" t="s">
        <v>2368</v>
      </c>
      <c r="L19" s="209" t="s">
        <v>2369</v>
      </c>
      <c r="M19" s="209" t="s">
        <v>2370</v>
      </c>
      <c r="N19" s="209" t="s">
        <v>2371</v>
      </c>
      <c r="O19" s="209" t="s">
        <v>2372</v>
      </c>
      <c r="P19" s="209" t="s">
        <v>2179</v>
      </c>
      <c r="Q19" s="209" t="s">
        <v>2180</v>
      </c>
      <c r="R19" s="209" t="s">
        <v>2373</v>
      </c>
      <c r="S19" s="209" t="s">
        <v>133</v>
      </c>
      <c r="T19" s="209" t="s">
        <v>133</v>
      </c>
      <c r="U19" s="209" t="s">
        <v>133</v>
      </c>
      <c r="V19" s="209" t="s">
        <v>133</v>
      </c>
      <c r="W19" s="209" t="s">
        <v>133</v>
      </c>
      <c r="X19" s="209" t="s">
        <v>133</v>
      </c>
      <c r="Y19" s="209" t="s">
        <v>133</v>
      </c>
      <c r="Z19" s="209" t="s">
        <v>133</v>
      </c>
      <c r="AA19" s="209" t="s">
        <v>133</v>
      </c>
      <c r="AB19" s="209" t="s">
        <v>133</v>
      </c>
      <c r="AC19" s="209" t="s">
        <v>133</v>
      </c>
      <c r="AD19" s="209" t="s">
        <v>133</v>
      </c>
      <c r="AE19" s="209" t="s">
        <v>2374</v>
      </c>
    </row>
    <row r="20" spans="1:31" x14ac:dyDescent="0.55000000000000004">
      <c r="A20" s="209" t="s">
        <v>2375</v>
      </c>
      <c r="B20" s="209" t="s">
        <v>2376</v>
      </c>
      <c r="C20" s="209" t="s">
        <v>2377</v>
      </c>
      <c r="D20" s="209" t="s">
        <v>2378</v>
      </c>
      <c r="E20" s="209" t="s">
        <v>2379</v>
      </c>
      <c r="F20" s="209" t="s">
        <v>2363</v>
      </c>
      <c r="G20" s="209" t="s">
        <v>2364</v>
      </c>
      <c r="H20" s="209" t="s">
        <v>2380</v>
      </c>
      <c r="I20" s="209" t="s">
        <v>2381</v>
      </c>
      <c r="J20" s="209" t="s">
        <v>2367</v>
      </c>
      <c r="K20" s="209" t="s">
        <v>2382</v>
      </c>
      <c r="L20" s="209" t="s">
        <v>2383</v>
      </c>
      <c r="M20" s="209" t="s">
        <v>2384</v>
      </c>
      <c r="N20" s="209" t="s">
        <v>2371</v>
      </c>
      <c r="O20" s="209" t="s">
        <v>2385</v>
      </c>
      <c r="P20" s="209" t="s">
        <v>2179</v>
      </c>
      <c r="Q20" s="209" t="s">
        <v>2179</v>
      </c>
      <c r="R20" s="209" t="s">
        <v>2373</v>
      </c>
      <c r="S20" s="209" t="s">
        <v>133</v>
      </c>
      <c r="T20" s="209" t="s">
        <v>133</v>
      </c>
      <c r="U20" s="209" t="s">
        <v>133</v>
      </c>
      <c r="V20" s="209" t="s">
        <v>133</v>
      </c>
      <c r="W20" s="209" t="s">
        <v>133</v>
      </c>
      <c r="X20" s="209" t="s">
        <v>133</v>
      </c>
      <c r="Y20" s="209" t="s">
        <v>133</v>
      </c>
      <c r="Z20" s="209" t="s">
        <v>133</v>
      </c>
      <c r="AA20" s="209" t="s">
        <v>133</v>
      </c>
      <c r="AB20" s="209" t="s">
        <v>133</v>
      </c>
      <c r="AC20" s="209" t="s">
        <v>133</v>
      </c>
      <c r="AD20" s="209" t="s">
        <v>133</v>
      </c>
      <c r="AE20" s="209" t="s">
        <v>2374</v>
      </c>
    </row>
    <row r="21" spans="1:31" x14ac:dyDescent="0.55000000000000004">
      <c r="A21" s="209" t="s">
        <v>2386</v>
      </c>
      <c r="B21" s="209" t="s">
        <v>2387</v>
      </c>
      <c r="C21" s="209" t="s">
        <v>2388</v>
      </c>
      <c r="D21" s="209" t="s">
        <v>2389</v>
      </c>
      <c r="E21" s="209" t="s">
        <v>2390</v>
      </c>
      <c r="F21" s="209" t="s">
        <v>2391</v>
      </c>
      <c r="G21" s="209" t="s">
        <v>2392</v>
      </c>
      <c r="H21" s="209" t="s">
        <v>2393</v>
      </c>
      <c r="I21" s="209" t="s">
        <v>2394</v>
      </c>
      <c r="J21" s="209" t="s">
        <v>2395</v>
      </c>
      <c r="K21" s="209" t="s">
        <v>2396</v>
      </c>
      <c r="L21" s="209" t="s">
        <v>2397</v>
      </c>
      <c r="M21" s="209" t="s">
        <v>2398</v>
      </c>
      <c r="N21" s="209" t="s">
        <v>2399</v>
      </c>
      <c r="O21" s="209" t="s">
        <v>2400</v>
      </c>
      <c r="P21" s="209" t="s">
        <v>2226</v>
      </c>
      <c r="Q21" s="209" t="s">
        <v>2226</v>
      </c>
      <c r="R21" s="209" t="s">
        <v>2373</v>
      </c>
      <c r="S21" s="209" t="s">
        <v>133</v>
      </c>
      <c r="T21" s="209" t="s">
        <v>133</v>
      </c>
      <c r="U21" s="209" t="s">
        <v>133</v>
      </c>
      <c r="V21" s="209" t="s">
        <v>133</v>
      </c>
      <c r="W21" s="209" t="s">
        <v>133</v>
      </c>
      <c r="X21" s="209" t="s">
        <v>133</v>
      </c>
      <c r="Y21" s="209" t="s">
        <v>133</v>
      </c>
      <c r="Z21" s="209" t="s">
        <v>133</v>
      </c>
      <c r="AA21" s="209" t="s">
        <v>133</v>
      </c>
      <c r="AB21" s="209" t="s">
        <v>133</v>
      </c>
      <c r="AC21" s="209" t="s">
        <v>133</v>
      </c>
      <c r="AD21" s="209" t="s">
        <v>133</v>
      </c>
      <c r="AE21" s="209" t="s">
        <v>2374</v>
      </c>
    </row>
    <row r="22" spans="1:31" x14ac:dyDescent="0.55000000000000004">
      <c r="A22" s="209" t="s">
        <v>2401</v>
      </c>
      <c r="B22" s="209" t="s">
        <v>2402</v>
      </c>
      <c r="C22" s="209" t="s">
        <v>2403</v>
      </c>
      <c r="D22" s="209" t="s">
        <v>2404</v>
      </c>
      <c r="E22" s="209" t="s">
        <v>2405</v>
      </c>
      <c r="F22" s="209" t="s">
        <v>2391</v>
      </c>
      <c r="G22" s="209" t="s">
        <v>2392</v>
      </c>
      <c r="H22" s="209" t="s">
        <v>2406</v>
      </c>
      <c r="I22" s="209" t="s">
        <v>2407</v>
      </c>
      <c r="J22" s="209" t="s">
        <v>2395</v>
      </c>
      <c r="K22" s="209" t="s">
        <v>2408</v>
      </c>
      <c r="L22" s="209" t="s">
        <v>2409</v>
      </c>
      <c r="M22" s="209" t="s">
        <v>2410</v>
      </c>
      <c r="N22" s="209" t="s">
        <v>2399</v>
      </c>
      <c r="O22" s="209" t="s">
        <v>2411</v>
      </c>
      <c r="P22" s="209" t="s">
        <v>2226</v>
      </c>
      <c r="Q22" s="209" t="s">
        <v>2236</v>
      </c>
      <c r="R22" s="209" t="s">
        <v>2373</v>
      </c>
      <c r="S22" s="209" t="s">
        <v>133</v>
      </c>
      <c r="T22" s="209" t="s">
        <v>133</v>
      </c>
      <c r="U22" s="209" t="s">
        <v>133</v>
      </c>
      <c r="V22" s="209" t="s">
        <v>133</v>
      </c>
      <c r="W22" s="209" t="s">
        <v>133</v>
      </c>
      <c r="X22" s="209" t="s">
        <v>133</v>
      </c>
      <c r="Y22" s="209" t="s">
        <v>133</v>
      </c>
      <c r="Z22" s="209" t="s">
        <v>133</v>
      </c>
      <c r="AA22" s="209" t="s">
        <v>133</v>
      </c>
      <c r="AB22" s="209" t="s">
        <v>133</v>
      </c>
      <c r="AC22" s="209" t="s">
        <v>133</v>
      </c>
      <c r="AD22" s="209" t="s">
        <v>133</v>
      </c>
      <c r="AE22" s="209" t="s">
        <v>2374</v>
      </c>
    </row>
    <row r="23" spans="1:31" x14ac:dyDescent="0.55000000000000004">
      <c r="A23" s="209" t="s">
        <v>2412</v>
      </c>
      <c r="B23" s="209" t="s">
        <v>2413</v>
      </c>
      <c r="C23" s="209" t="s">
        <v>2414</v>
      </c>
      <c r="D23" s="209" t="s">
        <v>2415</v>
      </c>
      <c r="E23" s="209" t="s">
        <v>2416</v>
      </c>
      <c r="F23" s="209" t="s">
        <v>2417</v>
      </c>
      <c r="G23" s="209" t="s">
        <v>2418</v>
      </c>
      <c r="H23" s="209" t="s">
        <v>133</v>
      </c>
      <c r="I23" s="209" t="s">
        <v>133</v>
      </c>
      <c r="J23" s="209" t="s">
        <v>2419</v>
      </c>
      <c r="K23" s="209" t="s">
        <v>2420</v>
      </c>
      <c r="L23" s="209" t="s">
        <v>2421</v>
      </c>
      <c r="M23" s="209" t="s">
        <v>2422</v>
      </c>
      <c r="N23" s="209" t="s">
        <v>2423</v>
      </c>
      <c r="O23" s="209" t="s">
        <v>2424</v>
      </c>
      <c r="P23" s="209" t="s">
        <v>2236</v>
      </c>
      <c r="Q23" s="209" t="s">
        <v>2250</v>
      </c>
      <c r="R23" s="209" t="s">
        <v>2373</v>
      </c>
      <c r="S23" s="209" t="s">
        <v>133</v>
      </c>
      <c r="T23" s="209" t="s">
        <v>133</v>
      </c>
      <c r="U23" s="209" t="s">
        <v>133</v>
      </c>
      <c r="V23" s="209" t="s">
        <v>133</v>
      </c>
      <c r="W23" s="209" t="s">
        <v>133</v>
      </c>
      <c r="X23" s="209" t="s">
        <v>133</v>
      </c>
      <c r="Y23" s="209" t="s">
        <v>133</v>
      </c>
      <c r="Z23" s="209" t="s">
        <v>133</v>
      </c>
      <c r="AA23" s="209" t="s">
        <v>133</v>
      </c>
      <c r="AB23" s="209" t="s">
        <v>133</v>
      </c>
      <c r="AC23" s="209" t="s">
        <v>133</v>
      </c>
      <c r="AD23" s="209" t="s">
        <v>133</v>
      </c>
      <c r="AE23" s="209" t="s">
        <v>2425</v>
      </c>
    </row>
    <row r="24" spans="1:31" x14ac:dyDescent="0.55000000000000004">
      <c r="A24" s="209" t="s">
        <v>2426</v>
      </c>
      <c r="B24" s="209" t="s">
        <v>2427</v>
      </c>
      <c r="C24" s="209" t="s">
        <v>2428</v>
      </c>
      <c r="D24" s="209" t="s">
        <v>2429</v>
      </c>
      <c r="E24" s="209" t="s">
        <v>2430</v>
      </c>
      <c r="F24" s="209" t="s">
        <v>2417</v>
      </c>
      <c r="G24" s="209" t="s">
        <v>2418</v>
      </c>
      <c r="H24" s="209" t="s">
        <v>133</v>
      </c>
      <c r="I24" s="209" t="s">
        <v>133</v>
      </c>
      <c r="J24" s="209" t="s">
        <v>2419</v>
      </c>
      <c r="K24" s="209" t="s">
        <v>2431</v>
      </c>
      <c r="L24" s="209" t="s">
        <v>2432</v>
      </c>
      <c r="M24" s="209" t="s">
        <v>2433</v>
      </c>
      <c r="N24" s="209" t="s">
        <v>2423</v>
      </c>
      <c r="O24" s="209" t="s">
        <v>2434</v>
      </c>
      <c r="P24" s="209" t="s">
        <v>2236</v>
      </c>
      <c r="Q24" s="209" t="s">
        <v>2260</v>
      </c>
      <c r="R24" s="209" t="s">
        <v>2373</v>
      </c>
      <c r="S24" s="209" t="s">
        <v>133</v>
      </c>
      <c r="T24" s="209" t="s">
        <v>133</v>
      </c>
      <c r="U24" s="209" t="s">
        <v>133</v>
      </c>
      <c r="V24" s="209" t="s">
        <v>133</v>
      </c>
      <c r="W24" s="209" t="s">
        <v>133</v>
      </c>
      <c r="X24" s="209" t="s">
        <v>133</v>
      </c>
      <c r="Y24" s="209" t="s">
        <v>133</v>
      </c>
      <c r="Z24" s="209" t="s">
        <v>133</v>
      </c>
      <c r="AA24" s="209" t="s">
        <v>133</v>
      </c>
      <c r="AB24" s="209" t="s">
        <v>133</v>
      </c>
      <c r="AC24" s="209" t="s">
        <v>133</v>
      </c>
      <c r="AD24" s="209" t="s">
        <v>133</v>
      </c>
      <c r="AE24" s="209" t="s">
        <v>2425</v>
      </c>
    </row>
    <row r="25" spans="1:31" x14ac:dyDescent="0.55000000000000004">
      <c r="A25" s="209" t="s">
        <v>2435</v>
      </c>
      <c r="B25" s="209" t="s">
        <v>2436</v>
      </c>
      <c r="C25" s="209" t="s">
        <v>2437</v>
      </c>
      <c r="D25" s="209" t="s">
        <v>2438</v>
      </c>
      <c r="E25" s="209" t="s">
        <v>2439</v>
      </c>
      <c r="F25" s="209" t="s">
        <v>2440</v>
      </c>
      <c r="G25" s="209" t="s">
        <v>2441</v>
      </c>
      <c r="H25" s="209" t="s">
        <v>2442</v>
      </c>
      <c r="I25" s="209" t="s">
        <v>2443</v>
      </c>
      <c r="J25" s="209" t="s">
        <v>2444</v>
      </c>
      <c r="K25" s="209" t="s">
        <v>2445</v>
      </c>
      <c r="L25" s="209" t="s">
        <v>2446</v>
      </c>
      <c r="M25" s="209" t="s">
        <v>2447</v>
      </c>
      <c r="N25" s="209" t="s">
        <v>2448</v>
      </c>
      <c r="O25" s="209" t="s">
        <v>2449</v>
      </c>
      <c r="P25" s="209" t="s">
        <v>2250</v>
      </c>
      <c r="Q25" s="209" t="s">
        <v>2274</v>
      </c>
      <c r="R25" s="209" t="s">
        <v>2373</v>
      </c>
      <c r="S25" s="209" t="s">
        <v>133</v>
      </c>
      <c r="T25" s="209" t="s">
        <v>133</v>
      </c>
      <c r="U25" s="209" t="s">
        <v>133</v>
      </c>
      <c r="V25" s="209" t="s">
        <v>133</v>
      </c>
      <c r="W25" s="209" t="s">
        <v>133</v>
      </c>
      <c r="X25" s="209" t="s">
        <v>133</v>
      </c>
      <c r="Y25" s="209" t="s">
        <v>133</v>
      </c>
      <c r="Z25" s="209" t="s">
        <v>133</v>
      </c>
      <c r="AA25" s="209" t="s">
        <v>133</v>
      </c>
      <c r="AB25" s="209" t="s">
        <v>133</v>
      </c>
      <c r="AC25" s="209" t="s">
        <v>133</v>
      </c>
      <c r="AD25" s="209" t="s">
        <v>133</v>
      </c>
      <c r="AE25" s="209" t="s">
        <v>2374</v>
      </c>
    </row>
    <row r="26" spans="1:31" x14ac:dyDescent="0.55000000000000004">
      <c r="A26" s="209" t="s">
        <v>2450</v>
      </c>
      <c r="B26" s="209" t="s">
        <v>2451</v>
      </c>
      <c r="C26" s="209" t="s">
        <v>2452</v>
      </c>
      <c r="D26" s="209" t="s">
        <v>2453</v>
      </c>
      <c r="E26" s="209" t="s">
        <v>2454</v>
      </c>
      <c r="F26" s="209" t="s">
        <v>2440</v>
      </c>
      <c r="G26" s="209" t="s">
        <v>2441</v>
      </c>
      <c r="H26" s="209" t="s">
        <v>2455</v>
      </c>
      <c r="I26" s="209" t="s">
        <v>2456</v>
      </c>
      <c r="J26" s="209" t="s">
        <v>2444</v>
      </c>
      <c r="K26" s="209" t="s">
        <v>2457</v>
      </c>
      <c r="L26" s="209" t="s">
        <v>2458</v>
      </c>
      <c r="M26" s="209" t="s">
        <v>2459</v>
      </c>
      <c r="N26" s="209" t="s">
        <v>2448</v>
      </c>
      <c r="O26" s="209" t="s">
        <v>2460</v>
      </c>
      <c r="P26" s="209" t="s">
        <v>2250</v>
      </c>
      <c r="Q26" s="209" t="s">
        <v>2284</v>
      </c>
      <c r="R26" s="209" t="s">
        <v>2373</v>
      </c>
      <c r="S26" s="209" t="s">
        <v>133</v>
      </c>
      <c r="T26" s="209" t="s">
        <v>133</v>
      </c>
      <c r="U26" s="209" t="s">
        <v>133</v>
      </c>
      <c r="V26" s="209" t="s">
        <v>133</v>
      </c>
      <c r="W26" s="209" t="s">
        <v>133</v>
      </c>
      <c r="X26" s="209" t="s">
        <v>133</v>
      </c>
      <c r="Y26" s="209" t="s">
        <v>133</v>
      </c>
      <c r="Z26" s="209" t="s">
        <v>133</v>
      </c>
      <c r="AA26" s="209" t="s">
        <v>133</v>
      </c>
      <c r="AB26" s="209" t="s">
        <v>133</v>
      </c>
      <c r="AC26" s="209" t="s">
        <v>133</v>
      </c>
      <c r="AD26" s="209" t="s">
        <v>133</v>
      </c>
      <c r="AE26" s="209" t="s">
        <v>2374</v>
      </c>
    </row>
    <row r="27" spans="1:31" x14ac:dyDescent="0.55000000000000004">
      <c r="A27" s="209" t="s">
        <v>2461</v>
      </c>
      <c r="B27" s="209" t="s">
        <v>2462</v>
      </c>
      <c r="C27" s="209" t="s">
        <v>2463</v>
      </c>
      <c r="D27" s="209" t="s">
        <v>2464</v>
      </c>
      <c r="E27" s="209" t="s">
        <v>2465</v>
      </c>
      <c r="F27" s="209" t="s">
        <v>2466</v>
      </c>
      <c r="G27" s="209" t="s">
        <v>2467</v>
      </c>
      <c r="H27" s="209" t="s">
        <v>2468</v>
      </c>
      <c r="I27" s="209" t="s">
        <v>2469</v>
      </c>
      <c r="J27" s="209" t="s">
        <v>2470</v>
      </c>
      <c r="K27" s="209" t="s">
        <v>2471</v>
      </c>
      <c r="L27" s="209" t="s">
        <v>2472</v>
      </c>
      <c r="M27" s="209" t="s">
        <v>2473</v>
      </c>
      <c r="N27" s="209" t="s">
        <v>2474</v>
      </c>
      <c r="O27" s="209" t="s">
        <v>2475</v>
      </c>
      <c r="P27" s="209" t="s">
        <v>2179</v>
      </c>
      <c r="Q27" s="209" t="s">
        <v>2180</v>
      </c>
      <c r="R27" s="209" t="s">
        <v>2373</v>
      </c>
      <c r="S27" s="209" t="s">
        <v>133</v>
      </c>
      <c r="T27" s="209" t="s">
        <v>133</v>
      </c>
      <c r="U27" s="209" t="s">
        <v>133</v>
      </c>
      <c r="V27" s="209" t="s">
        <v>133</v>
      </c>
      <c r="W27" s="209" t="s">
        <v>133</v>
      </c>
      <c r="X27" s="209" t="s">
        <v>133</v>
      </c>
      <c r="Y27" s="209" t="s">
        <v>133</v>
      </c>
      <c r="Z27" s="209" t="s">
        <v>133</v>
      </c>
      <c r="AA27" s="209" t="s">
        <v>133</v>
      </c>
      <c r="AB27" s="209" t="s">
        <v>133</v>
      </c>
      <c r="AC27" s="209" t="s">
        <v>133</v>
      </c>
      <c r="AD27" s="209" t="s">
        <v>133</v>
      </c>
      <c r="AE27" s="209" t="s">
        <v>2476</v>
      </c>
    </row>
    <row r="28" spans="1:31" x14ac:dyDescent="0.55000000000000004">
      <c r="A28" s="209" t="s">
        <v>2477</v>
      </c>
      <c r="B28" s="209" t="s">
        <v>2478</v>
      </c>
      <c r="C28" s="209" t="s">
        <v>2479</v>
      </c>
      <c r="D28" s="209" t="s">
        <v>2480</v>
      </c>
      <c r="E28" s="209" t="s">
        <v>2481</v>
      </c>
      <c r="F28" s="209" t="s">
        <v>2466</v>
      </c>
      <c r="G28" s="209" t="s">
        <v>2467</v>
      </c>
      <c r="H28" s="209" t="s">
        <v>2482</v>
      </c>
      <c r="I28" s="209" t="s">
        <v>2483</v>
      </c>
      <c r="J28" s="209" t="s">
        <v>2470</v>
      </c>
      <c r="K28" s="209" t="s">
        <v>2484</v>
      </c>
      <c r="L28" s="209" t="s">
        <v>2485</v>
      </c>
      <c r="M28" s="209" t="s">
        <v>2486</v>
      </c>
      <c r="N28" s="209" t="s">
        <v>2474</v>
      </c>
      <c r="O28" s="209" t="s">
        <v>2487</v>
      </c>
      <c r="P28" s="209" t="s">
        <v>2179</v>
      </c>
      <c r="Q28" s="209" t="s">
        <v>2179</v>
      </c>
      <c r="R28" s="209" t="s">
        <v>2373</v>
      </c>
      <c r="S28" s="209" t="s">
        <v>133</v>
      </c>
      <c r="T28" s="209" t="s">
        <v>133</v>
      </c>
      <c r="U28" s="209" t="s">
        <v>133</v>
      </c>
      <c r="V28" s="209" t="s">
        <v>133</v>
      </c>
      <c r="W28" s="209" t="s">
        <v>133</v>
      </c>
      <c r="X28" s="209" t="s">
        <v>133</v>
      </c>
      <c r="Y28" s="209" t="s">
        <v>133</v>
      </c>
      <c r="Z28" s="209" t="s">
        <v>133</v>
      </c>
      <c r="AA28" s="209" t="s">
        <v>133</v>
      </c>
      <c r="AB28" s="209" t="s">
        <v>133</v>
      </c>
      <c r="AC28" s="209" t="s">
        <v>133</v>
      </c>
      <c r="AD28" s="209" t="s">
        <v>133</v>
      </c>
      <c r="AE28" s="209" t="s">
        <v>2476</v>
      </c>
    </row>
    <row r="29" spans="1:31" x14ac:dyDescent="0.55000000000000004">
      <c r="A29" s="209" t="s">
        <v>2488</v>
      </c>
      <c r="B29" s="209" t="s">
        <v>2489</v>
      </c>
      <c r="C29" s="209" t="s">
        <v>2490</v>
      </c>
      <c r="D29" s="209" t="s">
        <v>2491</v>
      </c>
      <c r="E29" s="209" t="s">
        <v>2492</v>
      </c>
      <c r="F29" s="209" t="s">
        <v>2493</v>
      </c>
      <c r="G29" s="209" t="s">
        <v>2494</v>
      </c>
      <c r="H29" s="209" t="s">
        <v>2495</v>
      </c>
      <c r="I29" s="209" t="s">
        <v>2496</v>
      </c>
      <c r="J29" s="209" t="s">
        <v>2497</v>
      </c>
      <c r="K29" s="209" t="s">
        <v>2498</v>
      </c>
      <c r="L29" s="209" t="s">
        <v>2499</v>
      </c>
      <c r="M29" s="209" t="s">
        <v>2500</v>
      </c>
      <c r="N29" s="209" t="s">
        <v>2501</v>
      </c>
      <c r="O29" s="209" t="s">
        <v>2502</v>
      </c>
      <c r="P29" s="209" t="s">
        <v>2226</v>
      </c>
      <c r="Q29" s="209" t="s">
        <v>2226</v>
      </c>
      <c r="R29" s="209" t="s">
        <v>2373</v>
      </c>
      <c r="S29" s="209" t="s">
        <v>133</v>
      </c>
      <c r="T29" s="209" t="s">
        <v>133</v>
      </c>
      <c r="U29" s="209" t="s">
        <v>133</v>
      </c>
      <c r="V29" s="209" t="s">
        <v>133</v>
      </c>
      <c r="W29" s="209" t="s">
        <v>133</v>
      </c>
      <c r="X29" s="209" t="s">
        <v>133</v>
      </c>
      <c r="Y29" s="209" t="s">
        <v>133</v>
      </c>
      <c r="Z29" s="209" t="s">
        <v>133</v>
      </c>
      <c r="AA29" s="209" t="s">
        <v>133</v>
      </c>
      <c r="AB29" s="209" t="s">
        <v>133</v>
      </c>
      <c r="AC29" s="209" t="s">
        <v>133</v>
      </c>
      <c r="AD29" s="209" t="s">
        <v>133</v>
      </c>
      <c r="AE29" s="209" t="s">
        <v>2476</v>
      </c>
    </row>
    <row r="30" spans="1:31" x14ac:dyDescent="0.55000000000000004">
      <c r="A30" s="209" t="s">
        <v>2503</v>
      </c>
      <c r="B30" s="209" t="s">
        <v>2504</v>
      </c>
      <c r="C30" s="209" t="s">
        <v>2505</v>
      </c>
      <c r="D30" s="209" t="s">
        <v>2506</v>
      </c>
      <c r="E30" s="209" t="s">
        <v>2507</v>
      </c>
      <c r="F30" s="209" t="s">
        <v>2493</v>
      </c>
      <c r="G30" s="209" t="s">
        <v>2494</v>
      </c>
      <c r="H30" s="209" t="s">
        <v>2508</v>
      </c>
      <c r="I30" s="209" t="s">
        <v>2509</v>
      </c>
      <c r="J30" s="209" t="s">
        <v>2497</v>
      </c>
      <c r="K30" s="209" t="s">
        <v>2510</v>
      </c>
      <c r="L30" s="209" t="s">
        <v>2511</v>
      </c>
      <c r="M30" s="209" t="s">
        <v>2512</v>
      </c>
      <c r="N30" s="209" t="s">
        <v>2501</v>
      </c>
      <c r="O30" s="209" t="s">
        <v>2513</v>
      </c>
      <c r="P30" s="209" t="s">
        <v>2226</v>
      </c>
      <c r="Q30" s="209" t="s">
        <v>2236</v>
      </c>
      <c r="R30" s="209" t="s">
        <v>2373</v>
      </c>
      <c r="S30" s="209" t="s">
        <v>133</v>
      </c>
      <c r="T30" s="209" t="s">
        <v>133</v>
      </c>
      <c r="U30" s="209" t="s">
        <v>133</v>
      </c>
      <c r="V30" s="209" t="s">
        <v>133</v>
      </c>
      <c r="W30" s="209" t="s">
        <v>133</v>
      </c>
      <c r="X30" s="209" t="s">
        <v>133</v>
      </c>
      <c r="Y30" s="209" t="s">
        <v>133</v>
      </c>
      <c r="Z30" s="209" t="s">
        <v>133</v>
      </c>
      <c r="AA30" s="209" t="s">
        <v>133</v>
      </c>
      <c r="AB30" s="209" t="s">
        <v>133</v>
      </c>
      <c r="AC30" s="209" t="s">
        <v>133</v>
      </c>
      <c r="AD30" s="209" t="s">
        <v>133</v>
      </c>
      <c r="AE30" s="209" t="s">
        <v>2476</v>
      </c>
    </row>
    <row r="31" spans="1:31" x14ac:dyDescent="0.55000000000000004">
      <c r="A31" s="209" t="s">
        <v>2514</v>
      </c>
      <c r="B31" s="209" t="s">
        <v>2515</v>
      </c>
      <c r="C31" s="209" t="s">
        <v>2516</v>
      </c>
      <c r="D31" s="209" t="s">
        <v>2517</v>
      </c>
      <c r="E31" s="209" t="s">
        <v>2518</v>
      </c>
      <c r="F31" s="209" t="s">
        <v>2519</v>
      </c>
      <c r="G31" s="209" t="s">
        <v>2520</v>
      </c>
      <c r="H31" s="209" t="s">
        <v>2521</v>
      </c>
      <c r="I31" s="209" t="s">
        <v>2522</v>
      </c>
      <c r="J31" s="209" t="s">
        <v>2523</v>
      </c>
      <c r="K31" s="209" t="s">
        <v>2524</v>
      </c>
      <c r="L31" s="209" t="s">
        <v>2525</v>
      </c>
      <c r="M31" s="209" t="s">
        <v>2526</v>
      </c>
      <c r="N31" s="209" t="s">
        <v>2527</v>
      </c>
      <c r="O31" s="209" t="s">
        <v>2528</v>
      </c>
      <c r="P31" s="209" t="s">
        <v>2236</v>
      </c>
      <c r="Q31" s="209" t="s">
        <v>2250</v>
      </c>
      <c r="R31" s="209" t="s">
        <v>2373</v>
      </c>
      <c r="S31" s="209" t="s">
        <v>133</v>
      </c>
      <c r="T31" s="209" t="s">
        <v>133</v>
      </c>
      <c r="U31" s="209" t="s">
        <v>133</v>
      </c>
      <c r="V31" s="209" t="s">
        <v>133</v>
      </c>
      <c r="W31" s="209" t="s">
        <v>133</v>
      </c>
      <c r="X31" s="209" t="s">
        <v>133</v>
      </c>
      <c r="Y31" s="209" t="s">
        <v>133</v>
      </c>
      <c r="Z31" s="209" t="s">
        <v>133</v>
      </c>
      <c r="AA31" s="209" t="s">
        <v>133</v>
      </c>
      <c r="AB31" s="209" t="s">
        <v>133</v>
      </c>
      <c r="AC31" s="209" t="s">
        <v>133</v>
      </c>
      <c r="AD31" s="209" t="s">
        <v>133</v>
      </c>
      <c r="AE31" s="209" t="s">
        <v>2476</v>
      </c>
    </row>
    <row r="32" spans="1:31" x14ac:dyDescent="0.55000000000000004">
      <c r="A32" s="209" t="s">
        <v>2529</v>
      </c>
      <c r="B32" s="209" t="s">
        <v>2530</v>
      </c>
      <c r="C32" s="209" t="s">
        <v>2531</v>
      </c>
      <c r="D32" s="209" t="s">
        <v>2532</v>
      </c>
      <c r="E32" s="209" t="s">
        <v>2533</v>
      </c>
      <c r="F32" s="209" t="s">
        <v>2519</v>
      </c>
      <c r="G32" s="209" t="s">
        <v>2520</v>
      </c>
      <c r="H32" s="209" t="s">
        <v>2534</v>
      </c>
      <c r="I32" s="209" t="s">
        <v>2535</v>
      </c>
      <c r="J32" s="209" t="s">
        <v>2523</v>
      </c>
      <c r="K32" s="209" t="s">
        <v>2536</v>
      </c>
      <c r="L32" s="209" t="s">
        <v>2537</v>
      </c>
      <c r="M32" s="209" t="s">
        <v>2538</v>
      </c>
      <c r="N32" s="209" t="s">
        <v>2527</v>
      </c>
      <c r="O32" s="209" t="s">
        <v>2539</v>
      </c>
      <c r="P32" s="209" t="s">
        <v>2236</v>
      </c>
      <c r="Q32" s="209" t="s">
        <v>2260</v>
      </c>
      <c r="R32" s="209" t="s">
        <v>2373</v>
      </c>
      <c r="S32" s="209" t="s">
        <v>133</v>
      </c>
      <c r="T32" s="209" t="s">
        <v>133</v>
      </c>
      <c r="U32" s="209" t="s">
        <v>133</v>
      </c>
      <c r="V32" s="209" t="s">
        <v>133</v>
      </c>
      <c r="W32" s="209" t="s">
        <v>133</v>
      </c>
      <c r="X32" s="209" t="s">
        <v>133</v>
      </c>
      <c r="Y32" s="209" t="s">
        <v>133</v>
      </c>
      <c r="Z32" s="209" t="s">
        <v>133</v>
      </c>
      <c r="AA32" s="209" t="s">
        <v>133</v>
      </c>
      <c r="AB32" s="209" t="s">
        <v>133</v>
      </c>
      <c r="AC32" s="209" t="s">
        <v>133</v>
      </c>
      <c r="AD32" s="209" t="s">
        <v>133</v>
      </c>
      <c r="AE32" s="209" t="s">
        <v>2476</v>
      </c>
    </row>
    <row r="33" spans="1:31" x14ac:dyDescent="0.55000000000000004">
      <c r="A33" s="209" t="s">
        <v>2540</v>
      </c>
      <c r="B33" s="209" t="s">
        <v>2541</v>
      </c>
      <c r="C33" s="209" t="s">
        <v>2542</v>
      </c>
      <c r="D33" s="209" t="s">
        <v>2543</v>
      </c>
      <c r="E33" s="209" t="s">
        <v>2544</v>
      </c>
      <c r="F33" s="209" t="s">
        <v>2545</v>
      </c>
      <c r="G33" s="209" t="s">
        <v>2546</v>
      </c>
      <c r="H33" s="209" t="s">
        <v>133</v>
      </c>
      <c r="I33" s="209" t="s">
        <v>133</v>
      </c>
      <c r="J33" s="209" t="s">
        <v>2547</v>
      </c>
      <c r="K33" s="209" t="s">
        <v>2548</v>
      </c>
      <c r="L33" s="209" t="s">
        <v>2549</v>
      </c>
      <c r="M33" s="209" t="s">
        <v>2550</v>
      </c>
      <c r="N33" s="209" t="s">
        <v>2551</v>
      </c>
      <c r="O33" s="209" t="s">
        <v>2552</v>
      </c>
      <c r="P33" s="209" t="s">
        <v>2250</v>
      </c>
      <c r="Q33" s="209" t="s">
        <v>2274</v>
      </c>
      <c r="R33" s="209" t="s">
        <v>2373</v>
      </c>
      <c r="S33" s="209" t="s">
        <v>133</v>
      </c>
      <c r="T33" s="209" t="s">
        <v>133</v>
      </c>
      <c r="U33" s="209" t="s">
        <v>133</v>
      </c>
      <c r="V33" s="209" t="s">
        <v>133</v>
      </c>
      <c r="W33" s="209" t="s">
        <v>133</v>
      </c>
      <c r="X33" s="209" t="s">
        <v>133</v>
      </c>
      <c r="Y33" s="209" t="s">
        <v>133</v>
      </c>
      <c r="Z33" s="209" t="s">
        <v>133</v>
      </c>
      <c r="AA33" s="209" t="s">
        <v>133</v>
      </c>
      <c r="AB33" s="209" t="s">
        <v>133</v>
      </c>
      <c r="AC33" s="209" t="s">
        <v>133</v>
      </c>
      <c r="AD33" s="209" t="s">
        <v>133</v>
      </c>
      <c r="AE33" s="209" t="s">
        <v>2553</v>
      </c>
    </row>
    <row r="34" spans="1:31" x14ac:dyDescent="0.55000000000000004">
      <c r="A34" s="209" t="s">
        <v>2554</v>
      </c>
      <c r="B34" s="209" t="s">
        <v>2555</v>
      </c>
      <c r="C34" s="209" t="s">
        <v>2556</v>
      </c>
      <c r="D34" s="209" t="s">
        <v>2557</v>
      </c>
      <c r="E34" s="209" t="s">
        <v>2558</v>
      </c>
      <c r="F34" s="209" t="s">
        <v>2545</v>
      </c>
      <c r="G34" s="209" t="s">
        <v>2546</v>
      </c>
      <c r="H34" s="209" t="s">
        <v>133</v>
      </c>
      <c r="I34" s="209" t="s">
        <v>133</v>
      </c>
      <c r="J34" s="209" t="s">
        <v>2547</v>
      </c>
      <c r="K34" s="209" t="s">
        <v>2559</v>
      </c>
      <c r="L34" s="209" t="s">
        <v>2560</v>
      </c>
      <c r="M34" s="209" t="s">
        <v>2561</v>
      </c>
      <c r="N34" s="209" t="s">
        <v>2551</v>
      </c>
      <c r="O34" s="209" t="s">
        <v>2562</v>
      </c>
      <c r="P34" s="209" t="s">
        <v>2250</v>
      </c>
      <c r="Q34" s="209" t="s">
        <v>2284</v>
      </c>
      <c r="R34" s="209" t="s">
        <v>2373</v>
      </c>
      <c r="S34" s="209" t="s">
        <v>133</v>
      </c>
      <c r="T34" s="209" t="s">
        <v>133</v>
      </c>
      <c r="U34" s="209" t="s">
        <v>133</v>
      </c>
      <c r="V34" s="209" t="s">
        <v>133</v>
      </c>
      <c r="W34" s="209" t="s">
        <v>133</v>
      </c>
      <c r="X34" s="209" t="s">
        <v>133</v>
      </c>
      <c r="Y34" s="209" t="s">
        <v>133</v>
      </c>
      <c r="Z34" s="209" t="s">
        <v>133</v>
      </c>
      <c r="AA34" s="209" t="s">
        <v>133</v>
      </c>
      <c r="AB34" s="209" t="s">
        <v>133</v>
      </c>
      <c r="AC34" s="209" t="s">
        <v>133</v>
      </c>
      <c r="AD34" s="209" t="s">
        <v>133</v>
      </c>
      <c r="AE34" s="209" t="s">
        <v>2553</v>
      </c>
    </row>
    <row r="35" spans="1:31" x14ac:dyDescent="0.55000000000000004">
      <c r="A35" s="209" t="s">
        <v>2563</v>
      </c>
      <c r="B35" s="209" t="s">
        <v>2462</v>
      </c>
      <c r="C35" s="209" t="s">
        <v>2463</v>
      </c>
      <c r="D35" s="209" t="s">
        <v>2464</v>
      </c>
      <c r="E35" s="209" t="s">
        <v>2465</v>
      </c>
      <c r="F35" s="209" t="s">
        <v>2564</v>
      </c>
      <c r="G35" s="209" t="s">
        <v>2565</v>
      </c>
      <c r="H35" s="209" t="s">
        <v>133</v>
      </c>
      <c r="I35" s="209" t="s">
        <v>133</v>
      </c>
      <c r="J35" s="209" t="s">
        <v>2566</v>
      </c>
      <c r="K35" s="209" t="s">
        <v>2567</v>
      </c>
      <c r="L35" s="209" t="s">
        <v>2568</v>
      </c>
      <c r="M35" s="209" t="s">
        <v>2569</v>
      </c>
      <c r="N35" s="209" t="s">
        <v>2570</v>
      </c>
      <c r="O35" s="209" t="s">
        <v>2475</v>
      </c>
      <c r="P35" s="209" t="s">
        <v>2179</v>
      </c>
      <c r="Q35" s="209" t="s">
        <v>2180</v>
      </c>
      <c r="R35" s="209" t="s">
        <v>2373</v>
      </c>
      <c r="S35" s="209" t="s">
        <v>133</v>
      </c>
      <c r="T35" s="209" t="s">
        <v>133</v>
      </c>
      <c r="U35" s="209" t="s">
        <v>133</v>
      </c>
      <c r="V35" s="209" t="s">
        <v>133</v>
      </c>
      <c r="W35" s="209" t="s">
        <v>133</v>
      </c>
      <c r="X35" s="209" t="s">
        <v>133</v>
      </c>
      <c r="Y35" s="209" t="s">
        <v>133</v>
      </c>
      <c r="Z35" s="209" t="s">
        <v>133</v>
      </c>
      <c r="AA35" s="209" t="s">
        <v>133</v>
      </c>
      <c r="AB35" s="209" t="s">
        <v>133</v>
      </c>
      <c r="AC35" s="209" t="s">
        <v>133</v>
      </c>
      <c r="AD35" s="209" t="s">
        <v>133</v>
      </c>
      <c r="AE35" s="209" t="s">
        <v>2571</v>
      </c>
    </row>
    <row r="36" spans="1:31" x14ac:dyDescent="0.55000000000000004">
      <c r="A36" s="209" t="s">
        <v>2572</v>
      </c>
      <c r="B36" s="209" t="s">
        <v>2478</v>
      </c>
      <c r="C36" s="209" t="s">
        <v>2479</v>
      </c>
      <c r="D36" s="209" t="s">
        <v>2480</v>
      </c>
      <c r="E36" s="209" t="s">
        <v>2481</v>
      </c>
      <c r="F36" s="209" t="s">
        <v>2564</v>
      </c>
      <c r="G36" s="209" t="s">
        <v>2565</v>
      </c>
      <c r="H36" s="209" t="s">
        <v>133</v>
      </c>
      <c r="I36" s="209" t="s">
        <v>133</v>
      </c>
      <c r="J36" s="209" t="s">
        <v>2566</v>
      </c>
      <c r="K36" s="209" t="s">
        <v>2573</v>
      </c>
      <c r="L36" s="209" t="s">
        <v>2574</v>
      </c>
      <c r="M36" s="209" t="s">
        <v>2575</v>
      </c>
      <c r="N36" s="209" t="s">
        <v>2570</v>
      </c>
      <c r="O36" s="209" t="s">
        <v>2487</v>
      </c>
      <c r="P36" s="209" t="s">
        <v>2179</v>
      </c>
      <c r="Q36" s="209" t="s">
        <v>2179</v>
      </c>
      <c r="R36" s="209" t="s">
        <v>2373</v>
      </c>
      <c r="S36" s="209" t="s">
        <v>133</v>
      </c>
      <c r="T36" s="209" t="s">
        <v>133</v>
      </c>
      <c r="U36" s="209" t="s">
        <v>133</v>
      </c>
      <c r="V36" s="209" t="s">
        <v>133</v>
      </c>
      <c r="W36" s="209" t="s">
        <v>133</v>
      </c>
      <c r="X36" s="209" t="s">
        <v>133</v>
      </c>
      <c r="Y36" s="209" t="s">
        <v>133</v>
      </c>
      <c r="Z36" s="209" t="s">
        <v>133</v>
      </c>
      <c r="AA36" s="209" t="s">
        <v>133</v>
      </c>
      <c r="AB36" s="209" t="s">
        <v>133</v>
      </c>
      <c r="AC36" s="209" t="s">
        <v>133</v>
      </c>
      <c r="AD36" s="209" t="s">
        <v>133</v>
      </c>
      <c r="AE36" s="209" t="s">
        <v>2571</v>
      </c>
    </row>
    <row r="37" spans="1:31" x14ac:dyDescent="0.55000000000000004">
      <c r="A37" s="209" t="s">
        <v>2576</v>
      </c>
      <c r="B37" s="209" t="s">
        <v>2462</v>
      </c>
      <c r="C37" s="209" t="s">
        <v>2463</v>
      </c>
      <c r="D37" s="209" t="s">
        <v>2464</v>
      </c>
      <c r="E37" s="209" t="s">
        <v>2465</v>
      </c>
      <c r="F37" s="209" t="s">
        <v>2577</v>
      </c>
      <c r="G37" s="209" t="s">
        <v>2578</v>
      </c>
      <c r="H37" s="209" t="s">
        <v>2579</v>
      </c>
      <c r="I37" s="209" t="s">
        <v>2580</v>
      </c>
      <c r="J37" s="209" t="s">
        <v>2581</v>
      </c>
      <c r="K37" s="209" t="s">
        <v>2582</v>
      </c>
      <c r="L37" s="209" t="s">
        <v>2583</v>
      </c>
      <c r="M37" s="209" t="s">
        <v>2584</v>
      </c>
      <c r="N37" s="209" t="s">
        <v>2585</v>
      </c>
      <c r="O37" s="209" t="s">
        <v>2475</v>
      </c>
      <c r="P37" s="209" t="s">
        <v>2179</v>
      </c>
      <c r="Q37" s="209" t="s">
        <v>2180</v>
      </c>
      <c r="R37" s="209" t="s">
        <v>2373</v>
      </c>
      <c r="S37" s="209" t="s">
        <v>133</v>
      </c>
      <c r="T37" s="209" t="s">
        <v>133</v>
      </c>
      <c r="U37" s="209" t="s">
        <v>133</v>
      </c>
      <c r="V37" s="209" t="s">
        <v>133</v>
      </c>
      <c r="W37" s="209" t="s">
        <v>133</v>
      </c>
      <c r="X37" s="209" t="s">
        <v>133</v>
      </c>
      <c r="Y37" s="209" t="s">
        <v>133</v>
      </c>
      <c r="Z37" s="209" t="s">
        <v>133</v>
      </c>
      <c r="AA37" s="209" t="s">
        <v>133</v>
      </c>
      <c r="AB37" s="209" t="s">
        <v>133</v>
      </c>
      <c r="AC37" s="209" t="s">
        <v>133</v>
      </c>
      <c r="AD37" s="209" t="s">
        <v>133</v>
      </c>
      <c r="AE37" s="209" t="s">
        <v>2586</v>
      </c>
    </row>
    <row r="38" spans="1:31" x14ac:dyDescent="0.55000000000000004">
      <c r="A38" s="209" t="s">
        <v>2587</v>
      </c>
      <c r="B38" s="209" t="s">
        <v>2478</v>
      </c>
      <c r="C38" s="209" t="s">
        <v>2479</v>
      </c>
      <c r="D38" s="209" t="s">
        <v>2480</v>
      </c>
      <c r="E38" s="209" t="s">
        <v>2481</v>
      </c>
      <c r="F38" s="209" t="s">
        <v>2577</v>
      </c>
      <c r="G38" s="209" t="s">
        <v>2578</v>
      </c>
      <c r="H38" s="209" t="s">
        <v>2588</v>
      </c>
      <c r="I38" s="209" t="s">
        <v>2589</v>
      </c>
      <c r="J38" s="209" t="s">
        <v>2581</v>
      </c>
      <c r="K38" s="209" t="s">
        <v>2590</v>
      </c>
      <c r="L38" s="209" t="s">
        <v>2591</v>
      </c>
      <c r="M38" s="209" t="s">
        <v>2592</v>
      </c>
      <c r="N38" s="209" t="s">
        <v>2585</v>
      </c>
      <c r="O38" s="209" t="s">
        <v>2487</v>
      </c>
      <c r="P38" s="209" t="s">
        <v>2179</v>
      </c>
      <c r="Q38" s="209" t="s">
        <v>2179</v>
      </c>
      <c r="R38" s="209" t="s">
        <v>2373</v>
      </c>
      <c r="S38" s="209" t="s">
        <v>133</v>
      </c>
      <c r="T38" s="209" t="s">
        <v>133</v>
      </c>
      <c r="U38" s="209" t="s">
        <v>133</v>
      </c>
      <c r="V38" s="209" t="s">
        <v>133</v>
      </c>
      <c r="W38" s="209" t="s">
        <v>133</v>
      </c>
      <c r="X38" s="209" t="s">
        <v>133</v>
      </c>
      <c r="Y38" s="209" t="s">
        <v>133</v>
      </c>
      <c r="Z38" s="209" t="s">
        <v>133</v>
      </c>
      <c r="AA38" s="209" t="s">
        <v>133</v>
      </c>
      <c r="AB38" s="209" t="s">
        <v>133</v>
      </c>
      <c r="AC38" s="209" t="s">
        <v>133</v>
      </c>
      <c r="AD38" s="209" t="s">
        <v>133</v>
      </c>
      <c r="AE38" s="209" t="s">
        <v>2586</v>
      </c>
    </row>
    <row r="39" spans="1:31" x14ac:dyDescent="0.55000000000000004">
      <c r="A39" s="209" t="s">
        <v>2593</v>
      </c>
      <c r="B39" s="209" t="s">
        <v>2489</v>
      </c>
      <c r="C39" s="209" t="s">
        <v>2490</v>
      </c>
      <c r="D39" s="209" t="s">
        <v>2491</v>
      </c>
      <c r="E39" s="209" t="s">
        <v>2492</v>
      </c>
      <c r="F39" s="209" t="s">
        <v>2594</v>
      </c>
      <c r="G39" s="209" t="s">
        <v>2595</v>
      </c>
      <c r="H39" s="209" t="s">
        <v>2596</v>
      </c>
      <c r="I39" s="209" t="s">
        <v>2597</v>
      </c>
      <c r="J39" s="209" t="s">
        <v>2598</v>
      </c>
      <c r="K39" s="209" t="s">
        <v>2599</v>
      </c>
      <c r="L39" s="209" t="s">
        <v>2600</v>
      </c>
      <c r="M39" s="209" t="s">
        <v>2601</v>
      </c>
      <c r="N39" s="209" t="s">
        <v>2602</v>
      </c>
      <c r="O39" s="209" t="s">
        <v>2502</v>
      </c>
      <c r="P39" s="209" t="s">
        <v>2226</v>
      </c>
      <c r="Q39" s="209" t="s">
        <v>2226</v>
      </c>
      <c r="R39" s="209" t="s">
        <v>2373</v>
      </c>
      <c r="S39" s="209" t="s">
        <v>133</v>
      </c>
      <c r="T39" s="209" t="s">
        <v>133</v>
      </c>
      <c r="U39" s="209" t="s">
        <v>133</v>
      </c>
      <c r="V39" s="209" t="s">
        <v>133</v>
      </c>
      <c r="W39" s="209" t="s">
        <v>133</v>
      </c>
      <c r="X39" s="209" t="s">
        <v>133</v>
      </c>
      <c r="Y39" s="209" t="s">
        <v>133</v>
      </c>
      <c r="Z39" s="209" t="s">
        <v>133</v>
      </c>
      <c r="AA39" s="209" t="s">
        <v>133</v>
      </c>
      <c r="AB39" s="209" t="s">
        <v>133</v>
      </c>
      <c r="AC39" s="209" t="s">
        <v>133</v>
      </c>
      <c r="AD39" s="209" t="s">
        <v>133</v>
      </c>
      <c r="AE39" s="209" t="s">
        <v>2586</v>
      </c>
    </row>
    <row r="40" spans="1:31" x14ac:dyDescent="0.55000000000000004">
      <c r="A40" s="209" t="s">
        <v>2603</v>
      </c>
      <c r="B40" s="209" t="s">
        <v>2504</v>
      </c>
      <c r="C40" s="209" t="s">
        <v>2505</v>
      </c>
      <c r="D40" s="209" t="s">
        <v>2506</v>
      </c>
      <c r="E40" s="209" t="s">
        <v>2507</v>
      </c>
      <c r="F40" s="209" t="s">
        <v>2594</v>
      </c>
      <c r="G40" s="209" t="s">
        <v>2595</v>
      </c>
      <c r="H40" s="209" t="s">
        <v>2604</v>
      </c>
      <c r="I40" s="209" t="s">
        <v>2605</v>
      </c>
      <c r="J40" s="209" t="s">
        <v>2598</v>
      </c>
      <c r="K40" s="209" t="s">
        <v>2606</v>
      </c>
      <c r="L40" s="209" t="s">
        <v>2607</v>
      </c>
      <c r="M40" s="209" t="s">
        <v>2608</v>
      </c>
      <c r="N40" s="209" t="s">
        <v>2602</v>
      </c>
      <c r="O40" s="209" t="s">
        <v>2513</v>
      </c>
      <c r="P40" s="209" t="s">
        <v>2226</v>
      </c>
      <c r="Q40" s="209" t="s">
        <v>2236</v>
      </c>
      <c r="R40" s="209" t="s">
        <v>2373</v>
      </c>
      <c r="S40" s="209" t="s">
        <v>133</v>
      </c>
      <c r="T40" s="209" t="s">
        <v>133</v>
      </c>
      <c r="U40" s="209" t="s">
        <v>133</v>
      </c>
      <c r="V40" s="209" t="s">
        <v>133</v>
      </c>
      <c r="W40" s="209" t="s">
        <v>133</v>
      </c>
      <c r="X40" s="209" t="s">
        <v>133</v>
      </c>
      <c r="Y40" s="209" t="s">
        <v>133</v>
      </c>
      <c r="Z40" s="209" t="s">
        <v>133</v>
      </c>
      <c r="AA40" s="209" t="s">
        <v>133</v>
      </c>
      <c r="AB40" s="209" t="s">
        <v>133</v>
      </c>
      <c r="AC40" s="209" t="s">
        <v>133</v>
      </c>
      <c r="AD40" s="209" t="s">
        <v>133</v>
      </c>
      <c r="AE40" s="209" t="s">
        <v>2586</v>
      </c>
    </row>
    <row r="41" spans="1:31" x14ac:dyDescent="0.55000000000000004">
      <c r="A41" s="209" t="s">
        <v>2609</v>
      </c>
      <c r="B41" s="209" t="s">
        <v>2515</v>
      </c>
      <c r="C41" s="209" t="s">
        <v>2516</v>
      </c>
      <c r="D41" s="209" t="s">
        <v>2517</v>
      </c>
      <c r="E41" s="209" t="s">
        <v>2518</v>
      </c>
      <c r="F41" s="209" t="s">
        <v>2610</v>
      </c>
      <c r="G41" s="209" t="s">
        <v>2611</v>
      </c>
      <c r="H41" s="209" t="s">
        <v>133</v>
      </c>
      <c r="I41" s="209" t="s">
        <v>133</v>
      </c>
      <c r="J41" s="209" t="s">
        <v>2612</v>
      </c>
      <c r="K41" s="209" t="s">
        <v>2613</v>
      </c>
      <c r="L41" s="209" t="s">
        <v>2614</v>
      </c>
      <c r="M41" s="209" t="s">
        <v>2615</v>
      </c>
      <c r="N41" s="209" t="s">
        <v>2616</v>
      </c>
      <c r="O41" s="209" t="s">
        <v>2528</v>
      </c>
      <c r="P41" s="209" t="s">
        <v>2236</v>
      </c>
      <c r="Q41" s="209" t="s">
        <v>2250</v>
      </c>
      <c r="R41" s="209" t="s">
        <v>2373</v>
      </c>
      <c r="S41" s="209" t="s">
        <v>133</v>
      </c>
      <c r="T41" s="209" t="s">
        <v>133</v>
      </c>
      <c r="U41" s="209" t="s">
        <v>133</v>
      </c>
      <c r="V41" s="209" t="s">
        <v>133</v>
      </c>
      <c r="W41" s="209" t="s">
        <v>133</v>
      </c>
      <c r="X41" s="209" t="s">
        <v>133</v>
      </c>
      <c r="Y41" s="209" t="s">
        <v>133</v>
      </c>
      <c r="Z41" s="209" t="s">
        <v>133</v>
      </c>
      <c r="AA41" s="209" t="s">
        <v>133</v>
      </c>
      <c r="AB41" s="209" t="s">
        <v>133</v>
      </c>
      <c r="AC41" s="209" t="s">
        <v>133</v>
      </c>
      <c r="AD41" s="209" t="s">
        <v>133</v>
      </c>
      <c r="AE41" s="209" t="s">
        <v>2617</v>
      </c>
    </row>
    <row r="42" spans="1:31" x14ac:dyDescent="0.55000000000000004">
      <c r="A42" s="209" t="s">
        <v>2618</v>
      </c>
      <c r="B42" s="209" t="s">
        <v>2530</v>
      </c>
      <c r="C42" s="209" t="s">
        <v>2531</v>
      </c>
      <c r="D42" s="209" t="s">
        <v>2532</v>
      </c>
      <c r="E42" s="209" t="s">
        <v>2533</v>
      </c>
      <c r="F42" s="209" t="s">
        <v>2610</v>
      </c>
      <c r="G42" s="209" t="s">
        <v>2611</v>
      </c>
      <c r="H42" s="209" t="s">
        <v>133</v>
      </c>
      <c r="I42" s="209" t="s">
        <v>133</v>
      </c>
      <c r="J42" s="209" t="s">
        <v>2612</v>
      </c>
      <c r="K42" s="209" t="s">
        <v>2619</v>
      </c>
      <c r="L42" s="209" t="s">
        <v>2620</v>
      </c>
      <c r="M42" s="209" t="s">
        <v>2621</v>
      </c>
      <c r="N42" s="209" t="s">
        <v>2616</v>
      </c>
      <c r="O42" s="209" t="s">
        <v>2539</v>
      </c>
      <c r="P42" s="209" t="s">
        <v>2236</v>
      </c>
      <c r="Q42" s="209" t="s">
        <v>2260</v>
      </c>
      <c r="R42" s="209" t="s">
        <v>2373</v>
      </c>
      <c r="S42" s="209" t="s">
        <v>133</v>
      </c>
      <c r="T42" s="209" t="s">
        <v>133</v>
      </c>
      <c r="U42" s="209" t="s">
        <v>133</v>
      </c>
      <c r="V42" s="209" t="s">
        <v>133</v>
      </c>
      <c r="W42" s="209" t="s">
        <v>133</v>
      </c>
      <c r="X42" s="209" t="s">
        <v>133</v>
      </c>
      <c r="Y42" s="209" t="s">
        <v>133</v>
      </c>
      <c r="Z42" s="209" t="s">
        <v>133</v>
      </c>
      <c r="AA42" s="209" t="s">
        <v>133</v>
      </c>
      <c r="AB42" s="209" t="s">
        <v>133</v>
      </c>
      <c r="AC42" s="209" t="s">
        <v>133</v>
      </c>
      <c r="AD42" s="209" t="s">
        <v>133</v>
      </c>
      <c r="AE42" s="209" t="s">
        <v>2617</v>
      </c>
    </row>
    <row r="43" spans="1:31" x14ac:dyDescent="0.55000000000000004">
      <c r="A43" s="209" t="s">
        <v>2622</v>
      </c>
      <c r="B43" s="209" t="s">
        <v>2541</v>
      </c>
      <c r="C43" s="209" t="s">
        <v>2542</v>
      </c>
      <c r="D43" s="209" t="s">
        <v>2543</v>
      </c>
      <c r="E43" s="209" t="s">
        <v>2544</v>
      </c>
      <c r="F43" s="209" t="s">
        <v>2623</v>
      </c>
      <c r="G43" s="209" t="s">
        <v>2624</v>
      </c>
      <c r="H43" s="209" t="s">
        <v>2625</v>
      </c>
      <c r="I43" s="209" t="s">
        <v>2626</v>
      </c>
      <c r="J43" s="209" t="s">
        <v>2627</v>
      </c>
      <c r="K43" s="209" t="s">
        <v>2628</v>
      </c>
      <c r="L43" s="209" t="s">
        <v>2629</v>
      </c>
      <c r="M43" s="209" t="s">
        <v>2630</v>
      </c>
      <c r="N43" s="209" t="s">
        <v>2631</v>
      </c>
      <c r="O43" s="209" t="s">
        <v>2552</v>
      </c>
      <c r="P43" s="209" t="s">
        <v>2250</v>
      </c>
      <c r="Q43" s="209" t="s">
        <v>2274</v>
      </c>
      <c r="R43" s="209" t="s">
        <v>2373</v>
      </c>
      <c r="S43" s="209" t="s">
        <v>133</v>
      </c>
      <c r="T43" s="209" t="s">
        <v>133</v>
      </c>
      <c r="U43" s="209" t="s">
        <v>133</v>
      </c>
      <c r="V43" s="209" t="s">
        <v>133</v>
      </c>
      <c r="W43" s="209" t="s">
        <v>133</v>
      </c>
      <c r="X43" s="209" t="s">
        <v>133</v>
      </c>
      <c r="Y43" s="209" t="s">
        <v>133</v>
      </c>
      <c r="Z43" s="209" t="s">
        <v>133</v>
      </c>
      <c r="AA43" s="209" t="s">
        <v>133</v>
      </c>
      <c r="AB43" s="209" t="s">
        <v>133</v>
      </c>
      <c r="AC43" s="209" t="s">
        <v>133</v>
      </c>
      <c r="AD43" s="209" t="s">
        <v>133</v>
      </c>
      <c r="AE43" s="209" t="s">
        <v>2586</v>
      </c>
    </row>
    <row r="44" spans="1:31" x14ac:dyDescent="0.55000000000000004">
      <c r="A44" s="209" t="s">
        <v>2632</v>
      </c>
      <c r="B44" s="209" t="s">
        <v>2555</v>
      </c>
      <c r="C44" s="209" t="s">
        <v>2556</v>
      </c>
      <c r="D44" s="209" t="s">
        <v>2557</v>
      </c>
      <c r="E44" s="209" t="s">
        <v>2558</v>
      </c>
      <c r="F44" s="209" t="s">
        <v>2623</v>
      </c>
      <c r="G44" s="209" t="s">
        <v>2624</v>
      </c>
      <c r="H44" s="209" t="s">
        <v>2633</v>
      </c>
      <c r="I44" s="209" t="s">
        <v>2634</v>
      </c>
      <c r="J44" s="209" t="s">
        <v>2627</v>
      </c>
      <c r="K44" s="209" t="s">
        <v>2635</v>
      </c>
      <c r="L44" s="209" t="s">
        <v>2636</v>
      </c>
      <c r="M44" s="209" t="s">
        <v>2637</v>
      </c>
      <c r="N44" s="209" t="s">
        <v>2631</v>
      </c>
      <c r="O44" s="209" t="s">
        <v>2562</v>
      </c>
      <c r="P44" s="209" t="s">
        <v>2250</v>
      </c>
      <c r="Q44" s="209" t="s">
        <v>2284</v>
      </c>
      <c r="R44" s="209" t="s">
        <v>2373</v>
      </c>
      <c r="S44" s="209" t="s">
        <v>133</v>
      </c>
      <c r="T44" s="209" t="s">
        <v>133</v>
      </c>
      <c r="U44" s="209" t="s">
        <v>133</v>
      </c>
      <c r="V44" s="209" t="s">
        <v>133</v>
      </c>
      <c r="W44" s="209" t="s">
        <v>133</v>
      </c>
      <c r="X44" s="209" t="s">
        <v>133</v>
      </c>
      <c r="Y44" s="209" t="s">
        <v>133</v>
      </c>
      <c r="Z44" s="209" t="s">
        <v>133</v>
      </c>
      <c r="AA44" s="209" t="s">
        <v>133</v>
      </c>
      <c r="AB44" s="209" t="s">
        <v>133</v>
      </c>
      <c r="AC44" s="209" t="s">
        <v>133</v>
      </c>
      <c r="AD44" s="209" t="s">
        <v>133</v>
      </c>
      <c r="AE44" s="209" t="s">
        <v>2586</v>
      </c>
    </row>
    <row r="45" spans="1:31" x14ac:dyDescent="0.55000000000000004">
      <c r="A45" s="209" t="s">
        <v>2638</v>
      </c>
      <c r="B45" s="209" t="s">
        <v>2639</v>
      </c>
      <c r="C45" s="209" t="s">
        <v>2640</v>
      </c>
      <c r="D45" s="209" t="s">
        <v>2641</v>
      </c>
      <c r="E45" s="209" t="s">
        <v>2642</v>
      </c>
      <c r="F45" s="209" t="s">
        <v>2643</v>
      </c>
      <c r="G45" s="209" t="s">
        <v>2644</v>
      </c>
      <c r="H45" s="209" t="s">
        <v>133</v>
      </c>
      <c r="I45" s="209" t="s">
        <v>133</v>
      </c>
      <c r="J45" s="209" t="s">
        <v>2645</v>
      </c>
      <c r="K45" s="209" t="s">
        <v>2646</v>
      </c>
      <c r="L45" s="209" t="s">
        <v>2647</v>
      </c>
      <c r="M45" s="209" t="s">
        <v>2648</v>
      </c>
      <c r="N45" s="209" t="s">
        <v>2649</v>
      </c>
      <c r="O45" s="209" t="s">
        <v>2650</v>
      </c>
      <c r="P45" s="209" t="s">
        <v>2179</v>
      </c>
      <c r="Q45" s="209" t="s">
        <v>2180</v>
      </c>
      <c r="R45" s="209" t="s">
        <v>2181</v>
      </c>
      <c r="S45" s="209" t="s">
        <v>133</v>
      </c>
      <c r="T45" s="209" t="s">
        <v>133</v>
      </c>
      <c r="U45" s="209" t="s">
        <v>133</v>
      </c>
      <c r="V45" s="209" t="s">
        <v>133</v>
      </c>
      <c r="W45" s="209" t="s">
        <v>133</v>
      </c>
      <c r="X45" s="209" t="s">
        <v>133</v>
      </c>
      <c r="Y45" s="209" t="s">
        <v>133</v>
      </c>
      <c r="Z45" s="209" t="s">
        <v>2651</v>
      </c>
      <c r="AA45" s="209" t="s">
        <v>133</v>
      </c>
      <c r="AB45" s="209" t="s">
        <v>133</v>
      </c>
      <c r="AC45" s="209" t="s">
        <v>133</v>
      </c>
      <c r="AD45" s="209" t="s">
        <v>133</v>
      </c>
      <c r="AE45" s="209" t="s">
        <v>2652</v>
      </c>
    </row>
    <row r="46" spans="1:31" x14ac:dyDescent="0.55000000000000004">
      <c r="A46" s="209" t="s">
        <v>2653</v>
      </c>
      <c r="B46" s="209" t="s">
        <v>2654</v>
      </c>
      <c r="C46" s="209" t="s">
        <v>2655</v>
      </c>
      <c r="D46" s="209" t="s">
        <v>2656</v>
      </c>
      <c r="E46" s="209" t="s">
        <v>2657</v>
      </c>
      <c r="F46" s="209" t="s">
        <v>2643</v>
      </c>
      <c r="G46" s="209" t="s">
        <v>2644</v>
      </c>
      <c r="H46" s="209" t="s">
        <v>133</v>
      </c>
      <c r="I46" s="209" t="s">
        <v>133</v>
      </c>
      <c r="J46" s="209" t="s">
        <v>2645</v>
      </c>
      <c r="K46" s="209" t="s">
        <v>2658</v>
      </c>
      <c r="L46" s="209" t="s">
        <v>2659</v>
      </c>
      <c r="M46" s="209" t="s">
        <v>2660</v>
      </c>
      <c r="N46" s="209" t="s">
        <v>2649</v>
      </c>
      <c r="O46" s="209" t="s">
        <v>2661</v>
      </c>
      <c r="P46" s="209" t="s">
        <v>2179</v>
      </c>
      <c r="Q46" s="209" t="s">
        <v>2179</v>
      </c>
      <c r="R46" s="209" t="s">
        <v>2181</v>
      </c>
      <c r="S46" s="209" t="s">
        <v>133</v>
      </c>
      <c r="T46" s="209" t="s">
        <v>133</v>
      </c>
      <c r="U46" s="209" t="s">
        <v>133</v>
      </c>
      <c r="V46" s="209" t="s">
        <v>133</v>
      </c>
      <c r="W46" s="209" t="s">
        <v>133</v>
      </c>
      <c r="X46" s="209" t="s">
        <v>133</v>
      </c>
      <c r="Y46" s="209" t="s">
        <v>133</v>
      </c>
      <c r="Z46" s="209" t="s">
        <v>2651</v>
      </c>
      <c r="AA46" s="209" t="s">
        <v>133</v>
      </c>
      <c r="AB46" s="209" t="s">
        <v>133</v>
      </c>
      <c r="AC46" s="209" t="s">
        <v>133</v>
      </c>
      <c r="AD46" s="209" t="s">
        <v>133</v>
      </c>
      <c r="AE46" s="209" t="s">
        <v>2652</v>
      </c>
    </row>
    <row r="47" spans="1:31" x14ac:dyDescent="0.55000000000000004">
      <c r="A47" s="209" t="s">
        <v>2662</v>
      </c>
      <c r="B47" s="209" t="s">
        <v>2663</v>
      </c>
      <c r="C47" s="209" t="s">
        <v>2664</v>
      </c>
      <c r="D47" s="209" t="s">
        <v>2665</v>
      </c>
      <c r="E47" s="209" t="s">
        <v>2666</v>
      </c>
      <c r="F47" s="209" t="s">
        <v>2667</v>
      </c>
      <c r="G47" s="209" t="s">
        <v>2668</v>
      </c>
      <c r="H47" s="209" t="s">
        <v>133</v>
      </c>
      <c r="I47" s="209" t="s">
        <v>133</v>
      </c>
      <c r="J47" s="209" t="s">
        <v>2669</v>
      </c>
      <c r="K47" s="209" t="s">
        <v>2670</v>
      </c>
      <c r="L47" s="209" t="s">
        <v>2671</v>
      </c>
      <c r="M47" s="209" t="s">
        <v>2672</v>
      </c>
      <c r="N47" s="209" t="s">
        <v>2673</v>
      </c>
      <c r="O47" s="209" t="s">
        <v>2674</v>
      </c>
      <c r="P47" s="209" t="s">
        <v>2226</v>
      </c>
      <c r="Q47" s="209" t="s">
        <v>2226</v>
      </c>
      <c r="R47" s="209" t="s">
        <v>2181</v>
      </c>
      <c r="S47" s="209" t="s">
        <v>133</v>
      </c>
      <c r="T47" s="209" t="s">
        <v>133</v>
      </c>
      <c r="U47" s="209" t="s">
        <v>133</v>
      </c>
      <c r="V47" s="209" t="s">
        <v>133</v>
      </c>
      <c r="W47" s="209" t="s">
        <v>133</v>
      </c>
      <c r="X47" s="209" t="s">
        <v>133</v>
      </c>
      <c r="Y47" s="209" t="s">
        <v>133</v>
      </c>
      <c r="Z47" s="209" t="s">
        <v>2675</v>
      </c>
      <c r="AA47" s="209" t="s">
        <v>133</v>
      </c>
      <c r="AB47" s="209" t="s">
        <v>133</v>
      </c>
      <c r="AC47" s="209" t="s">
        <v>133</v>
      </c>
      <c r="AD47" s="209" t="s">
        <v>133</v>
      </c>
      <c r="AE47" s="209" t="s">
        <v>2676</v>
      </c>
    </row>
    <row r="48" spans="1:31" x14ac:dyDescent="0.55000000000000004">
      <c r="A48" s="209" t="s">
        <v>2677</v>
      </c>
      <c r="B48" s="209" t="s">
        <v>2678</v>
      </c>
      <c r="C48" s="209" t="s">
        <v>2679</v>
      </c>
      <c r="D48" s="209" t="s">
        <v>2680</v>
      </c>
      <c r="E48" s="209" t="s">
        <v>2681</v>
      </c>
      <c r="F48" s="209" t="s">
        <v>2667</v>
      </c>
      <c r="G48" s="209" t="s">
        <v>2668</v>
      </c>
      <c r="H48" s="209" t="s">
        <v>133</v>
      </c>
      <c r="I48" s="209" t="s">
        <v>133</v>
      </c>
      <c r="J48" s="209" t="s">
        <v>2669</v>
      </c>
      <c r="K48" s="209" t="s">
        <v>2682</v>
      </c>
      <c r="L48" s="209" t="s">
        <v>2683</v>
      </c>
      <c r="M48" s="209" t="s">
        <v>2684</v>
      </c>
      <c r="N48" s="209" t="s">
        <v>2673</v>
      </c>
      <c r="O48" s="209" t="s">
        <v>2685</v>
      </c>
      <c r="P48" s="209" t="s">
        <v>2226</v>
      </c>
      <c r="Q48" s="209" t="s">
        <v>2236</v>
      </c>
      <c r="R48" s="209" t="s">
        <v>2181</v>
      </c>
      <c r="S48" s="209" t="s">
        <v>133</v>
      </c>
      <c r="T48" s="209" t="s">
        <v>133</v>
      </c>
      <c r="U48" s="209" t="s">
        <v>133</v>
      </c>
      <c r="V48" s="209" t="s">
        <v>133</v>
      </c>
      <c r="W48" s="209" t="s">
        <v>133</v>
      </c>
      <c r="X48" s="209" t="s">
        <v>133</v>
      </c>
      <c r="Y48" s="209" t="s">
        <v>133</v>
      </c>
      <c r="Z48" s="209" t="s">
        <v>2675</v>
      </c>
      <c r="AA48" s="209" t="s">
        <v>133</v>
      </c>
      <c r="AB48" s="209" t="s">
        <v>133</v>
      </c>
      <c r="AC48" s="209" t="s">
        <v>133</v>
      </c>
      <c r="AD48" s="209" t="s">
        <v>133</v>
      </c>
      <c r="AE48" s="209" t="s">
        <v>2676</v>
      </c>
    </row>
    <row r="49" spans="1:31" x14ac:dyDescent="0.55000000000000004">
      <c r="A49" s="209" t="s">
        <v>2686</v>
      </c>
      <c r="B49" s="209" t="s">
        <v>2687</v>
      </c>
      <c r="C49" s="209" t="s">
        <v>2688</v>
      </c>
      <c r="D49" s="209" t="s">
        <v>2689</v>
      </c>
      <c r="E49" s="209" t="s">
        <v>2690</v>
      </c>
      <c r="F49" s="209" t="s">
        <v>2691</v>
      </c>
      <c r="G49" s="209" t="s">
        <v>2692</v>
      </c>
      <c r="H49" s="209" t="s">
        <v>133</v>
      </c>
      <c r="I49" s="209" t="s">
        <v>133</v>
      </c>
      <c r="J49" s="209" t="s">
        <v>2693</v>
      </c>
      <c r="K49" s="209" t="s">
        <v>2694</v>
      </c>
      <c r="L49" s="209" t="s">
        <v>2695</v>
      </c>
      <c r="M49" s="209" t="s">
        <v>2696</v>
      </c>
      <c r="N49" s="209" t="s">
        <v>2697</v>
      </c>
      <c r="O49" s="209" t="s">
        <v>2698</v>
      </c>
      <c r="P49" s="209" t="s">
        <v>2236</v>
      </c>
      <c r="Q49" s="209" t="s">
        <v>2250</v>
      </c>
      <c r="R49" s="209" t="s">
        <v>2181</v>
      </c>
      <c r="S49" s="209" t="s">
        <v>133</v>
      </c>
      <c r="T49" s="209" t="s">
        <v>133</v>
      </c>
      <c r="U49" s="209" t="s">
        <v>133</v>
      </c>
      <c r="V49" s="209" t="s">
        <v>133</v>
      </c>
      <c r="W49" s="209" t="s">
        <v>133</v>
      </c>
      <c r="X49" s="209" t="s">
        <v>133</v>
      </c>
      <c r="Y49" s="209" t="s">
        <v>133</v>
      </c>
      <c r="Z49" s="209" t="s">
        <v>2699</v>
      </c>
      <c r="AA49" s="209" t="s">
        <v>133</v>
      </c>
      <c r="AB49" s="209" t="s">
        <v>133</v>
      </c>
      <c r="AC49" s="209" t="s">
        <v>133</v>
      </c>
      <c r="AD49" s="209" t="s">
        <v>133</v>
      </c>
      <c r="AE49" s="209" t="s">
        <v>2700</v>
      </c>
    </row>
    <row r="50" spans="1:31" x14ac:dyDescent="0.55000000000000004">
      <c r="A50" s="209" t="s">
        <v>2701</v>
      </c>
      <c r="B50" s="209" t="s">
        <v>2702</v>
      </c>
      <c r="C50" s="209" t="s">
        <v>2703</v>
      </c>
      <c r="D50" s="209" t="s">
        <v>2704</v>
      </c>
      <c r="E50" s="209" t="s">
        <v>2705</v>
      </c>
      <c r="F50" s="209" t="s">
        <v>2691</v>
      </c>
      <c r="G50" s="209" t="s">
        <v>2692</v>
      </c>
      <c r="H50" s="209" t="s">
        <v>133</v>
      </c>
      <c r="I50" s="209" t="s">
        <v>133</v>
      </c>
      <c r="J50" s="209" t="s">
        <v>2693</v>
      </c>
      <c r="K50" s="209" t="s">
        <v>2706</v>
      </c>
      <c r="L50" s="209" t="s">
        <v>2707</v>
      </c>
      <c r="M50" s="209" t="s">
        <v>2708</v>
      </c>
      <c r="N50" s="209" t="s">
        <v>2697</v>
      </c>
      <c r="O50" s="209" t="s">
        <v>2709</v>
      </c>
      <c r="P50" s="209" t="s">
        <v>2236</v>
      </c>
      <c r="Q50" s="209" t="s">
        <v>2260</v>
      </c>
      <c r="R50" s="209" t="s">
        <v>2181</v>
      </c>
      <c r="S50" s="209" t="s">
        <v>133</v>
      </c>
      <c r="T50" s="209" t="s">
        <v>133</v>
      </c>
      <c r="U50" s="209" t="s">
        <v>133</v>
      </c>
      <c r="V50" s="209" t="s">
        <v>133</v>
      </c>
      <c r="W50" s="209" t="s">
        <v>133</v>
      </c>
      <c r="X50" s="209" t="s">
        <v>133</v>
      </c>
      <c r="Y50" s="209" t="s">
        <v>133</v>
      </c>
      <c r="Z50" s="209" t="s">
        <v>2699</v>
      </c>
      <c r="AA50" s="209" t="s">
        <v>133</v>
      </c>
      <c r="AB50" s="209" t="s">
        <v>133</v>
      </c>
      <c r="AC50" s="209" t="s">
        <v>133</v>
      </c>
      <c r="AD50" s="209" t="s">
        <v>133</v>
      </c>
      <c r="AE50" s="209" t="s">
        <v>2700</v>
      </c>
    </row>
    <row r="51" spans="1:31" x14ac:dyDescent="0.55000000000000004">
      <c r="A51" s="209" t="s">
        <v>2710</v>
      </c>
      <c r="B51" s="209" t="s">
        <v>2711</v>
      </c>
      <c r="C51" s="209" t="s">
        <v>2712</v>
      </c>
      <c r="D51" s="209" t="s">
        <v>2713</v>
      </c>
      <c r="E51" s="209" t="s">
        <v>2714</v>
      </c>
      <c r="F51" s="209" t="s">
        <v>2715</v>
      </c>
      <c r="G51" s="209" t="s">
        <v>2716</v>
      </c>
      <c r="H51" s="209" t="s">
        <v>133</v>
      </c>
      <c r="I51" s="209" t="s">
        <v>133</v>
      </c>
      <c r="J51" s="209" t="s">
        <v>2717</v>
      </c>
      <c r="K51" s="209" t="s">
        <v>2718</v>
      </c>
      <c r="L51" s="209" t="s">
        <v>2719</v>
      </c>
      <c r="M51" s="209" t="s">
        <v>2720</v>
      </c>
      <c r="N51" s="209" t="s">
        <v>2721</v>
      </c>
      <c r="O51" s="209" t="s">
        <v>2722</v>
      </c>
      <c r="P51" s="209" t="s">
        <v>2250</v>
      </c>
      <c r="Q51" s="209" t="s">
        <v>2274</v>
      </c>
      <c r="R51" s="209" t="s">
        <v>2181</v>
      </c>
      <c r="S51" s="209" t="s">
        <v>133</v>
      </c>
      <c r="T51" s="209" t="s">
        <v>133</v>
      </c>
      <c r="U51" s="209" t="s">
        <v>133</v>
      </c>
      <c r="V51" s="209" t="s">
        <v>133</v>
      </c>
      <c r="W51" s="209" t="s">
        <v>133</v>
      </c>
      <c r="X51" s="209" t="s">
        <v>133</v>
      </c>
      <c r="Y51" s="209" t="s">
        <v>133</v>
      </c>
      <c r="Z51" s="209" t="s">
        <v>2723</v>
      </c>
      <c r="AA51" s="209" t="s">
        <v>133</v>
      </c>
      <c r="AB51" s="209" t="s">
        <v>133</v>
      </c>
      <c r="AC51" s="209" t="s">
        <v>133</v>
      </c>
      <c r="AD51" s="209" t="s">
        <v>133</v>
      </c>
      <c r="AE51" s="209" t="s">
        <v>2724</v>
      </c>
    </row>
    <row r="52" spans="1:31" x14ac:dyDescent="0.55000000000000004">
      <c r="A52" s="209" t="s">
        <v>2725</v>
      </c>
      <c r="B52" s="209" t="s">
        <v>2726</v>
      </c>
      <c r="C52" s="209" t="s">
        <v>2727</v>
      </c>
      <c r="D52" s="209" t="s">
        <v>2728</v>
      </c>
      <c r="E52" s="209" t="s">
        <v>2729</v>
      </c>
      <c r="F52" s="209" t="s">
        <v>2715</v>
      </c>
      <c r="G52" s="209" t="s">
        <v>2716</v>
      </c>
      <c r="H52" s="209" t="s">
        <v>133</v>
      </c>
      <c r="I52" s="209" t="s">
        <v>133</v>
      </c>
      <c r="J52" s="209" t="s">
        <v>2717</v>
      </c>
      <c r="K52" s="209" t="s">
        <v>2730</v>
      </c>
      <c r="L52" s="209" t="s">
        <v>2731</v>
      </c>
      <c r="M52" s="209" t="s">
        <v>2732</v>
      </c>
      <c r="N52" s="209" t="s">
        <v>2721</v>
      </c>
      <c r="O52" s="209" t="s">
        <v>2733</v>
      </c>
      <c r="P52" s="209" t="s">
        <v>2250</v>
      </c>
      <c r="Q52" s="209" t="s">
        <v>2284</v>
      </c>
      <c r="R52" s="209" t="s">
        <v>2181</v>
      </c>
      <c r="S52" s="209" t="s">
        <v>133</v>
      </c>
      <c r="T52" s="209" t="s">
        <v>133</v>
      </c>
      <c r="U52" s="209" t="s">
        <v>133</v>
      </c>
      <c r="V52" s="209" t="s">
        <v>133</v>
      </c>
      <c r="W52" s="209" t="s">
        <v>133</v>
      </c>
      <c r="X52" s="209" t="s">
        <v>133</v>
      </c>
      <c r="Y52" s="209" t="s">
        <v>133</v>
      </c>
      <c r="Z52" s="209" t="s">
        <v>2723</v>
      </c>
      <c r="AA52" s="209" t="s">
        <v>133</v>
      </c>
      <c r="AB52" s="209" t="s">
        <v>133</v>
      </c>
      <c r="AC52" s="209" t="s">
        <v>133</v>
      </c>
      <c r="AD52" s="209" t="s">
        <v>133</v>
      </c>
      <c r="AE52" s="209" t="s">
        <v>2724</v>
      </c>
    </row>
    <row r="53" spans="1:31" x14ac:dyDescent="0.55000000000000004">
      <c r="A53" s="209" t="s">
        <v>2734</v>
      </c>
      <c r="B53" s="209" t="s">
        <v>2735</v>
      </c>
      <c r="C53" s="209" t="s">
        <v>2736</v>
      </c>
      <c r="D53" s="209" t="s">
        <v>2737</v>
      </c>
      <c r="E53" s="209" t="s">
        <v>2738</v>
      </c>
      <c r="F53" s="209" t="s">
        <v>2739</v>
      </c>
      <c r="G53" s="209" t="s">
        <v>2740</v>
      </c>
      <c r="H53" s="209" t="s">
        <v>133</v>
      </c>
      <c r="I53" s="209" t="s">
        <v>133</v>
      </c>
      <c r="J53" s="209" t="s">
        <v>2741</v>
      </c>
      <c r="K53" s="209" t="s">
        <v>2742</v>
      </c>
      <c r="L53" s="209" t="s">
        <v>2743</v>
      </c>
      <c r="M53" s="209" t="s">
        <v>2744</v>
      </c>
      <c r="N53" s="209" t="s">
        <v>2745</v>
      </c>
      <c r="O53" s="209" t="s">
        <v>2746</v>
      </c>
      <c r="P53" s="209" t="s">
        <v>2260</v>
      </c>
      <c r="Q53" s="209" t="s">
        <v>2298</v>
      </c>
      <c r="R53" s="209" t="s">
        <v>2181</v>
      </c>
      <c r="S53" s="209" t="s">
        <v>133</v>
      </c>
      <c r="T53" s="209" t="s">
        <v>133</v>
      </c>
      <c r="U53" s="209" t="s">
        <v>133</v>
      </c>
      <c r="V53" s="209" t="s">
        <v>133</v>
      </c>
      <c r="W53" s="209" t="s">
        <v>133</v>
      </c>
      <c r="X53" s="209" t="s">
        <v>133</v>
      </c>
      <c r="Y53" s="209" t="s">
        <v>133</v>
      </c>
      <c r="Z53" s="209" t="s">
        <v>2747</v>
      </c>
      <c r="AA53" s="209" t="s">
        <v>133</v>
      </c>
      <c r="AB53" s="209" t="s">
        <v>133</v>
      </c>
      <c r="AC53" s="209" t="s">
        <v>133</v>
      </c>
      <c r="AD53" s="209" t="s">
        <v>133</v>
      </c>
      <c r="AE53" s="209" t="s">
        <v>2748</v>
      </c>
    </row>
    <row r="54" spans="1:31" x14ac:dyDescent="0.55000000000000004">
      <c r="A54" s="209" t="s">
        <v>2749</v>
      </c>
      <c r="B54" s="209" t="s">
        <v>2750</v>
      </c>
      <c r="C54" s="209" t="s">
        <v>2751</v>
      </c>
      <c r="D54" s="209" t="s">
        <v>2752</v>
      </c>
      <c r="E54" s="209" t="s">
        <v>2753</v>
      </c>
      <c r="F54" s="209" t="s">
        <v>2739</v>
      </c>
      <c r="G54" s="209" t="s">
        <v>2740</v>
      </c>
      <c r="H54" s="209" t="s">
        <v>133</v>
      </c>
      <c r="I54" s="209" t="s">
        <v>133</v>
      </c>
      <c r="J54" s="209" t="s">
        <v>2741</v>
      </c>
      <c r="K54" s="209" t="s">
        <v>2754</v>
      </c>
      <c r="L54" s="209" t="s">
        <v>2755</v>
      </c>
      <c r="M54" s="209" t="s">
        <v>2756</v>
      </c>
      <c r="N54" s="209" t="s">
        <v>2745</v>
      </c>
      <c r="O54" s="209" t="s">
        <v>2757</v>
      </c>
      <c r="P54" s="209" t="s">
        <v>2260</v>
      </c>
      <c r="Q54" s="209" t="s">
        <v>2309</v>
      </c>
      <c r="R54" s="209" t="s">
        <v>2181</v>
      </c>
      <c r="S54" s="209" t="s">
        <v>133</v>
      </c>
      <c r="T54" s="209" t="s">
        <v>133</v>
      </c>
      <c r="U54" s="209" t="s">
        <v>133</v>
      </c>
      <c r="V54" s="209" t="s">
        <v>133</v>
      </c>
      <c r="W54" s="209" t="s">
        <v>133</v>
      </c>
      <c r="X54" s="209" t="s">
        <v>133</v>
      </c>
      <c r="Y54" s="209" t="s">
        <v>133</v>
      </c>
      <c r="Z54" s="209" t="s">
        <v>2747</v>
      </c>
      <c r="AA54" s="209" t="s">
        <v>133</v>
      </c>
      <c r="AB54" s="209" t="s">
        <v>133</v>
      </c>
      <c r="AC54" s="209" t="s">
        <v>133</v>
      </c>
      <c r="AD54" s="209" t="s">
        <v>133</v>
      </c>
      <c r="AE54" s="209" t="s">
        <v>2748</v>
      </c>
    </row>
    <row r="55" spans="1:31" x14ac:dyDescent="0.55000000000000004">
      <c r="A55" s="209" t="s">
        <v>2758</v>
      </c>
      <c r="B55" s="209" t="s">
        <v>2359</v>
      </c>
      <c r="C55" s="209" t="s">
        <v>2360</v>
      </c>
      <c r="D55" s="209" t="s">
        <v>2361</v>
      </c>
      <c r="E55" s="209" t="s">
        <v>2362</v>
      </c>
      <c r="F55" s="209" t="s">
        <v>2759</v>
      </c>
      <c r="G55" s="209" t="s">
        <v>2760</v>
      </c>
      <c r="H55" s="209" t="s">
        <v>133</v>
      </c>
      <c r="I55" s="209" t="s">
        <v>133</v>
      </c>
      <c r="J55" s="209" t="s">
        <v>2761</v>
      </c>
      <c r="K55" s="209" t="s">
        <v>2762</v>
      </c>
      <c r="L55" s="209" t="s">
        <v>2763</v>
      </c>
      <c r="M55" s="209" t="s">
        <v>2764</v>
      </c>
      <c r="N55" s="209" t="s">
        <v>2765</v>
      </c>
      <c r="O55" s="209" t="s">
        <v>2372</v>
      </c>
      <c r="P55" s="209" t="s">
        <v>2179</v>
      </c>
      <c r="Q55" s="209" t="s">
        <v>2180</v>
      </c>
      <c r="R55" s="209" t="s">
        <v>2181</v>
      </c>
      <c r="S55" s="209" t="s">
        <v>133</v>
      </c>
      <c r="T55" s="209" t="s">
        <v>133</v>
      </c>
      <c r="U55" s="209" t="s">
        <v>133</v>
      </c>
      <c r="V55" s="209" t="s">
        <v>133</v>
      </c>
      <c r="W55" s="209" t="s">
        <v>133</v>
      </c>
      <c r="X55" s="209" t="s">
        <v>133</v>
      </c>
      <c r="Y55" s="209" t="s">
        <v>133</v>
      </c>
      <c r="Z55" s="209" t="s">
        <v>2766</v>
      </c>
      <c r="AA55" s="209" t="s">
        <v>133</v>
      </c>
      <c r="AB55" s="209" t="s">
        <v>133</v>
      </c>
      <c r="AC55" s="209" t="s">
        <v>133</v>
      </c>
      <c r="AD55" s="209" t="s">
        <v>133</v>
      </c>
      <c r="AE55" s="209" t="s">
        <v>2767</v>
      </c>
    </row>
    <row r="56" spans="1:31" x14ac:dyDescent="0.55000000000000004">
      <c r="A56" s="209" t="s">
        <v>2768</v>
      </c>
      <c r="B56" s="209" t="s">
        <v>2376</v>
      </c>
      <c r="C56" s="209" t="s">
        <v>2377</v>
      </c>
      <c r="D56" s="209" t="s">
        <v>2378</v>
      </c>
      <c r="E56" s="209" t="s">
        <v>2379</v>
      </c>
      <c r="F56" s="209" t="s">
        <v>2759</v>
      </c>
      <c r="G56" s="209" t="s">
        <v>2760</v>
      </c>
      <c r="H56" s="209" t="s">
        <v>133</v>
      </c>
      <c r="I56" s="209" t="s">
        <v>133</v>
      </c>
      <c r="J56" s="209" t="s">
        <v>2761</v>
      </c>
      <c r="K56" s="209" t="s">
        <v>2769</v>
      </c>
      <c r="L56" s="209" t="s">
        <v>2770</v>
      </c>
      <c r="M56" s="209" t="s">
        <v>2771</v>
      </c>
      <c r="N56" s="209" t="s">
        <v>2765</v>
      </c>
      <c r="O56" s="209" t="s">
        <v>2385</v>
      </c>
      <c r="P56" s="209" t="s">
        <v>2179</v>
      </c>
      <c r="Q56" s="209" t="s">
        <v>2179</v>
      </c>
      <c r="R56" s="209" t="s">
        <v>2181</v>
      </c>
      <c r="S56" s="209" t="s">
        <v>133</v>
      </c>
      <c r="T56" s="209" t="s">
        <v>133</v>
      </c>
      <c r="U56" s="209" t="s">
        <v>133</v>
      </c>
      <c r="V56" s="209" t="s">
        <v>133</v>
      </c>
      <c r="W56" s="209" t="s">
        <v>133</v>
      </c>
      <c r="X56" s="209" t="s">
        <v>133</v>
      </c>
      <c r="Y56" s="209" t="s">
        <v>133</v>
      </c>
      <c r="Z56" s="209" t="s">
        <v>2766</v>
      </c>
      <c r="AA56" s="209" t="s">
        <v>133</v>
      </c>
      <c r="AB56" s="209" t="s">
        <v>133</v>
      </c>
      <c r="AC56" s="209" t="s">
        <v>133</v>
      </c>
      <c r="AD56" s="209" t="s">
        <v>133</v>
      </c>
      <c r="AE56" s="209" t="s">
        <v>2767</v>
      </c>
    </row>
    <row r="57" spans="1:31" x14ac:dyDescent="0.55000000000000004">
      <c r="A57" s="209" t="s">
        <v>2772</v>
      </c>
      <c r="B57" s="209" t="s">
        <v>2387</v>
      </c>
      <c r="C57" s="209" t="s">
        <v>2388</v>
      </c>
      <c r="D57" s="209" t="s">
        <v>2389</v>
      </c>
      <c r="E57" s="209" t="s">
        <v>2390</v>
      </c>
      <c r="F57" s="209" t="s">
        <v>2773</v>
      </c>
      <c r="G57" s="209" t="s">
        <v>2774</v>
      </c>
      <c r="H57" s="209" t="s">
        <v>133</v>
      </c>
      <c r="I57" s="209" t="s">
        <v>133</v>
      </c>
      <c r="J57" s="209" t="s">
        <v>2775</v>
      </c>
      <c r="K57" s="209" t="s">
        <v>2776</v>
      </c>
      <c r="L57" s="209" t="s">
        <v>2777</v>
      </c>
      <c r="M57" s="209" t="s">
        <v>2778</v>
      </c>
      <c r="N57" s="209" t="s">
        <v>2779</v>
      </c>
      <c r="O57" s="209" t="s">
        <v>2400</v>
      </c>
      <c r="P57" s="209" t="s">
        <v>2226</v>
      </c>
      <c r="Q57" s="209" t="s">
        <v>2226</v>
      </c>
      <c r="R57" s="209" t="s">
        <v>2181</v>
      </c>
      <c r="S57" s="209" t="s">
        <v>133</v>
      </c>
      <c r="T57" s="209" t="s">
        <v>133</v>
      </c>
      <c r="U57" s="209" t="s">
        <v>133</v>
      </c>
      <c r="V57" s="209" t="s">
        <v>133</v>
      </c>
      <c r="W57" s="209" t="s">
        <v>133</v>
      </c>
      <c r="X57" s="209" t="s">
        <v>133</v>
      </c>
      <c r="Y57" s="209" t="s">
        <v>133</v>
      </c>
      <c r="Z57" s="209" t="s">
        <v>2780</v>
      </c>
      <c r="AA57" s="209" t="s">
        <v>133</v>
      </c>
      <c r="AB57" s="209" t="s">
        <v>133</v>
      </c>
      <c r="AC57" s="209" t="s">
        <v>133</v>
      </c>
      <c r="AD57" s="209" t="s">
        <v>133</v>
      </c>
      <c r="AE57" s="209" t="s">
        <v>2781</v>
      </c>
    </row>
    <row r="58" spans="1:31" x14ac:dyDescent="0.55000000000000004">
      <c r="A58" s="209" t="s">
        <v>2782</v>
      </c>
      <c r="B58" s="209" t="s">
        <v>2402</v>
      </c>
      <c r="C58" s="209" t="s">
        <v>2403</v>
      </c>
      <c r="D58" s="209" t="s">
        <v>2404</v>
      </c>
      <c r="E58" s="209" t="s">
        <v>2405</v>
      </c>
      <c r="F58" s="209" t="s">
        <v>2773</v>
      </c>
      <c r="G58" s="209" t="s">
        <v>2774</v>
      </c>
      <c r="H58" s="209" t="s">
        <v>133</v>
      </c>
      <c r="I58" s="209" t="s">
        <v>133</v>
      </c>
      <c r="J58" s="209" t="s">
        <v>2775</v>
      </c>
      <c r="K58" s="209" t="s">
        <v>2783</v>
      </c>
      <c r="L58" s="209" t="s">
        <v>2784</v>
      </c>
      <c r="M58" s="209" t="s">
        <v>2785</v>
      </c>
      <c r="N58" s="209" t="s">
        <v>2779</v>
      </c>
      <c r="O58" s="209" t="s">
        <v>2411</v>
      </c>
      <c r="P58" s="209" t="s">
        <v>2226</v>
      </c>
      <c r="Q58" s="209" t="s">
        <v>2236</v>
      </c>
      <c r="R58" s="209" t="s">
        <v>2181</v>
      </c>
      <c r="S58" s="209" t="s">
        <v>133</v>
      </c>
      <c r="T58" s="209" t="s">
        <v>133</v>
      </c>
      <c r="U58" s="209" t="s">
        <v>133</v>
      </c>
      <c r="V58" s="209" t="s">
        <v>133</v>
      </c>
      <c r="W58" s="209" t="s">
        <v>133</v>
      </c>
      <c r="X58" s="209" t="s">
        <v>133</v>
      </c>
      <c r="Y58" s="209" t="s">
        <v>133</v>
      </c>
      <c r="Z58" s="209" t="s">
        <v>2780</v>
      </c>
      <c r="AA58" s="209" t="s">
        <v>133</v>
      </c>
      <c r="AB58" s="209" t="s">
        <v>133</v>
      </c>
      <c r="AC58" s="209" t="s">
        <v>133</v>
      </c>
      <c r="AD58" s="209" t="s">
        <v>133</v>
      </c>
      <c r="AE58" s="209" t="s">
        <v>2781</v>
      </c>
    </row>
    <row r="59" spans="1:31" x14ac:dyDescent="0.55000000000000004">
      <c r="A59" s="209" t="s">
        <v>2786</v>
      </c>
      <c r="B59" s="209" t="s">
        <v>2462</v>
      </c>
      <c r="C59" s="209" t="s">
        <v>2463</v>
      </c>
      <c r="D59" s="209" t="s">
        <v>2464</v>
      </c>
      <c r="E59" s="209" t="s">
        <v>2465</v>
      </c>
      <c r="F59" s="209" t="s">
        <v>2787</v>
      </c>
      <c r="G59" s="209" t="s">
        <v>2788</v>
      </c>
      <c r="H59" s="209" t="s">
        <v>133</v>
      </c>
      <c r="I59" s="209" t="s">
        <v>133</v>
      </c>
      <c r="J59" s="209" t="s">
        <v>2789</v>
      </c>
      <c r="K59" s="209" t="s">
        <v>2790</v>
      </c>
      <c r="L59" s="209" t="s">
        <v>2791</v>
      </c>
      <c r="M59" s="209" t="s">
        <v>2792</v>
      </c>
      <c r="N59" s="209" t="s">
        <v>2793</v>
      </c>
      <c r="O59" s="209" t="s">
        <v>2475</v>
      </c>
      <c r="P59" s="209" t="s">
        <v>2179</v>
      </c>
      <c r="Q59" s="209" t="s">
        <v>2180</v>
      </c>
      <c r="R59" s="209" t="s">
        <v>2181</v>
      </c>
      <c r="S59" s="209" t="s">
        <v>133</v>
      </c>
      <c r="T59" s="209" t="s">
        <v>133</v>
      </c>
      <c r="U59" s="209" t="s">
        <v>133</v>
      </c>
      <c r="V59" s="209" t="s">
        <v>133</v>
      </c>
      <c r="W59" s="209" t="s">
        <v>133</v>
      </c>
      <c r="X59" s="209" t="s">
        <v>133</v>
      </c>
      <c r="Y59" s="209" t="s">
        <v>133</v>
      </c>
      <c r="Z59" s="209" t="s">
        <v>2794</v>
      </c>
      <c r="AA59" s="209" t="s">
        <v>133</v>
      </c>
      <c r="AB59" s="209" t="s">
        <v>133</v>
      </c>
      <c r="AC59" s="209" t="s">
        <v>133</v>
      </c>
      <c r="AD59" s="209" t="s">
        <v>133</v>
      </c>
      <c r="AE59" s="209" t="s">
        <v>133</v>
      </c>
    </row>
    <row r="60" spans="1:31" x14ac:dyDescent="0.55000000000000004">
      <c r="A60" s="209" t="s">
        <v>2795</v>
      </c>
      <c r="B60" s="209" t="s">
        <v>2478</v>
      </c>
      <c r="C60" s="209" t="s">
        <v>2479</v>
      </c>
      <c r="D60" s="209" t="s">
        <v>2480</v>
      </c>
      <c r="E60" s="209" t="s">
        <v>2481</v>
      </c>
      <c r="F60" s="209" t="s">
        <v>2787</v>
      </c>
      <c r="G60" s="209" t="s">
        <v>2788</v>
      </c>
      <c r="H60" s="209" t="s">
        <v>133</v>
      </c>
      <c r="I60" s="209" t="s">
        <v>133</v>
      </c>
      <c r="J60" s="209" t="s">
        <v>2789</v>
      </c>
      <c r="K60" s="209" t="s">
        <v>2796</v>
      </c>
      <c r="L60" s="209" t="s">
        <v>2797</v>
      </c>
      <c r="M60" s="209" t="s">
        <v>2798</v>
      </c>
      <c r="N60" s="209" t="s">
        <v>2793</v>
      </c>
      <c r="O60" s="209" t="s">
        <v>2487</v>
      </c>
      <c r="P60" s="209" t="s">
        <v>2179</v>
      </c>
      <c r="Q60" s="209" t="s">
        <v>2179</v>
      </c>
      <c r="R60" s="209" t="s">
        <v>2181</v>
      </c>
      <c r="S60" s="209" t="s">
        <v>133</v>
      </c>
      <c r="T60" s="209" t="s">
        <v>133</v>
      </c>
      <c r="U60" s="209" t="s">
        <v>133</v>
      </c>
      <c r="V60" s="209" t="s">
        <v>133</v>
      </c>
      <c r="W60" s="209" t="s">
        <v>133</v>
      </c>
      <c r="X60" s="209" t="s">
        <v>133</v>
      </c>
      <c r="Y60" s="209" t="s">
        <v>133</v>
      </c>
      <c r="Z60" s="209" t="s">
        <v>2794</v>
      </c>
      <c r="AA60" s="209" t="s">
        <v>133</v>
      </c>
      <c r="AB60" s="209" t="s">
        <v>133</v>
      </c>
      <c r="AC60" s="209" t="s">
        <v>133</v>
      </c>
      <c r="AD60" s="209" t="s">
        <v>133</v>
      </c>
      <c r="AE60" s="209" t="s">
        <v>133</v>
      </c>
    </row>
    <row r="61" spans="1:31" x14ac:dyDescent="0.55000000000000004">
      <c r="A61" s="209" t="s">
        <v>2799</v>
      </c>
      <c r="B61" s="209" t="s">
        <v>2800</v>
      </c>
      <c r="C61" s="209" t="s">
        <v>2801</v>
      </c>
      <c r="D61" s="209" t="s">
        <v>2802</v>
      </c>
      <c r="E61" s="209" t="s">
        <v>2803</v>
      </c>
      <c r="F61" s="209" t="s">
        <v>2804</v>
      </c>
      <c r="G61" s="209" t="s">
        <v>2805</v>
      </c>
      <c r="H61" s="209" t="s">
        <v>133</v>
      </c>
      <c r="I61" s="209" t="s">
        <v>133</v>
      </c>
      <c r="J61" s="209" t="s">
        <v>2806</v>
      </c>
      <c r="K61" s="209" t="s">
        <v>2807</v>
      </c>
      <c r="L61" s="209" t="s">
        <v>2808</v>
      </c>
      <c r="M61" s="209" t="s">
        <v>2809</v>
      </c>
      <c r="N61" s="209" t="s">
        <v>2810</v>
      </c>
      <c r="O61" s="209" t="s">
        <v>2811</v>
      </c>
      <c r="P61" s="209" t="s">
        <v>2179</v>
      </c>
      <c r="Q61" s="209" t="s">
        <v>2180</v>
      </c>
      <c r="R61" s="209" t="s">
        <v>2181</v>
      </c>
      <c r="S61" s="209" t="s">
        <v>133</v>
      </c>
      <c r="T61" s="209" t="s">
        <v>133</v>
      </c>
      <c r="U61" s="209" t="s">
        <v>133</v>
      </c>
      <c r="V61" s="209" t="s">
        <v>133</v>
      </c>
      <c r="W61" s="209" t="s">
        <v>133</v>
      </c>
      <c r="X61" s="209" t="s">
        <v>133</v>
      </c>
      <c r="Y61" s="209" t="s">
        <v>133</v>
      </c>
      <c r="Z61" s="209" t="s">
        <v>2812</v>
      </c>
      <c r="AA61" s="209" t="s">
        <v>133</v>
      </c>
      <c r="AB61" s="209" t="s">
        <v>133</v>
      </c>
      <c r="AC61" s="209" t="s">
        <v>133</v>
      </c>
      <c r="AD61" s="209" t="s">
        <v>133</v>
      </c>
      <c r="AE61" s="209" t="s">
        <v>2813</v>
      </c>
    </row>
    <row r="62" spans="1:31" x14ac:dyDescent="0.55000000000000004">
      <c r="A62" s="209" t="s">
        <v>2814</v>
      </c>
      <c r="B62" s="209" t="s">
        <v>2815</v>
      </c>
      <c r="C62" s="209" t="s">
        <v>2816</v>
      </c>
      <c r="D62" s="209" t="s">
        <v>2817</v>
      </c>
      <c r="E62" s="209" t="s">
        <v>2818</v>
      </c>
      <c r="F62" s="209" t="s">
        <v>2804</v>
      </c>
      <c r="G62" s="209" t="s">
        <v>2805</v>
      </c>
      <c r="H62" s="209" t="s">
        <v>133</v>
      </c>
      <c r="I62" s="209" t="s">
        <v>133</v>
      </c>
      <c r="J62" s="209" t="s">
        <v>2806</v>
      </c>
      <c r="K62" s="209" t="s">
        <v>2819</v>
      </c>
      <c r="L62" s="209" t="s">
        <v>2820</v>
      </c>
      <c r="M62" s="209" t="s">
        <v>2821</v>
      </c>
      <c r="N62" s="209" t="s">
        <v>2810</v>
      </c>
      <c r="O62" s="209" t="s">
        <v>2822</v>
      </c>
      <c r="P62" s="209" t="s">
        <v>2179</v>
      </c>
      <c r="Q62" s="209" t="s">
        <v>2179</v>
      </c>
      <c r="R62" s="209" t="s">
        <v>2181</v>
      </c>
      <c r="S62" s="209" t="s">
        <v>133</v>
      </c>
      <c r="T62" s="209" t="s">
        <v>133</v>
      </c>
      <c r="U62" s="209" t="s">
        <v>133</v>
      </c>
      <c r="V62" s="209" t="s">
        <v>133</v>
      </c>
      <c r="W62" s="209" t="s">
        <v>133</v>
      </c>
      <c r="X62" s="209" t="s">
        <v>133</v>
      </c>
      <c r="Y62" s="209" t="s">
        <v>133</v>
      </c>
      <c r="Z62" s="209" t="s">
        <v>2812</v>
      </c>
      <c r="AA62" s="209" t="s">
        <v>133</v>
      </c>
      <c r="AB62" s="209" t="s">
        <v>133</v>
      </c>
      <c r="AC62" s="209" t="s">
        <v>133</v>
      </c>
      <c r="AD62" s="209" t="s">
        <v>133</v>
      </c>
      <c r="AE62" s="209" t="s">
        <v>2813</v>
      </c>
    </row>
    <row r="63" spans="1:31" x14ac:dyDescent="0.55000000000000004">
      <c r="A63" s="209" t="s">
        <v>2823</v>
      </c>
      <c r="B63" s="209" t="s">
        <v>2824</v>
      </c>
      <c r="C63" s="209" t="s">
        <v>2825</v>
      </c>
      <c r="D63" s="209" t="s">
        <v>2826</v>
      </c>
      <c r="E63" s="209" t="s">
        <v>2827</v>
      </c>
      <c r="F63" s="209" t="s">
        <v>2828</v>
      </c>
      <c r="G63" s="209" t="s">
        <v>2829</v>
      </c>
      <c r="H63" s="209" t="s">
        <v>133</v>
      </c>
      <c r="I63" s="209" t="s">
        <v>133</v>
      </c>
      <c r="J63" s="209" t="s">
        <v>2830</v>
      </c>
      <c r="K63" s="209" t="s">
        <v>2831</v>
      </c>
      <c r="L63" s="209" t="s">
        <v>2832</v>
      </c>
      <c r="M63" s="209" t="s">
        <v>2833</v>
      </c>
      <c r="N63" s="209" t="s">
        <v>2834</v>
      </c>
      <c r="O63" s="209" t="s">
        <v>2835</v>
      </c>
      <c r="P63" s="209" t="s">
        <v>2226</v>
      </c>
      <c r="Q63" s="209" t="s">
        <v>2226</v>
      </c>
      <c r="R63" s="209" t="s">
        <v>2181</v>
      </c>
      <c r="S63" s="209" t="s">
        <v>133</v>
      </c>
      <c r="T63" s="209" t="s">
        <v>133</v>
      </c>
      <c r="U63" s="209" t="s">
        <v>133</v>
      </c>
      <c r="V63" s="209" t="s">
        <v>133</v>
      </c>
      <c r="W63" s="209" t="s">
        <v>133</v>
      </c>
      <c r="X63" s="209" t="s">
        <v>133</v>
      </c>
      <c r="Y63" s="209" t="s">
        <v>133</v>
      </c>
      <c r="Z63" s="209" t="s">
        <v>2836</v>
      </c>
      <c r="AA63" s="209" t="s">
        <v>133</v>
      </c>
      <c r="AB63" s="209" t="s">
        <v>133</v>
      </c>
      <c r="AC63" s="209" t="s">
        <v>133</v>
      </c>
      <c r="AD63" s="209" t="s">
        <v>133</v>
      </c>
      <c r="AE63" s="209" t="s">
        <v>2837</v>
      </c>
    </row>
    <row r="64" spans="1:31" x14ac:dyDescent="0.55000000000000004">
      <c r="A64" s="209" t="s">
        <v>2838</v>
      </c>
      <c r="B64" s="209" t="s">
        <v>2839</v>
      </c>
      <c r="C64" s="209" t="s">
        <v>2840</v>
      </c>
      <c r="D64" s="209" t="s">
        <v>2841</v>
      </c>
      <c r="E64" s="209" t="s">
        <v>2842</v>
      </c>
      <c r="F64" s="209" t="s">
        <v>2828</v>
      </c>
      <c r="G64" s="209" t="s">
        <v>2829</v>
      </c>
      <c r="H64" s="209" t="s">
        <v>133</v>
      </c>
      <c r="I64" s="209" t="s">
        <v>133</v>
      </c>
      <c r="J64" s="209" t="s">
        <v>2830</v>
      </c>
      <c r="K64" s="209" t="s">
        <v>2843</v>
      </c>
      <c r="L64" s="209" t="s">
        <v>2844</v>
      </c>
      <c r="M64" s="209" t="s">
        <v>2845</v>
      </c>
      <c r="N64" s="209" t="s">
        <v>2834</v>
      </c>
      <c r="O64" s="209" t="s">
        <v>2846</v>
      </c>
      <c r="P64" s="209" t="s">
        <v>2226</v>
      </c>
      <c r="Q64" s="209" t="s">
        <v>2236</v>
      </c>
      <c r="R64" s="209" t="s">
        <v>2181</v>
      </c>
      <c r="S64" s="209" t="s">
        <v>133</v>
      </c>
      <c r="T64" s="209" t="s">
        <v>133</v>
      </c>
      <c r="U64" s="209" t="s">
        <v>133</v>
      </c>
      <c r="V64" s="209" t="s">
        <v>133</v>
      </c>
      <c r="W64" s="209" t="s">
        <v>133</v>
      </c>
      <c r="X64" s="209" t="s">
        <v>133</v>
      </c>
      <c r="Y64" s="209" t="s">
        <v>133</v>
      </c>
      <c r="Z64" s="209" t="s">
        <v>2836</v>
      </c>
      <c r="AA64" s="209" t="s">
        <v>133</v>
      </c>
      <c r="AB64" s="209" t="s">
        <v>133</v>
      </c>
      <c r="AC64" s="209" t="s">
        <v>133</v>
      </c>
      <c r="AD64" s="209" t="s">
        <v>133</v>
      </c>
      <c r="AE64" s="209" t="s">
        <v>2837</v>
      </c>
    </row>
    <row r="65" spans="1:31" x14ac:dyDescent="0.55000000000000004">
      <c r="A65" s="209" t="s">
        <v>2847</v>
      </c>
      <c r="B65" s="209" t="s">
        <v>2848</v>
      </c>
      <c r="C65" s="209" t="s">
        <v>2849</v>
      </c>
      <c r="D65" s="209" t="s">
        <v>2850</v>
      </c>
      <c r="E65" s="209" t="s">
        <v>2851</v>
      </c>
      <c r="F65" s="209" t="s">
        <v>2852</v>
      </c>
      <c r="G65" s="209" t="s">
        <v>2853</v>
      </c>
      <c r="H65" s="209" t="s">
        <v>133</v>
      </c>
      <c r="I65" s="209" t="s">
        <v>133</v>
      </c>
      <c r="J65" s="209" t="s">
        <v>2854</v>
      </c>
      <c r="K65" s="209" t="s">
        <v>2855</v>
      </c>
      <c r="L65" s="209" t="s">
        <v>2856</v>
      </c>
      <c r="M65" s="209" t="s">
        <v>2857</v>
      </c>
      <c r="N65" s="209" t="s">
        <v>2858</v>
      </c>
      <c r="O65" s="209" t="s">
        <v>2859</v>
      </c>
      <c r="P65" s="209" t="s">
        <v>2236</v>
      </c>
      <c r="Q65" s="209" t="s">
        <v>2250</v>
      </c>
      <c r="R65" s="209" t="s">
        <v>2181</v>
      </c>
      <c r="S65" s="209" t="s">
        <v>133</v>
      </c>
      <c r="T65" s="209" t="s">
        <v>133</v>
      </c>
      <c r="U65" s="209" t="s">
        <v>133</v>
      </c>
      <c r="V65" s="209" t="s">
        <v>133</v>
      </c>
      <c r="W65" s="209" t="s">
        <v>133</v>
      </c>
      <c r="X65" s="209" t="s">
        <v>133</v>
      </c>
      <c r="Y65" s="209" t="s">
        <v>133</v>
      </c>
      <c r="Z65" s="209" t="s">
        <v>2860</v>
      </c>
      <c r="AA65" s="209" t="s">
        <v>133</v>
      </c>
      <c r="AB65" s="209" t="s">
        <v>133</v>
      </c>
      <c r="AC65" s="209" t="s">
        <v>133</v>
      </c>
      <c r="AD65" s="209" t="s">
        <v>133</v>
      </c>
      <c r="AE65" s="209" t="s">
        <v>2861</v>
      </c>
    </row>
    <row r="66" spans="1:31" x14ac:dyDescent="0.55000000000000004">
      <c r="A66" s="209" t="s">
        <v>2862</v>
      </c>
      <c r="B66" s="209" t="s">
        <v>2863</v>
      </c>
      <c r="C66" s="209" t="s">
        <v>2864</v>
      </c>
      <c r="D66" s="209" t="s">
        <v>2865</v>
      </c>
      <c r="E66" s="209" t="s">
        <v>2866</v>
      </c>
      <c r="F66" s="209" t="s">
        <v>2852</v>
      </c>
      <c r="G66" s="209" t="s">
        <v>2853</v>
      </c>
      <c r="H66" s="209" t="s">
        <v>133</v>
      </c>
      <c r="I66" s="209" t="s">
        <v>133</v>
      </c>
      <c r="J66" s="209" t="s">
        <v>2854</v>
      </c>
      <c r="K66" s="209" t="s">
        <v>2867</v>
      </c>
      <c r="L66" s="209" t="s">
        <v>2868</v>
      </c>
      <c r="M66" s="209" t="s">
        <v>2869</v>
      </c>
      <c r="N66" s="209" t="s">
        <v>2858</v>
      </c>
      <c r="O66" s="209" t="s">
        <v>2870</v>
      </c>
      <c r="P66" s="209" t="s">
        <v>2236</v>
      </c>
      <c r="Q66" s="209" t="s">
        <v>2260</v>
      </c>
      <c r="R66" s="209" t="s">
        <v>2181</v>
      </c>
      <c r="S66" s="209" t="s">
        <v>133</v>
      </c>
      <c r="T66" s="209" t="s">
        <v>133</v>
      </c>
      <c r="U66" s="209" t="s">
        <v>133</v>
      </c>
      <c r="V66" s="209" t="s">
        <v>133</v>
      </c>
      <c r="W66" s="209" t="s">
        <v>133</v>
      </c>
      <c r="X66" s="209" t="s">
        <v>133</v>
      </c>
      <c r="Y66" s="209" t="s">
        <v>133</v>
      </c>
      <c r="Z66" s="209" t="s">
        <v>2860</v>
      </c>
      <c r="AA66" s="209" t="s">
        <v>133</v>
      </c>
      <c r="AB66" s="209" t="s">
        <v>133</v>
      </c>
      <c r="AC66" s="209" t="s">
        <v>133</v>
      </c>
      <c r="AD66" s="209" t="s">
        <v>133</v>
      </c>
      <c r="AE66" s="209" t="s">
        <v>2861</v>
      </c>
    </row>
    <row r="67" spans="1:31" x14ac:dyDescent="0.55000000000000004">
      <c r="A67" s="209" t="s">
        <v>2871</v>
      </c>
      <c r="B67" s="209" t="s">
        <v>2872</v>
      </c>
      <c r="C67" s="209" t="s">
        <v>2873</v>
      </c>
      <c r="D67" s="209" t="s">
        <v>2874</v>
      </c>
      <c r="E67" s="209" t="s">
        <v>2875</v>
      </c>
      <c r="F67" s="209" t="s">
        <v>2876</v>
      </c>
      <c r="G67" s="209" t="s">
        <v>2877</v>
      </c>
      <c r="H67" s="209" t="s">
        <v>133</v>
      </c>
      <c r="I67" s="209" t="s">
        <v>133</v>
      </c>
      <c r="J67" s="209" t="s">
        <v>2878</v>
      </c>
      <c r="K67" s="209" t="s">
        <v>2879</v>
      </c>
      <c r="L67" s="209" t="s">
        <v>2880</v>
      </c>
      <c r="M67" s="209" t="s">
        <v>2881</v>
      </c>
      <c r="N67" s="209" t="s">
        <v>2882</v>
      </c>
      <c r="O67" s="209" t="s">
        <v>2883</v>
      </c>
      <c r="P67" s="209" t="s">
        <v>2250</v>
      </c>
      <c r="Q67" s="209" t="s">
        <v>2274</v>
      </c>
      <c r="R67" s="209" t="s">
        <v>2181</v>
      </c>
      <c r="S67" s="209" t="s">
        <v>133</v>
      </c>
      <c r="T67" s="209" t="s">
        <v>133</v>
      </c>
      <c r="U67" s="209" t="s">
        <v>133</v>
      </c>
      <c r="V67" s="209" t="s">
        <v>133</v>
      </c>
      <c r="W67" s="209" t="s">
        <v>133</v>
      </c>
      <c r="X67" s="209" t="s">
        <v>133</v>
      </c>
      <c r="Y67" s="209" t="s">
        <v>133</v>
      </c>
      <c r="Z67" s="209" t="s">
        <v>2884</v>
      </c>
      <c r="AA67" s="209" t="s">
        <v>133</v>
      </c>
      <c r="AB67" s="209" t="s">
        <v>133</v>
      </c>
      <c r="AC67" s="209" t="s">
        <v>133</v>
      </c>
      <c r="AD67" s="209" t="s">
        <v>133</v>
      </c>
      <c r="AE67" s="209" t="s">
        <v>2885</v>
      </c>
    </row>
    <row r="68" spans="1:31" x14ac:dyDescent="0.55000000000000004">
      <c r="A68" s="209" t="s">
        <v>2886</v>
      </c>
      <c r="B68" s="209" t="s">
        <v>2887</v>
      </c>
      <c r="C68" s="209" t="s">
        <v>2888</v>
      </c>
      <c r="D68" s="209" t="s">
        <v>2889</v>
      </c>
      <c r="E68" s="209" t="s">
        <v>2890</v>
      </c>
      <c r="F68" s="209" t="s">
        <v>2876</v>
      </c>
      <c r="G68" s="209" t="s">
        <v>2877</v>
      </c>
      <c r="H68" s="209" t="s">
        <v>133</v>
      </c>
      <c r="I68" s="209" t="s">
        <v>133</v>
      </c>
      <c r="J68" s="209" t="s">
        <v>2878</v>
      </c>
      <c r="K68" s="209" t="s">
        <v>2891</v>
      </c>
      <c r="L68" s="209" t="s">
        <v>2892</v>
      </c>
      <c r="M68" s="209" t="s">
        <v>2893</v>
      </c>
      <c r="N68" s="209" t="s">
        <v>2882</v>
      </c>
      <c r="O68" s="209" t="s">
        <v>2894</v>
      </c>
      <c r="P68" s="209" t="s">
        <v>2250</v>
      </c>
      <c r="Q68" s="209" t="s">
        <v>2284</v>
      </c>
      <c r="R68" s="209" t="s">
        <v>2181</v>
      </c>
      <c r="S68" s="209" t="s">
        <v>133</v>
      </c>
      <c r="T68" s="209" t="s">
        <v>133</v>
      </c>
      <c r="U68" s="209" t="s">
        <v>133</v>
      </c>
      <c r="V68" s="209" t="s">
        <v>133</v>
      </c>
      <c r="W68" s="209" t="s">
        <v>133</v>
      </c>
      <c r="X68" s="209" t="s">
        <v>133</v>
      </c>
      <c r="Y68" s="209" t="s">
        <v>133</v>
      </c>
      <c r="Z68" s="209" t="s">
        <v>2884</v>
      </c>
      <c r="AA68" s="209" t="s">
        <v>133</v>
      </c>
      <c r="AB68" s="209" t="s">
        <v>133</v>
      </c>
      <c r="AC68" s="209" t="s">
        <v>133</v>
      </c>
      <c r="AD68" s="209" t="s">
        <v>133</v>
      </c>
      <c r="AE68" s="209" t="s">
        <v>2885</v>
      </c>
    </row>
    <row r="69" spans="1:31" x14ac:dyDescent="0.55000000000000004">
      <c r="A69" s="209" t="s">
        <v>2895</v>
      </c>
      <c r="B69" s="209" t="s">
        <v>2896</v>
      </c>
      <c r="C69" s="209" t="s">
        <v>2897</v>
      </c>
      <c r="D69" s="209" t="s">
        <v>2898</v>
      </c>
      <c r="E69" s="209" t="s">
        <v>2899</v>
      </c>
      <c r="F69" s="209" t="s">
        <v>2900</v>
      </c>
      <c r="G69" s="209" t="s">
        <v>2901</v>
      </c>
      <c r="H69" s="209" t="s">
        <v>133</v>
      </c>
      <c r="I69" s="209" t="s">
        <v>133</v>
      </c>
      <c r="J69" s="209" t="s">
        <v>2902</v>
      </c>
      <c r="K69" s="209" t="s">
        <v>2903</v>
      </c>
      <c r="L69" s="209" t="s">
        <v>2904</v>
      </c>
      <c r="M69" s="209" t="s">
        <v>2905</v>
      </c>
      <c r="N69" s="209" t="s">
        <v>2906</v>
      </c>
      <c r="O69" s="209" t="s">
        <v>2907</v>
      </c>
      <c r="P69" s="209" t="s">
        <v>2260</v>
      </c>
      <c r="Q69" s="209" t="s">
        <v>2298</v>
      </c>
      <c r="R69" s="209" t="s">
        <v>2181</v>
      </c>
      <c r="S69" s="209" t="s">
        <v>133</v>
      </c>
      <c r="T69" s="209" t="s">
        <v>133</v>
      </c>
      <c r="U69" s="209" t="s">
        <v>133</v>
      </c>
      <c r="V69" s="209" t="s">
        <v>133</v>
      </c>
      <c r="W69" s="209" t="s">
        <v>133</v>
      </c>
      <c r="X69" s="209" t="s">
        <v>133</v>
      </c>
      <c r="Y69" s="209" t="s">
        <v>133</v>
      </c>
      <c r="Z69" s="209" t="s">
        <v>2908</v>
      </c>
      <c r="AA69" s="209" t="s">
        <v>133</v>
      </c>
      <c r="AB69" s="209" t="s">
        <v>133</v>
      </c>
      <c r="AC69" s="209" t="s">
        <v>133</v>
      </c>
      <c r="AD69" s="209" t="s">
        <v>133</v>
      </c>
      <c r="AE69" s="209" t="s">
        <v>2909</v>
      </c>
    </row>
    <row r="70" spans="1:31" x14ac:dyDescent="0.55000000000000004">
      <c r="A70" s="209" t="s">
        <v>2910</v>
      </c>
      <c r="B70" s="209" t="s">
        <v>2911</v>
      </c>
      <c r="C70" s="209" t="s">
        <v>2912</v>
      </c>
      <c r="D70" s="209" t="s">
        <v>2913</v>
      </c>
      <c r="E70" s="209" t="s">
        <v>2914</v>
      </c>
      <c r="F70" s="209" t="s">
        <v>2900</v>
      </c>
      <c r="G70" s="209" t="s">
        <v>2901</v>
      </c>
      <c r="H70" s="209" t="s">
        <v>133</v>
      </c>
      <c r="I70" s="209" t="s">
        <v>133</v>
      </c>
      <c r="J70" s="209" t="s">
        <v>2902</v>
      </c>
      <c r="K70" s="209" t="s">
        <v>2915</v>
      </c>
      <c r="L70" s="209" t="s">
        <v>2916</v>
      </c>
      <c r="M70" s="209" t="s">
        <v>2917</v>
      </c>
      <c r="N70" s="209" t="s">
        <v>2906</v>
      </c>
      <c r="O70" s="209" t="s">
        <v>2918</v>
      </c>
      <c r="P70" s="209" t="s">
        <v>2260</v>
      </c>
      <c r="Q70" s="209" t="s">
        <v>2309</v>
      </c>
      <c r="R70" s="209" t="s">
        <v>2181</v>
      </c>
      <c r="S70" s="209" t="s">
        <v>133</v>
      </c>
      <c r="T70" s="209" t="s">
        <v>133</v>
      </c>
      <c r="U70" s="209" t="s">
        <v>133</v>
      </c>
      <c r="V70" s="209" t="s">
        <v>133</v>
      </c>
      <c r="W70" s="209" t="s">
        <v>133</v>
      </c>
      <c r="X70" s="209" t="s">
        <v>133</v>
      </c>
      <c r="Y70" s="209" t="s">
        <v>133</v>
      </c>
      <c r="Z70" s="209" t="s">
        <v>2908</v>
      </c>
      <c r="AA70" s="209" t="s">
        <v>133</v>
      </c>
      <c r="AB70" s="209" t="s">
        <v>133</v>
      </c>
      <c r="AC70" s="209" t="s">
        <v>133</v>
      </c>
      <c r="AD70" s="209" t="s">
        <v>133</v>
      </c>
      <c r="AE70" s="209" t="s">
        <v>2909</v>
      </c>
    </row>
    <row r="71" spans="1:31" x14ac:dyDescent="0.55000000000000004">
      <c r="A71" s="209" t="s">
        <v>2919</v>
      </c>
      <c r="B71" s="209" t="s">
        <v>2920</v>
      </c>
      <c r="C71" s="209" t="s">
        <v>2921</v>
      </c>
      <c r="D71" s="209" t="s">
        <v>2922</v>
      </c>
      <c r="E71" s="209" t="s">
        <v>2923</v>
      </c>
      <c r="F71" s="209" t="s">
        <v>2924</v>
      </c>
      <c r="G71" s="209" t="s">
        <v>2925</v>
      </c>
      <c r="H71" s="209" t="s">
        <v>133</v>
      </c>
      <c r="I71" s="209" t="s">
        <v>133</v>
      </c>
      <c r="J71" s="209" t="s">
        <v>2926</v>
      </c>
      <c r="K71" s="209" t="s">
        <v>2927</v>
      </c>
      <c r="L71" s="209" t="s">
        <v>2928</v>
      </c>
      <c r="M71" s="209" t="s">
        <v>2929</v>
      </c>
      <c r="N71" s="209" t="s">
        <v>2930</v>
      </c>
      <c r="O71" s="209" t="s">
        <v>2931</v>
      </c>
      <c r="P71" s="209" t="s">
        <v>2179</v>
      </c>
      <c r="Q71" s="209" t="s">
        <v>2180</v>
      </c>
      <c r="R71" s="209" t="s">
        <v>2181</v>
      </c>
      <c r="S71" s="209" t="s">
        <v>133</v>
      </c>
      <c r="T71" s="209" t="s">
        <v>133</v>
      </c>
      <c r="U71" s="209" t="s">
        <v>133</v>
      </c>
      <c r="V71" s="209" t="s">
        <v>133</v>
      </c>
      <c r="W71" s="209" t="s">
        <v>133</v>
      </c>
      <c r="X71" s="209" t="s">
        <v>133</v>
      </c>
      <c r="Y71" s="209" t="s">
        <v>133</v>
      </c>
      <c r="Z71" s="209" t="s">
        <v>2932</v>
      </c>
      <c r="AA71" s="209" t="s">
        <v>133</v>
      </c>
      <c r="AB71" s="209" t="s">
        <v>133</v>
      </c>
      <c r="AC71" s="209" t="s">
        <v>133</v>
      </c>
      <c r="AD71" s="209" t="s">
        <v>133</v>
      </c>
      <c r="AE71" s="209" t="s">
        <v>2933</v>
      </c>
    </row>
    <row r="72" spans="1:31" x14ac:dyDescent="0.55000000000000004">
      <c r="A72" s="209" t="s">
        <v>2934</v>
      </c>
      <c r="B72" s="209" t="s">
        <v>2935</v>
      </c>
      <c r="C72" s="209" t="s">
        <v>2936</v>
      </c>
      <c r="D72" s="209" t="s">
        <v>2937</v>
      </c>
      <c r="E72" s="209" t="s">
        <v>2938</v>
      </c>
      <c r="F72" s="209" t="s">
        <v>2924</v>
      </c>
      <c r="G72" s="209" t="s">
        <v>2925</v>
      </c>
      <c r="H72" s="209" t="s">
        <v>133</v>
      </c>
      <c r="I72" s="209" t="s">
        <v>133</v>
      </c>
      <c r="J72" s="209" t="s">
        <v>2926</v>
      </c>
      <c r="K72" s="209" t="s">
        <v>2939</v>
      </c>
      <c r="L72" s="209" t="s">
        <v>2940</v>
      </c>
      <c r="M72" s="209" t="s">
        <v>2941</v>
      </c>
      <c r="N72" s="209" t="s">
        <v>2930</v>
      </c>
      <c r="O72" s="209" t="s">
        <v>2942</v>
      </c>
      <c r="P72" s="209" t="s">
        <v>2179</v>
      </c>
      <c r="Q72" s="209" t="s">
        <v>2179</v>
      </c>
      <c r="R72" s="209" t="s">
        <v>2181</v>
      </c>
      <c r="S72" s="209" t="s">
        <v>133</v>
      </c>
      <c r="T72" s="209" t="s">
        <v>133</v>
      </c>
      <c r="U72" s="209" t="s">
        <v>133</v>
      </c>
      <c r="V72" s="209" t="s">
        <v>133</v>
      </c>
      <c r="W72" s="209" t="s">
        <v>133</v>
      </c>
      <c r="X72" s="209" t="s">
        <v>133</v>
      </c>
      <c r="Y72" s="209" t="s">
        <v>133</v>
      </c>
      <c r="Z72" s="209" t="s">
        <v>2932</v>
      </c>
      <c r="AA72" s="209" t="s">
        <v>133</v>
      </c>
      <c r="AB72" s="209" t="s">
        <v>133</v>
      </c>
      <c r="AC72" s="209" t="s">
        <v>133</v>
      </c>
      <c r="AD72" s="209" t="s">
        <v>133</v>
      </c>
      <c r="AE72" s="209" t="s">
        <v>2933</v>
      </c>
    </row>
    <row r="73" spans="1:31" x14ac:dyDescent="0.55000000000000004">
      <c r="A73" s="209" t="s">
        <v>2943</v>
      </c>
      <c r="B73" s="209" t="s">
        <v>2944</v>
      </c>
      <c r="C73" s="209" t="s">
        <v>2945</v>
      </c>
      <c r="D73" s="209" t="s">
        <v>2946</v>
      </c>
      <c r="E73" s="209" t="s">
        <v>2947</v>
      </c>
      <c r="F73" s="209" t="s">
        <v>2948</v>
      </c>
      <c r="G73" s="209" t="s">
        <v>2949</v>
      </c>
      <c r="H73" s="209" t="s">
        <v>133</v>
      </c>
      <c r="I73" s="209" t="s">
        <v>133</v>
      </c>
      <c r="J73" s="209" t="s">
        <v>2950</v>
      </c>
      <c r="K73" s="209" t="s">
        <v>2951</v>
      </c>
      <c r="L73" s="209" t="s">
        <v>2952</v>
      </c>
      <c r="M73" s="209" t="s">
        <v>2953</v>
      </c>
      <c r="N73" s="209" t="s">
        <v>2954</v>
      </c>
      <c r="O73" s="209" t="s">
        <v>2955</v>
      </c>
      <c r="P73" s="209" t="s">
        <v>2226</v>
      </c>
      <c r="Q73" s="209" t="s">
        <v>2226</v>
      </c>
      <c r="R73" s="209" t="s">
        <v>2181</v>
      </c>
      <c r="S73" s="209" t="s">
        <v>133</v>
      </c>
      <c r="T73" s="209" t="s">
        <v>133</v>
      </c>
      <c r="U73" s="209" t="s">
        <v>133</v>
      </c>
      <c r="V73" s="209" t="s">
        <v>133</v>
      </c>
      <c r="W73" s="209" t="s">
        <v>133</v>
      </c>
      <c r="X73" s="209" t="s">
        <v>133</v>
      </c>
      <c r="Y73" s="209" t="s">
        <v>133</v>
      </c>
      <c r="Z73" s="209" t="s">
        <v>2956</v>
      </c>
      <c r="AA73" s="209" t="s">
        <v>133</v>
      </c>
      <c r="AB73" s="209" t="s">
        <v>133</v>
      </c>
      <c r="AC73" s="209" t="s">
        <v>133</v>
      </c>
      <c r="AD73" s="209" t="s">
        <v>133</v>
      </c>
      <c r="AE73" s="209" t="s">
        <v>2957</v>
      </c>
    </row>
    <row r="74" spans="1:31" x14ac:dyDescent="0.55000000000000004">
      <c r="A74" s="209" t="s">
        <v>2958</v>
      </c>
      <c r="B74" s="209" t="s">
        <v>2959</v>
      </c>
      <c r="C74" s="209" t="s">
        <v>2960</v>
      </c>
      <c r="D74" s="209" t="s">
        <v>2961</v>
      </c>
      <c r="E74" s="209" t="s">
        <v>2962</v>
      </c>
      <c r="F74" s="209" t="s">
        <v>2948</v>
      </c>
      <c r="G74" s="209" t="s">
        <v>2949</v>
      </c>
      <c r="H74" s="209" t="s">
        <v>133</v>
      </c>
      <c r="I74" s="209" t="s">
        <v>133</v>
      </c>
      <c r="J74" s="209" t="s">
        <v>2950</v>
      </c>
      <c r="K74" s="209" t="s">
        <v>2963</v>
      </c>
      <c r="L74" s="209" t="s">
        <v>2964</v>
      </c>
      <c r="M74" s="209" t="s">
        <v>2965</v>
      </c>
      <c r="N74" s="209" t="s">
        <v>2954</v>
      </c>
      <c r="O74" s="209" t="s">
        <v>2966</v>
      </c>
      <c r="P74" s="209" t="s">
        <v>2226</v>
      </c>
      <c r="Q74" s="209" t="s">
        <v>2236</v>
      </c>
      <c r="R74" s="209" t="s">
        <v>2181</v>
      </c>
      <c r="S74" s="209" t="s">
        <v>133</v>
      </c>
      <c r="T74" s="209" t="s">
        <v>133</v>
      </c>
      <c r="U74" s="209" t="s">
        <v>133</v>
      </c>
      <c r="V74" s="209" t="s">
        <v>133</v>
      </c>
      <c r="W74" s="209" t="s">
        <v>133</v>
      </c>
      <c r="X74" s="209" t="s">
        <v>133</v>
      </c>
      <c r="Y74" s="209" t="s">
        <v>133</v>
      </c>
      <c r="Z74" s="209" t="s">
        <v>2956</v>
      </c>
      <c r="AA74" s="209" t="s">
        <v>133</v>
      </c>
      <c r="AB74" s="209" t="s">
        <v>133</v>
      </c>
      <c r="AC74" s="209" t="s">
        <v>133</v>
      </c>
      <c r="AD74" s="209" t="s">
        <v>133</v>
      </c>
      <c r="AE74" s="209" t="s">
        <v>2957</v>
      </c>
    </row>
    <row r="75" spans="1:31" x14ac:dyDescent="0.55000000000000004">
      <c r="A75" s="209" t="s">
        <v>2967</v>
      </c>
      <c r="B75" s="209" t="s">
        <v>2968</v>
      </c>
      <c r="C75" s="209" t="s">
        <v>2969</v>
      </c>
      <c r="D75" s="209" t="s">
        <v>2970</v>
      </c>
      <c r="E75" s="209" t="s">
        <v>2971</v>
      </c>
      <c r="F75" s="209" t="s">
        <v>2972</v>
      </c>
      <c r="G75" s="209" t="s">
        <v>2973</v>
      </c>
      <c r="H75" s="209" t="s">
        <v>133</v>
      </c>
      <c r="I75" s="209" t="s">
        <v>133</v>
      </c>
      <c r="J75" s="209" t="s">
        <v>2974</v>
      </c>
      <c r="K75" s="209" t="s">
        <v>2975</v>
      </c>
      <c r="L75" s="209" t="s">
        <v>2976</v>
      </c>
      <c r="M75" s="209" t="s">
        <v>2977</v>
      </c>
      <c r="N75" s="209" t="s">
        <v>2978</v>
      </c>
      <c r="O75" s="209" t="s">
        <v>2979</v>
      </c>
      <c r="P75" s="209" t="s">
        <v>2236</v>
      </c>
      <c r="Q75" s="209" t="s">
        <v>2250</v>
      </c>
      <c r="R75" s="209" t="s">
        <v>2181</v>
      </c>
      <c r="S75" s="209" t="s">
        <v>133</v>
      </c>
      <c r="T75" s="209" t="s">
        <v>133</v>
      </c>
      <c r="U75" s="209" t="s">
        <v>133</v>
      </c>
      <c r="V75" s="209" t="s">
        <v>133</v>
      </c>
      <c r="W75" s="209" t="s">
        <v>133</v>
      </c>
      <c r="X75" s="209" t="s">
        <v>133</v>
      </c>
      <c r="Y75" s="209" t="s">
        <v>133</v>
      </c>
      <c r="Z75" s="209" t="s">
        <v>2980</v>
      </c>
      <c r="AA75" s="209" t="s">
        <v>133</v>
      </c>
      <c r="AB75" s="209" t="s">
        <v>133</v>
      </c>
      <c r="AC75" s="209" t="s">
        <v>133</v>
      </c>
      <c r="AD75" s="209" t="s">
        <v>133</v>
      </c>
      <c r="AE75" s="209" t="s">
        <v>2981</v>
      </c>
    </row>
    <row r="76" spans="1:31" x14ac:dyDescent="0.55000000000000004">
      <c r="A76" s="209" t="s">
        <v>2982</v>
      </c>
      <c r="B76" s="209" t="s">
        <v>2983</v>
      </c>
      <c r="C76" s="209" t="s">
        <v>2984</v>
      </c>
      <c r="D76" s="209" t="s">
        <v>2985</v>
      </c>
      <c r="E76" s="209" t="s">
        <v>2986</v>
      </c>
      <c r="F76" s="209" t="s">
        <v>2972</v>
      </c>
      <c r="G76" s="209" t="s">
        <v>2973</v>
      </c>
      <c r="H76" s="209" t="s">
        <v>133</v>
      </c>
      <c r="I76" s="209" t="s">
        <v>133</v>
      </c>
      <c r="J76" s="209" t="s">
        <v>2974</v>
      </c>
      <c r="K76" s="209" t="s">
        <v>2987</v>
      </c>
      <c r="L76" s="209" t="s">
        <v>2988</v>
      </c>
      <c r="M76" s="209" t="s">
        <v>2989</v>
      </c>
      <c r="N76" s="209" t="s">
        <v>2978</v>
      </c>
      <c r="O76" s="209" t="s">
        <v>2990</v>
      </c>
      <c r="P76" s="209" t="s">
        <v>2236</v>
      </c>
      <c r="Q76" s="209" t="s">
        <v>2260</v>
      </c>
      <c r="R76" s="209" t="s">
        <v>2181</v>
      </c>
      <c r="S76" s="209" t="s">
        <v>133</v>
      </c>
      <c r="T76" s="209" t="s">
        <v>133</v>
      </c>
      <c r="U76" s="209" t="s">
        <v>133</v>
      </c>
      <c r="V76" s="209" t="s">
        <v>133</v>
      </c>
      <c r="W76" s="209" t="s">
        <v>133</v>
      </c>
      <c r="X76" s="209" t="s">
        <v>133</v>
      </c>
      <c r="Y76" s="209" t="s">
        <v>133</v>
      </c>
      <c r="Z76" s="209" t="s">
        <v>2980</v>
      </c>
      <c r="AA76" s="209" t="s">
        <v>133</v>
      </c>
      <c r="AB76" s="209" t="s">
        <v>133</v>
      </c>
      <c r="AC76" s="209" t="s">
        <v>133</v>
      </c>
      <c r="AD76" s="209" t="s">
        <v>133</v>
      </c>
      <c r="AE76" s="209" t="s">
        <v>2981</v>
      </c>
    </row>
    <row r="77" spans="1:31" x14ac:dyDescent="0.55000000000000004">
      <c r="A77" s="209" t="s">
        <v>2991</v>
      </c>
      <c r="B77" s="209" t="s">
        <v>2992</v>
      </c>
      <c r="C77" s="209" t="s">
        <v>2993</v>
      </c>
      <c r="D77" s="209" t="s">
        <v>2994</v>
      </c>
      <c r="E77" s="209" t="s">
        <v>2995</v>
      </c>
      <c r="F77" s="209" t="s">
        <v>2996</v>
      </c>
      <c r="G77" s="209" t="s">
        <v>2997</v>
      </c>
      <c r="H77" s="209" t="s">
        <v>133</v>
      </c>
      <c r="I77" s="209" t="s">
        <v>133</v>
      </c>
      <c r="J77" s="209" t="s">
        <v>2998</v>
      </c>
      <c r="K77" s="209" t="s">
        <v>2999</v>
      </c>
      <c r="L77" s="209" t="s">
        <v>3000</v>
      </c>
      <c r="M77" s="209" t="s">
        <v>3001</v>
      </c>
      <c r="N77" s="209" t="s">
        <v>3002</v>
      </c>
      <c r="O77" s="209" t="s">
        <v>3003</v>
      </c>
      <c r="P77" s="209" t="s">
        <v>2250</v>
      </c>
      <c r="Q77" s="209" t="s">
        <v>2274</v>
      </c>
      <c r="R77" s="209" t="s">
        <v>2181</v>
      </c>
      <c r="S77" s="209" t="s">
        <v>133</v>
      </c>
      <c r="T77" s="209" t="s">
        <v>133</v>
      </c>
      <c r="U77" s="209" t="s">
        <v>133</v>
      </c>
      <c r="V77" s="209" t="s">
        <v>133</v>
      </c>
      <c r="W77" s="209" t="s">
        <v>133</v>
      </c>
      <c r="X77" s="209" t="s">
        <v>133</v>
      </c>
      <c r="Y77" s="209" t="s">
        <v>133</v>
      </c>
      <c r="Z77" s="209" t="s">
        <v>3004</v>
      </c>
      <c r="AA77" s="209" t="s">
        <v>133</v>
      </c>
      <c r="AB77" s="209" t="s">
        <v>133</v>
      </c>
      <c r="AC77" s="209" t="s">
        <v>133</v>
      </c>
      <c r="AD77" s="209" t="s">
        <v>133</v>
      </c>
      <c r="AE77" s="209" t="s">
        <v>3005</v>
      </c>
    </row>
    <row r="78" spans="1:31" x14ac:dyDescent="0.55000000000000004">
      <c r="A78" s="209" t="s">
        <v>3006</v>
      </c>
      <c r="B78" s="209" t="s">
        <v>3007</v>
      </c>
      <c r="C78" s="209" t="s">
        <v>3008</v>
      </c>
      <c r="D78" s="209" t="s">
        <v>3009</v>
      </c>
      <c r="E78" s="209" t="s">
        <v>3010</v>
      </c>
      <c r="F78" s="209" t="s">
        <v>2996</v>
      </c>
      <c r="G78" s="209" t="s">
        <v>2997</v>
      </c>
      <c r="H78" s="209" t="s">
        <v>133</v>
      </c>
      <c r="I78" s="209" t="s">
        <v>133</v>
      </c>
      <c r="J78" s="209" t="s">
        <v>2998</v>
      </c>
      <c r="K78" s="209" t="s">
        <v>3011</v>
      </c>
      <c r="L78" s="209" t="s">
        <v>3012</v>
      </c>
      <c r="M78" s="209" t="s">
        <v>3013</v>
      </c>
      <c r="N78" s="209" t="s">
        <v>3002</v>
      </c>
      <c r="O78" s="209" t="s">
        <v>3014</v>
      </c>
      <c r="P78" s="209" t="s">
        <v>2250</v>
      </c>
      <c r="Q78" s="209" t="s">
        <v>2284</v>
      </c>
      <c r="R78" s="209" t="s">
        <v>2181</v>
      </c>
      <c r="S78" s="209" t="s">
        <v>133</v>
      </c>
      <c r="T78" s="209" t="s">
        <v>133</v>
      </c>
      <c r="U78" s="209" t="s">
        <v>133</v>
      </c>
      <c r="V78" s="209" t="s">
        <v>133</v>
      </c>
      <c r="W78" s="209" t="s">
        <v>133</v>
      </c>
      <c r="X78" s="209" t="s">
        <v>133</v>
      </c>
      <c r="Y78" s="209" t="s">
        <v>133</v>
      </c>
      <c r="Z78" s="209" t="s">
        <v>3004</v>
      </c>
      <c r="AA78" s="209" t="s">
        <v>133</v>
      </c>
      <c r="AB78" s="209" t="s">
        <v>133</v>
      </c>
      <c r="AC78" s="209" t="s">
        <v>133</v>
      </c>
      <c r="AD78" s="209" t="s">
        <v>133</v>
      </c>
      <c r="AE78" s="209" t="s">
        <v>3005</v>
      </c>
    </row>
    <row r="79" spans="1:31" x14ac:dyDescent="0.55000000000000004">
      <c r="A79" s="209" t="s">
        <v>3015</v>
      </c>
      <c r="B79" s="209" t="s">
        <v>3016</v>
      </c>
      <c r="C79" s="209" t="s">
        <v>3017</v>
      </c>
      <c r="D79" s="209" t="s">
        <v>3018</v>
      </c>
      <c r="E79" s="209" t="s">
        <v>3019</v>
      </c>
      <c r="F79" s="209" t="s">
        <v>3020</v>
      </c>
      <c r="G79" s="209" t="s">
        <v>3021</v>
      </c>
      <c r="H79" s="209" t="s">
        <v>133</v>
      </c>
      <c r="I79" s="209" t="s">
        <v>133</v>
      </c>
      <c r="J79" s="209" t="s">
        <v>3022</v>
      </c>
      <c r="K79" s="209" t="s">
        <v>3023</v>
      </c>
      <c r="L79" s="209" t="s">
        <v>3024</v>
      </c>
      <c r="M79" s="209" t="s">
        <v>3025</v>
      </c>
      <c r="N79" s="209" t="s">
        <v>3026</v>
      </c>
      <c r="O79" s="209" t="s">
        <v>3027</v>
      </c>
      <c r="P79" s="209" t="s">
        <v>2260</v>
      </c>
      <c r="Q79" s="209" t="s">
        <v>2298</v>
      </c>
      <c r="R79" s="209" t="s">
        <v>2181</v>
      </c>
      <c r="S79" s="209" t="s">
        <v>133</v>
      </c>
      <c r="T79" s="209" t="s">
        <v>133</v>
      </c>
      <c r="U79" s="209" t="s">
        <v>133</v>
      </c>
      <c r="V79" s="209" t="s">
        <v>133</v>
      </c>
      <c r="W79" s="209" t="s">
        <v>133</v>
      </c>
      <c r="X79" s="209" t="s">
        <v>133</v>
      </c>
      <c r="Y79" s="209" t="s">
        <v>133</v>
      </c>
      <c r="Z79" s="209" t="s">
        <v>3028</v>
      </c>
      <c r="AA79" s="209" t="s">
        <v>133</v>
      </c>
      <c r="AB79" s="209" t="s">
        <v>133</v>
      </c>
      <c r="AC79" s="209" t="s">
        <v>133</v>
      </c>
      <c r="AD79" s="209" t="s">
        <v>133</v>
      </c>
      <c r="AE79" s="209" t="s">
        <v>3029</v>
      </c>
    </row>
    <row r="80" spans="1:31" x14ac:dyDescent="0.55000000000000004">
      <c r="A80" s="209" t="s">
        <v>3030</v>
      </c>
      <c r="B80" s="209" t="s">
        <v>3031</v>
      </c>
      <c r="C80" s="209" t="s">
        <v>3032</v>
      </c>
      <c r="D80" s="209" t="s">
        <v>3033</v>
      </c>
      <c r="E80" s="209" t="s">
        <v>3034</v>
      </c>
      <c r="F80" s="209" t="s">
        <v>3020</v>
      </c>
      <c r="G80" s="209" t="s">
        <v>3021</v>
      </c>
      <c r="H80" s="209" t="s">
        <v>133</v>
      </c>
      <c r="I80" s="209" t="s">
        <v>133</v>
      </c>
      <c r="J80" s="209" t="s">
        <v>3022</v>
      </c>
      <c r="K80" s="209" t="s">
        <v>3035</v>
      </c>
      <c r="L80" s="209" t="s">
        <v>3036</v>
      </c>
      <c r="M80" s="209" t="s">
        <v>3037</v>
      </c>
      <c r="N80" s="209" t="s">
        <v>3026</v>
      </c>
      <c r="O80" s="209" t="s">
        <v>3038</v>
      </c>
      <c r="P80" s="209" t="s">
        <v>2260</v>
      </c>
      <c r="Q80" s="209" t="s">
        <v>2309</v>
      </c>
      <c r="R80" s="209" t="s">
        <v>2181</v>
      </c>
      <c r="S80" s="209" t="s">
        <v>133</v>
      </c>
      <c r="T80" s="209" t="s">
        <v>133</v>
      </c>
      <c r="U80" s="209" t="s">
        <v>133</v>
      </c>
      <c r="V80" s="209" t="s">
        <v>133</v>
      </c>
      <c r="W80" s="209" t="s">
        <v>133</v>
      </c>
      <c r="X80" s="209" t="s">
        <v>133</v>
      </c>
      <c r="Y80" s="209" t="s">
        <v>133</v>
      </c>
      <c r="Z80" s="209" t="s">
        <v>3028</v>
      </c>
      <c r="AA80" s="209" t="s">
        <v>133</v>
      </c>
      <c r="AB80" s="209" t="s">
        <v>133</v>
      </c>
      <c r="AC80" s="209" t="s">
        <v>133</v>
      </c>
      <c r="AD80" s="209" t="s">
        <v>133</v>
      </c>
      <c r="AE80" s="209" t="s">
        <v>3029</v>
      </c>
    </row>
    <row r="81" spans="1:31" x14ac:dyDescent="0.55000000000000004">
      <c r="A81" s="209" t="s">
        <v>3039</v>
      </c>
      <c r="B81" s="209" t="s">
        <v>3040</v>
      </c>
      <c r="C81" s="209" t="s">
        <v>3041</v>
      </c>
      <c r="D81" s="209" t="s">
        <v>3042</v>
      </c>
      <c r="E81" s="209" t="s">
        <v>3043</v>
      </c>
      <c r="F81" s="209" t="s">
        <v>3044</v>
      </c>
      <c r="G81" s="209" t="s">
        <v>3045</v>
      </c>
      <c r="H81" s="209" t="s">
        <v>133</v>
      </c>
      <c r="I81" s="209" t="s">
        <v>133</v>
      </c>
      <c r="J81" s="209" t="s">
        <v>3046</v>
      </c>
      <c r="K81" s="209" t="s">
        <v>3047</v>
      </c>
      <c r="L81" s="209" t="s">
        <v>3048</v>
      </c>
      <c r="M81" s="209" t="s">
        <v>3049</v>
      </c>
      <c r="N81" s="209" t="s">
        <v>3050</v>
      </c>
      <c r="O81" s="209" t="s">
        <v>3051</v>
      </c>
      <c r="P81" s="209" t="s">
        <v>2179</v>
      </c>
      <c r="Q81" s="209" t="s">
        <v>2180</v>
      </c>
      <c r="R81" s="209" t="s">
        <v>2181</v>
      </c>
      <c r="S81" s="209" t="s">
        <v>133</v>
      </c>
      <c r="T81" s="209" t="s">
        <v>133</v>
      </c>
      <c r="U81" s="209" t="s">
        <v>133</v>
      </c>
      <c r="V81" s="209" t="s">
        <v>133</v>
      </c>
      <c r="W81" s="209" t="s">
        <v>133</v>
      </c>
      <c r="X81" s="209" t="s">
        <v>133</v>
      </c>
      <c r="Y81" s="209" t="s">
        <v>133</v>
      </c>
      <c r="Z81" s="209" t="s">
        <v>3052</v>
      </c>
      <c r="AA81" s="209" t="s">
        <v>133</v>
      </c>
      <c r="AB81" s="209" t="s">
        <v>133</v>
      </c>
      <c r="AC81" s="209" t="s">
        <v>133</v>
      </c>
      <c r="AD81" s="209" t="s">
        <v>133</v>
      </c>
      <c r="AE81" s="209" t="s">
        <v>3053</v>
      </c>
    </row>
    <row r="82" spans="1:31" x14ac:dyDescent="0.55000000000000004">
      <c r="A82" s="209" t="s">
        <v>3054</v>
      </c>
      <c r="B82" s="209" t="s">
        <v>3055</v>
      </c>
      <c r="C82" s="209" t="s">
        <v>3056</v>
      </c>
      <c r="D82" s="209" t="s">
        <v>3057</v>
      </c>
      <c r="E82" s="209" t="s">
        <v>3058</v>
      </c>
      <c r="F82" s="209" t="s">
        <v>3044</v>
      </c>
      <c r="G82" s="209" t="s">
        <v>3045</v>
      </c>
      <c r="H82" s="209" t="s">
        <v>133</v>
      </c>
      <c r="I82" s="209" t="s">
        <v>133</v>
      </c>
      <c r="J82" s="209" t="s">
        <v>3046</v>
      </c>
      <c r="K82" s="209" t="s">
        <v>3059</v>
      </c>
      <c r="L82" s="209" t="s">
        <v>3060</v>
      </c>
      <c r="M82" s="209" t="s">
        <v>3061</v>
      </c>
      <c r="N82" s="209" t="s">
        <v>3050</v>
      </c>
      <c r="O82" s="209" t="s">
        <v>3062</v>
      </c>
      <c r="P82" s="209" t="s">
        <v>2179</v>
      </c>
      <c r="Q82" s="209" t="s">
        <v>2179</v>
      </c>
      <c r="R82" s="209" t="s">
        <v>2181</v>
      </c>
      <c r="S82" s="209" t="s">
        <v>133</v>
      </c>
      <c r="T82" s="209" t="s">
        <v>133</v>
      </c>
      <c r="U82" s="209" t="s">
        <v>133</v>
      </c>
      <c r="V82" s="209" t="s">
        <v>133</v>
      </c>
      <c r="W82" s="209" t="s">
        <v>133</v>
      </c>
      <c r="X82" s="209" t="s">
        <v>133</v>
      </c>
      <c r="Y82" s="209" t="s">
        <v>133</v>
      </c>
      <c r="Z82" s="209" t="s">
        <v>3052</v>
      </c>
      <c r="AA82" s="209" t="s">
        <v>133</v>
      </c>
      <c r="AB82" s="209" t="s">
        <v>133</v>
      </c>
      <c r="AC82" s="209" t="s">
        <v>133</v>
      </c>
      <c r="AD82" s="209" t="s">
        <v>133</v>
      </c>
      <c r="AE82" s="209" t="s">
        <v>3053</v>
      </c>
    </row>
    <row r="83" spans="1:31" x14ac:dyDescent="0.55000000000000004">
      <c r="A83" s="209" t="s">
        <v>3063</v>
      </c>
      <c r="B83" s="209" t="s">
        <v>3064</v>
      </c>
      <c r="C83" s="209" t="s">
        <v>3065</v>
      </c>
      <c r="D83" s="209" t="s">
        <v>3066</v>
      </c>
      <c r="E83" s="209" t="s">
        <v>3067</v>
      </c>
      <c r="F83" s="209" t="s">
        <v>3068</v>
      </c>
      <c r="G83" s="209" t="s">
        <v>3069</v>
      </c>
      <c r="H83" s="209" t="s">
        <v>133</v>
      </c>
      <c r="I83" s="209" t="s">
        <v>133</v>
      </c>
      <c r="J83" s="209" t="s">
        <v>3070</v>
      </c>
      <c r="K83" s="209" t="s">
        <v>3071</v>
      </c>
      <c r="L83" s="209" t="s">
        <v>3072</v>
      </c>
      <c r="M83" s="209" t="s">
        <v>3073</v>
      </c>
      <c r="N83" s="209" t="s">
        <v>3074</v>
      </c>
      <c r="O83" s="209" t="s">
        <v>3075</v>
      </c>
      <c r="P83" s="209" t="s">
        <v>2226</v>
      </c>
      <c r="Q83" s="209" t="s">
        <v>2226</v>
      </c>
      <c r="R83" s="209" t="s">
        <v>2181</v>
      </c>
      <c r="S83" s="209" t="s">
        <v>133</v>
      </c>
      <c r="T83" s="209" t="s">
        <v>133</v>
      </c>
      <c r="U83" s="209" t="s">
        <v>133</v>
      </c>
      <c r="V83" s="209" t="s">
        <v>133</v>
      </c>
      <c r="W83" s="209" t="s">
        <v>133</v>
      </c>
      <c r="X83" s="209" t="s">
        <v>133</v>
      </c>
      <c r="Y83" s="209" t="s">
        <v>133</v>
      </c>
      <c r="Z83" s="209" t="s">
        <v>3076</v>
      </c>
      <c r="AA83" s="209" t="s">
        <v>133</v>
      </c>
      <c r="AB83" s="209" t="s">
        <v>133</v>
      </c>
      <c r="AC83" s="209" t="s">
        <v>133</v>
      </c>
      <c r="AD83" s="209" t="s">
        <v>133</v>
      </c>
      <c r="AE83" s="209" t="s">
        <v>3077</v>
      </c>
    </row>
    <row r="84" spans="1:31" x14ac:dyDescent="0.55000000000000004">
      <c r="A84" s="209" t="s">
        <v>3078</v>
      </c>
      <c r="B84" s="209" t="s">
        <v>3079</v>
      </c>
      <c r="C84" s="209" t="s">
        <v>3080</v>
      </c>
      <c r="D84" s="209" t="s">
        <v>3081</v>
      </c>
      <c r="E84" s="209" t="s">
        <v>3082</v>
      </c>
      <c r="F84" s="209" t="s">
        <v>3068</v>
      </c>
      <c r="G84" s="209" t="s">
        <v>3069</v>
      </c>
      <c r="H84" s="209" t="s">
        <v>133</v>
      </c>
      <c r="I84" s="209" t="s">
        <v>133</v>
      </c>
      <c r="J84" s="209" t="s">
        <v>3070</v>
      </c>
      <c r="K84" s="209" t="s">
        <v>3083</v>
      </c>
      <c r="L84" s="209" t="s">
        <v>3084</v>
      </c>
      <c r="M84" s="209" t="s">
        <v>3085</v>
      </c>
      <c r="N84" s="209" t="s">
        <v>3074</v>
      </c>
      <c r="O84" s="209" t="s">
        <v>3086</v>
      </c>
      <c r="P84" s="209" t="s">
        <v>2226</v>
      </c>
      <c r="Q84" s="209" t="s">
        <v>2236</v>
      </c>
      <c r="R84" s="209" t="s">
        <v>2181</v>
      </c>
      <c r="S84" s="209" t="s">
        <v>133</v>
      </c>
      <c r="T84" s="209" t="s">
        <v>133</v>
      </c>
      <c r="U84" s="209" t="s">
        <v>133</v>
      </c>
      <c r="V84" s="209" t="s">
        <v>133</v>
      </c>
      <c r="W84" s="209" t="s">
        <v>133</v>
      </c>
      <c r="X84" s="209" t="s">
        <v>133</v>
      </c>
      <c r="Y84" s="209" t="s">
        <v>133</v>
      </c>
      <c r="Z84" s="209" t="s">
        <v>3076</v>
      </c>
      <c r="AA84" s="209" t="s">
        <v>133</v>
      </c>
      <c r="AB84" s="209" t="s">
        <v>133</v>
      </c>
      <c r="AC84" s="209" t="s">
        <v>133</v>
      </c>
      <c r="AD84" s="209" t="s">
        <v>133</v>
      </c>
      <c r="AE84" s="209" t="s">
        <v>3077</v>
      </c>
    </row>
    <row r="85" spans="1:31" x14ac:dyDescent="0.55000000000000004">
      <c r="A85" s="209" t="s">
        <v>3087</v>
      </c>
      <c r="B85" s="209" t="s">
        <v>3088</v>
      </c>
      <c r="C85" s="209" t="s">
        <v>3089</v>
      </c>
      <c r="D85" s="209" t="s">
        <v>3090</v>
      </c>
      <c r="E85" s="209" t="s">
        <v>3091</v>
      </c>
      <c r="F85" s="209" t="s">
        <v>3092</v>
      </c>
      <c r="G85" s="209" t="s">
        <v>3093</v>
      </c>
      <c r="H85" s="209" t="s">
        <v>133</v>
      </c>
      <c r="I85" s="209" t="s">
        <v>133</v>
      </c>
      <c r="J85" s="209" t="s">
        <v>3094</v>
      </c>
      <c r="K85" s="209" t="s">
        <v>3095</v>
      </c>
      <c r="L85" s="209" t="s">
        <v>3096</v>
      </c>
      <c r="M85" s="209" t="s">
        <v>3097</v>
      </c>
      <c r="N85" s="209" t="s">
        <v>3098</v>
      </c>
      <c r="O85" s="209" t="s">
        <v>3099</v>
      </c>
      <c r="P85" s="209" t="s">
        <v>2236</v>
      </c>
      <c r="Q85" s="209" t="s">
        <v>2250</v>
      </c>
      <c r="R85" s="209" t="s">
        <v>2181</v>
      </c>
      <c r="S85" s="209" t="s">
        <v>133</v>
      </c>
      <c r="T85" s="209" t="s">
        <v>133</v>
      </c>
      <c r="U85" s="209" t="s">
        <v>133</v>
      </c>
      <c r="V85" s="209" t="s">
        <v>133</v>
      </c>
      <c r="W85" s="209" t="s">
        <v>133</v>
      </c>
      <c r="X85" s="209" t="s">
        <v>133</v>
      </c>
      <c r="Y85" s="209" t="s">
        <v>133</v>
      </c>
      <c r="Z85" s="209" t="s">
        <v>3100</v>
      </c>
      <c r="AA85" s="209" t="s">
        <v>133</v>
      </c>
      <c r="AB85" s="209" t="s">
        <v>133</v>
      </c>
      <c r="AC85" s="209" t="s">
        <v>133</v>
      </c>
      <c r="AD85" s="209" t="s">
        <v>133</v>
      </c>
      <c r="AE85" s="209" t="s">
        <v>3101</v>
      </c>
    </row>
    <row r="86" spans="1:31" x14ac:dyDescent="0.55000000000000004">
      <c r="A86" s="209" t="s">
        <v>3102</v>
      </c>
      <c r="B86" s="209" t="s">
        <v>3103</v>
      </c>
      <c r="C86" s="209" t="s">
        <v>3104</v>
      </c>
      <c r="D86" s="209" t="s">
        <v>3105</v>
      </c>
      <c r="E86" s="209" t="s">
        <v>3106</v>
      </c>
      <c r="F86" s="209" t="s">
        <v>3092</v>
      </c>
      <c r="G86" s="209" t="s">
        <v>3093</v>
      </c>
      <c r="H86" s="209" t="s">
        <v>133</v>
      </c>
      <c r="I86" s="209" t="s">
        <v>133</v>
      </c>
      <c r="J86" s="209" t="s">
        <v>3094</v>
      </c>
      <c r="K86" s="209" t="s">
        <v>3107</v>
      </c>
      <c r="L86" s="209" t="s">
        <v>3108</v>
      </c>
      <c r="M86" s="209" t="s">
        <v>3109</v>
      </c>
      <c r="N86" s="209" t="s">
        <v>3098</v>
      </c>
      <c r="O86" s="209" t="s">
        <v>3110</v>
      </c>
      <c r="P86" s="209" t="s">
        <v>2236</v>
      </c>
      <c r="Q86" s="209" t="s">
        <v>2260</v>
      </c>
      <c r="R86" s="209" t="s">
        <v>2181</v>
      </c>
      <c r="S86" s="209" t="s">
        <v>133</v>
      </c>
      <c r="T86" s="209" t="s">
        <v>133</v>
      </c>
      <c r="U86" s="209" t="s">
        <v>133</v>
      </c>
      <c r="V86" s="209" t="s">
        <v>133</v>
      </c>
      <c r="W86" s="209" t="s">
        <v>133</v>
      </c>
      <c r="X86" s="209" t="s">
        <v>133</v>
      </c>
      <c r="Y86" s="209" t="s">
        <v>133</v>
      </c>
      <c r="Z86" s="209" t="s">
        <v>3100</v>
      </c>
      <c r="AA86" s="209" t="s">
        <v>133</v>
      </c>
      <c r="AB86" s="209" t="s">
        <v>133</v>
      </c>
      <c r="AC86" s="209" t="s">
        <v>133</v>
      </c>
      <c r="AD86" s="209" t="s">
        <v>133</v>
      </c>
      <c r="AE86" s="209" t="s">
        <v>3101</v>
      </c>
    </row>
    <row r="87" spans="1:31" x14ac:dyDescent="0.55000000000000004">
      <c r="A87" s="209" t="s">
        <v>3111</v>
      </c>
      <c r="B87" s="209" t="s">
        <v>3112</v>
      </c>
      <c r="C87" s="209" t="s">
        <v>3113</v>
      </c>
      <c r="D87" s="209" t="s">
        <v>3114</v>
      </c>
      <c r="E87" s="209" t="s">
        <v>3115</v>
      </c>
      <c r="F87" s="209" t="s">
        <v>3116</v>
      </c>
      <c r="G87" s="209" t="s">
        <v>3117</v>
      </c>
      <c r="H87" s="209" t="s">
        <v>133</v>
      </c>
      <c r="I87" s="209" t="s">
        <v>133</v>
      </c>
      <c r="J87" s="209" t="s">
        <v>3118</v>
      </c>
      <c r="K87" s="209" t="s">
        <v>3119</v>
      </c>
      <c r="L87" s="209" t="s">
        <v>3120</v>
      </c>
      <c r="M87" s="209" t="s">
        <v>3121</v>
      </c>
      <c r="N87" s="209" t="s">
        <v>3122</v>
      </c>
      <c r="O87" s="209" t="s">
        <v>3123</v>
      </c>
      <c r="P87" s="209" t="s">
        <v>2250</v>
      </c>
      <c r="Q87" s="209" t="s">
        <v>2274</v>
      </c>
      <c r="R87" s="209" t="s">
        <v>2181</v>
      </c>
      <c r="S87" s="209" t="s">
        <v>133</v>
      </c>
      <c r="T87" s="209" t="s">
        <v>133</v>
      </c>
      <c r="U87" s="209" t="s">
        <v>133</v>
      </c>
      <c r="V87" s="209" t="s">
        <v>133</v>
      </c>
      <c r="W87" s="209" t="s">
        <v>133</v>
      </c>
      <c r="X87" s="209" t="s">
        <v>133</v>
      </c>
      <c r="Y87" s="209" t="s">
        <v>133</v>
      </c>
      <c r="Z87" s="209" t="s">
        <v>3124</v>
      </c>
      <c r="AA87" s="209" t="s">
        <v>133</v>
      </c>
      <c r="AB87" s="209" t="s">
        <v>133</v>
      </c>
      <c r="AC87" s="209" t="s">
        <v>133</v>
      </c>
      <c r="AD87" s="209" t="s">
        <v>133</v>
      </c>
      <c r="AE87" s="209" t="s">
        <v>3125</v>
      </c>
    </row>
    <row r="88" spans="1:31" x14ac:dyDescent="0.55000000000000004">
      <c r="A88" s="209" t="s">
        <v>3126</v>
      </c>
      <c r="B88" s="209" t="s">
        <v>3127</v>
      </c>
      <c r="C88" s="209" t="s">
        <v>3128</v>
      </c>
      <c r="D88" s="209" t="s">
        <v>3129</v>
      </c>
      <c r="E88" s="209" t="s">
        <v>3130</v>
      </c>
      <c r="F88" s="209" t="s">
        <v>3116</v>
      </c>
      <c r="G88" s="209" t="s">
        <v>3117</v>
      </c>
      <c r="H88" s="209" t="s">
        <v>133</v>
      </c>
      <c r="I88" s="209" t="s">
        <v>133</v>
      </c>
      <c r="J88" s="209" t="s">
        <v>3118</v>
      </c>
      <c r="K88" s="209" t="s">
        <v>3131</v>
      </c>
      <c r="L88" s="209" t="s">
        <v>3132</v>
      </c>
      <c r="M88" s="209" t="s">
        <v>3133</v>
      </c>
      <c r="N88" s="209" t="s">
        <v>3122</v>
      </c>
      <c r="O88" s="209" t="s">
        <v>3134</v>
      </c>
      <c r="P88" s="209" t="s">
        <v>2250</v>
      </c>
      <c r="Q88" s="209" t="s">
        <v>2284</v>
      </c>
      <c r="R88" s="209" t="s">
        <v>2181</v>
      </c>
      <c r="S88" s="209" t="s">
        <v>133</v>
      </c>
      <c r="T88" s="209" t="s">
        <v>133</v>
      </c>
      <c r="U88" s="209" t="s">
        <v>133</v>
      </c>
      <c r="V88" s="209" t="s">
        <v>133</v>
      </c>
      <c r="W88" s="209" t="s">
        <v>133</v>
      </c>
      <c r="X88" s="209" t="s">
        <v>133</v>
      </c>
      <c r="Y88" s="209" t="s">
        <v>133</v>
      </c>
      <c r="Z88" s="209" t="s">
        <v>3124</v>
      </c>
      <c r="AA88" s="209" t="s">
        <v>133</v>
      </c>
      <c r="AB88" s="209" t="s">
        <v>133</v>
      </c>
      <c r="AC88" s="209" t="s">
        <v>133</v>
      </c>
      <c r="AD88" s="209" t="s">
        <v>133</v>
      </c>
      <c r="AE88" s="209" t="s">
        <v>3125</v>
      </c>
    </row>
    <row r="89" spans="1:31" x14ac:dyDescent="0.55000000000000004">
      <c r="A89" s="209" t="s">
        <v>3135</v>
      </c>
      <c r="B89" s="209" t="s">
        <v>3136</v>
      </c>
      <c r="C89" s="209" t="s">
        <v>3137</v>
      </c>
      <c r="D89" s="209" t="s">
        <v>3138</v>
      </c>
      <c r="E89" s="209" t="s">
        <v>3139</v>
      </c>
      <c r="F89" s="209" t="s">
        <v>3140</v>
      </c>
      <c r="G89" s="209" t="s">
        <v>3141</v>
      </c>
      <c r="H89" s="209" t="s">
        <v>133</v>
      </c>
      <c r="I89" s="209" t="s">
        <v>133</v>
      </c>
      <c r="J89" s="209" t="s">
        <v>3142</v>
      </c>
      <c r="K89" s="209" t="s">
        <v>3143</v>
      </c>
      <c r="L89" s="209" t="s">
        <v>3144</v>
      </c>
      <c r="M89" s="209" t="s">
        <v>3145</v>
      </c>
      <c r="N89" s="209" t="s">
        <v>3146</v>
      </c>
      <c r="O89" s="209" t="s">
        <v>3147</v>
      </c>
      <c r="P89" s="209" t="s">
        <v>2260</v>
      </c>
      <c r="Q89" s="209" t="s">
        <v>2298</v>
      </c>
      <c r="R89" s="209" t="s">
        <v>2181</v>
      </c>
      <c r="S89" s="209" t="s">
        <v>133</v>
      </c>
      <c r="T89" s="209" t="s">
        <v>133</v>
      </c>
      <c r="U89" s="209" t="s">
        <v>133</v>
      </c>
      <c r="V89" s="209" t="s">
        <v>133</v>
      </c>
      <c r="W89" s="209" t="s">
        <v>133</v>
      </c>
      <c r="X89" s="209" t="s">
        <v>133</v>
      </c>
      <c r="Y89" s="209" t="s">
        <v>133</v>
      </c>
      <c r="Z89" s="209" t="s">
        <v>3148</v>
      </c>
      <c r="AA89" s="209" t="s">
        <v>133</v>
      </c>
      <c r="AB89" s="209" t="s">
        <v>133</v>
      </c>
      <c r="AC89" s="209" t="s">
        <v>133</v>
      </c>
      <c r="AD89" s="209" t="s">
        <v>133</v>
      </c>
      <c r="AE89" s="209" t="s">
        <v>3149</v>
      </c>
    </row>
    <row r="90" spans="1:31" x14ac:dyDescent="0.55000000000000004">
      <c r="A90" s="209" t="s">
        <v>3150</v>
      </c>
      <c r="B90" s="209" t="s">
        <v>3151</v>
      </c>
      <c r="C90" s="209" t="s">
        <v>3152</v>
      </c>
      <c r="D90" s="209" t="s">
        <v>3153</v>
      </c>
      <c r="E90" s="209" t="s">
        <v>3154</v>
      </c>
      <c r="F90" s="209" t="s">
        <v>3140</v>
      </c>
      <c r="G90" s="209" t="s">
        <v>3141</v>
      </c>
      <c r="H90" s="209" t="s">
        <v>133</v>
      </c>
      <c r="I90" s="209" t="s">
        <v>133</v>
      </c>
      <c r="J90" s="209" t="s">
        <v>3142</v>
      </c>
      <c r="K90" s="209" t="s">
        <v>3155</v>
      </c>
      <c r="L90" s="209" t="s">
        <v>3156</v>
      </c>
      <c r="M90" s="209" t="s">
        <v>3157</v>
      </c>
      <c r="N90" s="209" t="s">
        <v>3146</v>
      </c>
      <c r="O90" s="209" t="s">
        <v>3158</v>
      </c>
      <c r="P90" s="209" t="s">
        <v>2260</v>
      </c>
      <c r="Q90" s="209" t="s">
        <v>2309</v>
      </c>
      <c r="R90" s="209" t="s">
        <v>2181</v>
      </c>
      <c r="S90" s="209" t="s">
        <v>133</v>
      </c>
      <c r="T90" s="209" t="s">
        <v>133</v>
      </c>
      <c r="U90" s="209" t="s">
        <v>133</v>
      </c>
      <c r="V90" s="209" t="s">
        <v>133</v>
      </c>
      <c r="W90" s="209" t="s">
        <v>133</v>
      </c>
      <c r="X90" s="209" t="s">
        <v>133</v>
      </c>
      <c r="Y90" s="209" t="s">
        <v>133</v>
      </c>
      <c r="Z90" s="209" t="s">
        <v>3148</v>
      </c>
      <c r="AA90" s="209" t="s">
        <v>133</v>
      </c>
      <c r="AB90" s="209" t="s">
        <v>133</v>
      </c>
      <c r="AC90" s="209" t="s">
        <v>133</v>
      </c>
      <c r="AD90" s="209" t="s">
        <v>133</v>
      </c>
      <c r="AE90" s="209" t="s">
        <v>3149</v>
      </c>
    </row>
    <row r="91" spans="1:31" x14ac:dyDescent="0.55000000000000004">
      <c r="A91" s="209" t="s">
        <v>3159</v>
      </c>
      <c r="B91" s="209" t="s">
        <v>2489</v>
      </c>
      <c r="C91" s="209" t="s">
        <v>2490</v>
      </c>
      <c r="D91" s="209" t="s">
        <v>2491</v>
      </c>
      <c r="E91" s="209" t="s">
        <v>2492</v>
      </c>
      <c r="F91" s="209" t="s">
        <v>3160</v>
      </c>
      <c r="G91" s="209" t="s">
        <v>3161</v>
      </c>
      <c r="H91" s="209" t="s">
        <v>133</v>
      </c>
      <c r="I91" s="209" t="s">
        <v>133</v>
      </c>
      <c r="J91" s="209" t="s">
        <v>3162</v>
      </c>
      <c r="K91" s="209" t="s">
        <v>3163</v>
      </c>
      <c r="L91" s="209" t="s">
        <v>3164</v>
      </c>
      <c r="M91" s="209" t="s">
        <v>3165</v>
      </c>
      <c r="N91" s="209" t="s">
        <v>3166</v>
      </c>
      <c r="O91" s="209" t="s">
        <v>2502</v>
      </c>
      <c r="P91" s="209" t="s">
        <v>2226</v>
      </c>
      <c r="Q91" s="209" t="s">
        <v>2226</v>
      </c>
      <c r="R91" s="209" t="s">
        <v>2299</v>
      </c>
      <c r="S91" s="209" t="s">
        <v>133</v>
      </c>
      <c r="T91" s="209" t="s">
        <v>133</v>
      </c>
      <c r="U91" s="209" t="s">
        <v>133</v>
      </c>
      <c r="V91" s="209" t="s">
        <v>133</v>
      </c>
      <c r="W91" s="209" t="s">
        <v>133</v>
      </c>
      <c r="X91" s="209" t="s">
        <v>133</v>
      </c>
      <c r="Y91" s="209" t="s">
        <v>133</v>
      </c>
      <c r="Z91" s="209" t="s">
        <v>3167</v>
      </c>
      <c r="AA91" s="209" t="s">
        <v>133</v>
      </c>
      <c r="AB91" s="209" t="s">
        <v>133</v>
      </c>
      <c r="AC91" s="209" t="s">
        <v>133</v>
      </c>
      <c r="AD91" s="209" t="s">
        <v>133</v>
      </c>
      <c r="AE91" s="209" t="s">
        <v>3168</v>
      </c>
    </row>
    <row r="92" spans="1:31" x14ac:dyDescent="0.55000000000000004">
      <c r="A92" s="209" t="s">
        <v>3169</v>
      </c>
      <c r="B92" s="209" t="s">
        <v>2504</v>
      </c>
      <c r="C92" s="209" t="s">
        <v>2505</v>
      </c>
      <c r="D92" s="209" t="s">
        <v>2506</v>
      </c>
      <c r="E92" s="209" t="s">
        <v>2507</v>
      </c>
      <c r="F92" s="209" t="s">
        <v>3160</v>
      </c>
      <c r="G92" s="209" t="s">
        <v>3161</v>
      </c>
      <c r="H92" s="209" t="s">
        <v>133</v>
      </c>
      <c r="I92" s="209" t="s">
        <v>133</v>
      </c>
      <c r="J92" s="209" t="s">
        <v>3162</v>
      </c>
      <c r="K92" s="209" t="s">
        <v>3170</v>
      </c>
      <c r="L92" s="209" t="s">
        <v>3171</v>
      </c>
      <c r="M92" s="209" t="s">
        <v>3172</v>
      </c>
      <c r="N92" s="209" t="s">
        <v>3166</v>
      </c>
      <c r="O92" s="209" t="s">
        <v>2513</v>
      </c>
      <c r="P92" s="209" t="s">
        <v>2226</v>
      </c>
      <c r="Q92" s="209" t="s">
        <v>2236</v>
      </c>
      <c r="R92" s="209" t="s">
        <v>2299</v>
      </c>
      <c r="S92" s="209" t="s">
        <v>133</v>
      </c>
      <c r="T92" s="209" t="s">
        <v>133</v>
      </c>
      <c r="U92" s="209" t="s">
        <v>133</v>
      </c>
      <c r="V92" s="209" t="s">
        <v>133</v>
      </c>
      <c r="W92" s="209" t="s">
        <v>133</v>
      </c>
      <c r="X92" s="209" t="s">
        <v>133</v>
      </c>
      <c r="Y92" s="209" t="s">
        <v>133</v>
      </c>
      <c r="Z92" s="209" t="s">
        <v>3167</v>
      </c>
      <c r="AA92" s="209" t="s">
        <v>133</v>
      </c>
      <c r="AB92" s="209" t="s">
        <v>133</v>
      </c>
      <c r="AC92" s="209" t="s">
        <v>133</v>
      </c>
      <c r="AD92" s="209" t="s">
        <v>133</v>
      </c>
      <c r="AE92" s="209" t="s">
        <v>3168</v>
      </c>
    </row>
    <row r="93" spans="1:31" x14ac:dyDescent="0.55000000000000004">
      <c r="A93" s="209" t="s">
        <v>3173</v>
      </c>
      <c r="B93" s="209" t="s">
        <v>2515</v>
      </c>
      <c r="C93" s="209" t="s">
        <v>2516</v>
      </c>
      <c r="D93" s="209" t="s">
        <v>2517</v>
      </c>
      <c r="E93" s="209" t="s">
        <v>2518</v>
      </c>
      <c r="F93" s="209" t="s">
        <v>3174</v>
      </c>
      <c r="G93" s="209" t="s">
        <v>3175</v>
      </c>
      <c r="H93" s="209" t="s">
        <v>133</v>
      </c>
      <c r="I93" s="209" t="s">
        <v>133</v>
      </c>
      <c r="J93" s="209" t="s">
        <v>3176</v>
      </c>
      <c r="K93" s="209" t="s">
        <v>3177</v>
      </c>
      <c r="L93" s="209" t="s">
        <v>3178</v>
      </c>
      <c r="M93" s="209" t="s">
        <v>3179</v>
      </c>
      <c r="N93" s="209" t="s">
        <v>3180</v>
      </c>
      <c r="O93" s="209" t="s">
        <v>2528</v>
      </c>
      <c r="P93" s="209" t="s">
        <v>2236</v>
      </c>
      <c r="Q93" s="209" t="s">
        <v>2250</v>
      </c>
      <c r="R93" s="209" t="s">
        <v>2299</v>
      </c>
      <c r="S93" s="209" t="s">
        <v>133</v>
      </c>
      <c r="T93" s="209" t="s">
        <v>133</v>
      </c>
      <c r="U93" s="209" t="s">
        <v>133</v>
      </c>
      <c r="V93" s="209" t="s">
        <v>133</v>
      </c>
      <c r="W93" s="209" t="s">
        <v>133</v>
      </c>
      <c r="X93" s="209" t="s">
        <v>133</v>
      </c>
      <c r="Y93" s="209" t="s">
        <v>133</v>
      </c>
      <c r="Z93" s="209" t="s">
        <v>3181</v>
      </c>
      <c r="AA93" s="209" t="s">
        <v>133</v>
      </c>
      <c r="AB93" s="209" t="s">
        <v>133</v>
      </c>
      <c r="AC93" s="209" t="s">
        <v>133</v>
      </c>
      <c r="AD93" s="209" t="s">
        <v>133</v>
      </c>
      <c r="AE93" s="209" t="s">
        <v>3182</v>
      </c>
    </row>
    <row r="94" spans="1:31" x14ac:dyDescent="0.55000000000000004">
      <c r="A94" s="209" t="s">
        <v>3183</v>
      </c>
      <c r="B94" s="209" t="s">
        <v>2530</v>
      </c>
      <c r="C94" s="209" t="s">
        <v>2531</v>
      </c>
      <c r="D94" s="209" t="s">
        <v>2532</v>
      </c>
      <c r="E94" s="209" t="s">
        <v>2533</v>
      </c>
      <c r="F94" s="209" t="s">
        <v>3174</v>
      </c>
      <c r="G94" s="209" t="s">
        <v>3175</v>
      </c>
      <c r="H94" s="209" t="s">
        <v>133</v>
      </c>
      <c r="I94" s="209" t="s">
        <v>133</v>
      </c>
      <c r="J94" s="209" t="s">
        <v>3176</v>
      </c>
      <c r="K94" s="209" t="s">
        <v>3184</v>
      </c>
      <c r="L94" s="209" t="s">
        <v>3185</v>
      </c>
      <c r="M94" s="209" t="s">
        <v>3186</v>
      </c>
      <c r="N94" s="209" t="s">
        <v>3180</v>
      </c>
      <c r="O94" s="209" t="s">
        <v>2539</v>
      </c>
      <c r="P94" s="209" t="s">
        <v>2236</v>
      </c>
      <c r="Q94" s="209" t="s">
        <v>2260</v>
      </c>
      <c r="R94" s="209" t="s">
        <v>2299</v>
      </c>
      <c r="S94" s="209" t="s">
        <v>133</v>
      </c>
      <c r="T94" s="209" t="s">
        <v>133</v>
      </c>
      <c r="U94" s="209" t="s">
        <v>133</v>
      </c>
      <c r="V94" s="209" t="s">
        <v>133</v>
      </c>
      <c r="W94" s="209" t="s">
        <v>133</v>
      </c>
      <c r="X94" s="209" t="s">
        <v>133</v>
      </c>
      <c r="Y94" s="209" t="s">
        <v>133</v>
      </c>
      <c r="Z94" s="209" t="s">
        <v>3181</v>
      </c>
      <c r="AA94" s="209" t="s">
        <v>133</v>
      </c>
      <c r="AB94" s="209" t="s">
        <v>133</v>
      </c>
      <c r="AC94" s="209" t="s">
        <v>133</v>
      </c>
      <c r="AD94" s="209" t="s">
        <v>133</v>
      </c>
      <c r="AE94" s="209" t="s">
        <v>3182</v>
      </c>
    </row>
    <row r="95" spans="1:31" x14ac:dyDescent="0.55000000000000004">
      <c r="A95" s="209" t="s">
        <v>3187</v>
      </c>
      <c r="B95" s="209" t="s">
        <v>2541</v>
      </c>
      <c r="C95" s="209" t="s">
        <v>2542</v>
      </c>
      <c r="D95" s="209" t="s">
        <v>2543</v>
      </c>
      <c r="E95" s="209" t="s">
        <v>2544</v>
      </c>
      <c r="F95" s="209" t="s">
        <v>3188</v>
      </c>
      <c r="G95" s="209" t="s">
        <v>3189</v>
      </c>
      <c r="H95" s="209" t="s">
        <v>133</v>
      </c>
      <c r="I95" s="209" t="s">
        <v>133</v>
      </c>
      <c r="J95" s="209" t="s">
        <v>3190</v>
      </c>
      <c r="K95" s="209" t="s">
        <v>3191</v>
      </c>
      <c r="L95" s="209" t="s">
        <v>3192</v>
      </c>
      <c r="M95" s="209" t="s">
        <v>3193</v>
      </c>
      <c r="N95" s="209" t="s">
        <v>3194</v>
      </c>
      <c r="O95" s="209" t="s">
        <v>2552</v>
      </c>
      <c r="P95" s="209" t="s">
        <v>2250</v>
      </c>
      <c r="Q95" s="209" t="s">
        <v>2274</v>
      </c>
      <c r="R95" s="209" t="s">
        <v>2299</v>
      </c>
      <c r="S95" s="209" t="s">
        <v>133</v>
      </c>
      <c r="T95" s="209" t="s">
        <v>133</v>
      </c>
      <c r="U95" s="209" t="s">
        <v>133</v>
      </c>
      <c r="V95" s="209" t="s">
        <v>133</v>
      </c>
      <c r="W95" s="209" t="s">
        <v>133</v>
      </c>
      <c r="X95" s="209" t="s">
        <v>133</v>
      </c>
      <c r="Y95" s="209" t="s">
        <v>133</v>
      </c>
      <c r="Z95" s="209" t="s">
        <v>3195</v>
      </c>
      <c r="AA95" s="209" t="s">
        <v>133</v>
      </c>
      <c r="AB95" s="209" t="s">
        <v>133</v>
      </c>
      <c r="AC95" s="209" t="s">
        <v>133</v>
      </c>
      <c r="AD95" s="209" t="s">
        <v>133</v>
      </c>
      <c r="AE95" s="209" t="s">
        <v>3196</v>
      </c>
    </row>
    <row r="96" spans="1:31" x14ac:dyDescent="0.55000000000000004">
      <c r="A96" s="209" t="s">
        <v>3197</v>
      </c>
      <c r="B96" s="209" t="s">
        <v>2555</v>
      </c>
      <c r="C96" s="209" t="s">
        <v>2556</v>
      </c>
      <c r="D96" s="209" t="s">
        <v>2557</v>
      </c>
      <c r="E96" s="209" t="s">
        <v>2558</v>
      </c>
      <c r="F96" s="209" t="s">
        <v>3188</v>
      </c>
      <c r="G96" s="209" t="s">
        <v>3189</v>
      </c>
      <c r="H96" s="209" t="s">
        <v>133</v>
      </c>
      <c r="I96" s="209" t="s">
        <v>133</v>
      </c>
      <c r="J96" s="209" t="s">
        <v>3190</v>
      </c>
      <c r="K96" s="209" t="s">
        <v>3198</v>
      </c>
      <c r="L96" s="209" t="s">
        <v>3199</v>
      </c>
      <c r="M96" s="209" t="s">
        <v>3200</v>
      </c>
      <c r="N96" s="209" t="s">
        <v>3194</v>
      </c>
      <c r="O96" s="209" t="s">
        <v>2562</v>
      </c>
      <c r="P96" s="209" t="s">
        <v>2250</v>
      </c>
      <c r="Q96" s="209" t="s">
        <v>2284</v>
      </c>
      <c r="R96" s="209" t="s">
        <v>2299</v>
      </c>
      <c r="S96" s="209" t="s">
        <v>133</v>
      </c>
      <c r="T96" s="209" t="s">
        <v>133</v>
      </c>
      <c r="U96" s="209" t="s">
        <v>133</v>
      </c>
      <c r="V96" s="209" t="s">
        <v>133</v>
      </c>
      <c r="W96" s="209" t="s">
        <v>133</v>
      </c>
      <c r="X96" s="209" t="s">
        <v>133</v>
      </c>
      <c r="Y96" s="209" t="s">
        <v>133</v>
      </c>
      <c r="Z96" s="209" t="s">
        <v>3195</v>
      </c>
      <c r="AA96" s="209" t="s">
        <v>133</v>
      </c>
      <c r="AB96" s="209" t="s">
        <v>133</v>
      </c>
      <c r="AC96" s="209" t="s">
        <v>133</v>
      </c>
      <c r="AD96" s="209" t="s">
        <v>133</v>
      </c>
      <c r="AE96" s="209" t="s">
        <v>3196</v>
      </c>
    </row>
    <row r="97" spans="1:31" x14ac:dyDescent="0.55000000000000004">
      <c r="A97" s="209" t="s">
        <v>3201</v>
      </c>
      <c r="B97" s="209" t="s">
        <v>3202</v>
      </c>
      <c r="C97" s="209" t="s">
        <v>3203</v>
      </c>
      <c r="D97" s="209" t="s">
        <v>3204</v>
      </c>
      <c r="E97" s="209" t="s">
        <v>3205</v>
      </c>
      <c r="F97" s="209" t="s">
        <v>3206</v>
      </c>
      <c r="G97" s="209" t="s">
        <v>3207</v>
      </c>
      <c r="H97" s="209" t="s">
        <v>133</v>
      </c>
      <c r="I97" s="209" t="s">
        <v>133</v>
      </c>
      <c r="J97" s="209" t="s">
        <v>3208</v>
      </c>
      <c r="K97" s="209" t="s">
        <v>3209</v>
      </c>
      <c r="L97" s="209" t="s">
        <v>3210</v>
      </c>
      <c r="M97" s="209" t="s">
        <v>3211</v>
      </c>
      <c r="N97" s="209" t="s">
        <v>3212</v>
      </c>
      <c r="O97" s="209" t="s">
        <v>3213</v>
      </c>
      <c r="P97" s="209" t="s">
        <v>2260</v>
      </c>
      <c r="Q97" s="209" t="s">
        <v>2298</v>
      </c>
      <c r="R97" s="209" t="s">
        <v>2299</v>
      </c>
      <c r="S97" s="209" t="s">
        <v>133</v>
      </c>
      <c r="T97" s="209" t="s">
        <v>133</v>
      </c>
      <c r="U97" s="209" t="s">
        <v>133</v>
      </c>
      <c r="V97" s="209" t="s">
        <v>133</v>
      </c>
      <c r="W97" s="209" t="s">
        <v>133</v>
      </c>
      <c r="X97" s="209" t="s">
        <v>133</v>
      </c>
      <c r="Y97" s="209" t="s">
        <v>133</v>
      </c>
      <c r="Z97" s="209" t="s">
        <v>3214</v>
      </c>
      <c r="AA97" s="209" t="s">
        <v>133</v>
      </c>
      <c r="AB97" s="209" t="s">
        <v>133</v>
      </c>
      <c r="AC97" s="209" t="s">
        <v>133</v>
      </c>
      <c r="AD97" s="209" t="s">
        <v>133</v>
      </c>
      <c r="AE97" s="209" t="s">
        <v>3215</v>
      </c>
    </row>
    <row r="98" spans="1:31" x14ac:dyDescent="0.55000000000000004">
      <c r="A98" s="209" t="s">
        <v>3216</v>
      </c>
      <c r="B98" s="209" t="s">
        <v>3217</v>
      </c>
      <c r="C98" s="209" t="s">
        <v>3218</v>
      </c>
      <c r="D98" s="209" t="s">
        <v>3219</v>
      </c>
      <c r="E98" s="209" t="s">
        <v>3220</v>
      </c>
      <c r="F98" s="209" t="s">
        <v>3206</v>
      </c>
      <c r="G98" s="209" t="s">
        <v>3207</v>
      </c>
      <c r="H98" s="209" t="s">
        <v>133</v>
      </c>
      <c r="I98" s="209" t="s">
        <v>133</v>
      </c>
      <c r="J98" s="209" t="s">
        <v>3208</v>
      </c>
      <c r="K98" s="209" t="s">
        <v>3221</v>
      </c>
      <c r="L98" s="209" t="s">
        <v>3222</v>
      </c>
      <c r="M98" s="209" t="s">
        <v>3223</v>
      </c>
      <c r="N98" s="209" t="s">
        <v>3212</v>
      </c>
      <c r="O98" s="209" t="s">
        <v>3224</v>
      </c>
      <c r="P98" s="209" t="s">
        <v>2260</v>
      </c>
      <c r="Q98" s="209" t="s">
        <v>2309</v>
      </c>
      <c r="R98" s="209" t="s">
        <v>2299</v>
      </c>
      <c r="S98" s="209" t="s">
        <v>133</v>
      </c>
      <c r="T98" s="209" t="s">
        <v>133</v>
      </c>
      <c r="U98" s="209" t="s">
        <v>133</v>
      </c>
      <c r="V98" s="209" t="s">
        <v>133</v>
      </c>
      <c r="W98" s="209" t="s">
        <v>133</v>
      </c>
      <c r="X98" s="209" t="s">
        <v>133</v>
      </c>
      <c r="Y98" s="209" t="s">
        <v>133</v>
      </c>
      <c r="Z98" s="209" t="s">
        <v>3214</v>
      </c>
      <c r="AA98" s="209" t="s">
        <v>133</v>
      </c>
      <c r="AB98" s="209" t="s">
        <v>133</v>
      </c>
      <c r="AC98" s="209" t="s">
        <v>133</v>
      </c>
      <c r="AD98" s="209" t="s">
        <v>133</v>
      </c>
      <c r="AE98" s="209" t="s">
        <v>3215</v>
      </c>
    </row>
    <row r="99" spans="1:31" x14ac:dyDescent="0.55000000000000004">
      <c r="A99" s="209" t="s">
        <v>6003</v>
      </c>
      <c r="B99" s="209" t="s">
        <v>4449</v>
      </c>
      <c r="C99" s="209" t="s">
        <v>4450</v>
      </c>
      <c r="D99" s="209" t="s">
        <v>4451</v>
      </c>
      <c r="E99" s="209" t="s">
        <v>4452</v>
      </c>
      <c r="F99" s="209" t="s">
        <v>4453</v>
      </c>
      <c r="G99" s="209" t="s">
        <v>4454</v>
      </c>
      <c r="H99" s="209" t="s">
        <v>133</v>
      </c>
      <c r="I99" s="209" t="s">
        <v>133</v>
      </c>
      <c r="J99" s="209" t="s">
        <v>4455</v>
      </c>
      <c r="K99" s="209" t="s">
        <v>4456</v>
      </c>
      <c r="L99" s="209" t="s">
        <v>4457</v>
      </c>
      <c r="M99" s="209" t="s">
        <v>4458</v>
      </c>
      <c r="N99" s="209" t="s">
        <v>4459</v>
      </c>
      <c r="O99" s="209" t="s">
        <v>4460</v>
      </c>
      <c r="P99" s="209" t="s">
        <v>2179</v>
      </c>
      <c r="Q99" s="209" t="s">
        <v>2180</v>
      </c>
      <c r="R99" s="209" t="s">
        <v>2299</v>
      </c>
      <c r="S99" s="209" t="s">
        <v>3238</v>
      </c>
      <c r="T99" s="209" t="s">
        <v>3239</v>
      </c>
      <c r="U99" s="209" t="s">
        <v>3240</v>
      </c>
      <c r="V99" s="209" t="s">
        <v>3241</v>
      </c>
      <c r="W99" s="209" t="s">
        <v>3242</v>
      </c>
      <c r="X99" s="209" t="s">
        <v>3243</v>
      </c>
      <c r="Y99" s="209" t="s">
        <v>6033</v>
      </c>
      <c r="Z99" s="209" t="s">
        <v>6034</v>
      </c>
      <c r="AA99" s="209" t="s">
        <v>6035</v>
      </c>
      <c r="AB99" s="209" t="s">
        <v>6036</v>
      </c>
      <c r="AC99" s="209" t="s">
        <v>4351</v>
      </c>
      <c r="AD99" s="209" t="s">
        <v>133</v>
      </c>
      <c r="AE99" s="209" t="s">
        <v>133</v>
      </c>
    </row>
    <row r="100" spans="1:31" x14ac:dyDescent="0.55000000000000004">
      <c r="A100" s="209" t="s">
        <v>6004</v>
      </c>
      <c r="B100" s="209" t="s">
        <v>4461</v>
      </c>
      <c r="C100" s="209" t="s">
        <v>4462</v>
      </c>
      <c r="D100" s="209" t="s">
        <v>4463</v>
      </c>
      <c r="E100" s="209" t="s">
        <v>4464</v>
      </c>
      <c r="F100" s="209" t="s">
        <v>4453</v>
      </c>
      <c r="G100" s="209" t="s">
        <v>4454</v>
      </c>
      <c r="H100" s="209" t="s">
        <v>133</v>
      </c>
      <c r="I100" s="209" t="s">
        <v>133</v>
      </c>
      <c r="J100" s="209" t="s">
        <v>4455</v>
      </c>
      <c r="K100" s="209" t="s">
        <v>4465</v>
      </c>
      <c r="L100" s="209" t="s">
        <v>4466</v>
      </c>
      <c r="M100" s="209" t="s">
        <v>4467</v>
      </c>
      <c r="N100" s="209" t="s">
        <v>4459</v>
      </c>
      <c r="O100" s="209" t="s">
        <v>4468</v>
      </c>
      <c r="P100" s="209" t="s">
        <v>2179</v>
      </c>
      <c r="Q100" s="209" t="s">
        <v>2179</v>
      </c>
      <c r="R100" s="209" t="s">
        <v>2299</v>
      </c>
      <c r="S100" s="209" t="s">
        <v>3258</v>
      </c>
      <c r="T100" s="209" t="s">
        <v>3259</v>
      </c>
      <c r="U100" s="209" t="s">
        <v>3260</v>
      </c>
      <c r="V100" s="209" t="s">
        <v>3261</v>
      </c>
      <c r="W100" s="209" t="s">
        <v>3262</v>
      </c>
      <c r="X100" s="209" t="s">
        <v>3263</v>
      </c>
      <c r="Y100" s="209" t="s">
        <v>6033</v>
      </c>
      <c r="Z100" s="209" t="s">
        <v>6034</v>
      </c>
      <c r="AA100" s="209" t="s">
        <v>6035</v>
      </c>
      <c r="AB100" s="209" t="s">
        <v>6036</v>
      </c>
      <c r="AC100" s="209" t="s">
        <v>4351</v>
      </c>
      <c r="AD100" s="209" t="s">
        <v>133</v>
      </c>
      <c r="AE100" s="209" t="s">
        <v>133</v>
      </c>
    </row>
    <row r="101" spans="1:31" x14ac:dyDescent="0.55000000000000004">
      <c r="A101" s="209" t="s">
        <v>6005</v>
      </c>
      <c r="B101" s="209" t="s">
        <v>4469</v>
      </c>
      <c r="C101" s="209" t="s">
        <v>4470</v>
      </c>
      <c r="D101" s="209" t="s">
        <v>4471</v>
      </c>
      <c r="E101" s="209" t="s">
        <v>4472</v>
      </c>
      <c r="F101" s="209" t="s">
        <v>4473</v>
      </c>
      <c r="G101" s="209" t="s">
        <v>4474</v>
      </c>
      <c r="H101" s="209" t="s">
        <v>133</v>
      </c>
      <c r="I101" s="209" t="s">
        <v>133</v>
      </c>
      <c r="J101" s="209" t="s">
        <v>4475</v>
      </c>
      <c r="K101" s="209" t="s">
        <v>4476</v>
      </c>
      <c r="L101" s="209" t="s">
        <v>4477</v>
      </c>
      <c r="M101" s="209" t="s">
        <v>4478</v>
      </c>
      <c r="N101" s="209" t="s">
        <v>4479</v>
      </c>
      <c r="O101" s="209" t="s">
        <v>4480</v>
      </c>
      <c r="P101" s="209" t="s">
        <v>2226</v>
      </c>
      <c r="Q101" s="209" t="s">
        <v>2226</v>
      </c>
      <c r="R101" s="209" t="s">
        <v>2299</v>
      </c>
      <c r="S101" s="209" t="s">
        <v>3277</v>
      </c>
      <c r="T101" s="209" t="s">
        <v>3278</v>
      </c>
      <c r="U101" s="209" t="s">
        <v>3279</v>
      </c>
      <c r="V101" s="209" t="s">
        <v>3280</v>
      </c>
      <c r="W101" s="209" t="s">
        <v>3281</v>
      </c>
      <c r="X101" s="209" t="s">
        <v>3282</v>
      </c>
      <c r="Y101" s="209" t="s">
        <v>6037</v>
      </c>
      <c r="Z101" s="209" t="s">
        <v>6038</v>
      </c>
      <c r="AA101" s="209" t="s">
        <v>6039</v>
      </c>
      <c r="AB101" s="209" t="s">
        <v>6040</v>
      </c>
      <c r="AC101" s="209" t="s">
        <v>4351</v>
      </c>
      <c r="AD101" s="209" t="s">
        <v>133</v>
      </c>
      <c r="AE101" s="209" t="s">
        <v>133</v>
      </c>
    </row>
    <row r="102" spans="1:31" x14ac:dyDescent="0.55000000000000004">
      <c r="A102" s="209" t="s">
        <v>6006</v>
      </c>
      <c r="B102" s="209" t="s">
        <v>4481</v>
      </c>
      <c r="C102" s="209" t="s">
        <v>4482</v>
      </c>
      <c r="D102" s="209" t="s">
        <v>4483</v>
      </c>
      <c r="E102" s="209" t="s">
        <v>4484</v>
      </c>
      <c r="F102" s="209" t="s">
        <v>4473</v>
      </c>
      <c r="G102" s="209" t="s">
        <v>4474</v>
      </c>
      <c r="H102" s="209" t="s">
        <v>133</v>
      </c>
      <c r="I102" s="209" t="s">
        <v>133</v>
      </c>
      <c r="J102" s="209" t="s">
        <v>4475</v>
      </c>
      <c r="K102" s="209" t="s">
        <v>4485</v>
      </c>
      <c r="L102" s="209" t="s">
        <v>4486</v>
      </c>
      <c r="M102" s="209" t="s">
        <v>4487</v>
      </c>
      <c r="N102" s="209" t="s">
        <v>4479</v>
      </c>
      <c r="O102" s="209" t="s">
        <v>4488</v>
      </c>
      <c r="P102" s="209" t="s">
        <v>2226</v>
      </c>
      <c r="Q102" s="209" t="s">
        <v>2236</v>
      </c>
      <c r="R102" s="209" t="s">
        <v>2299</v>
      </c>
      <c r="S102" s="209" t="s">
        <v>3296</v>
      </c>
      <c r="T102" s="209" t="s">
        <v>3297</v>
      </c>
      <c r="U102" s="209" t="s">
        <v>3298</v>
      </c>
      <c r="V102" s="209" t="s">
        <v>3299</v>
      </c>
      <c r="W102" s="209" t="s">
        <v>3300</v>
      </c>
      <c r="X102" s="209" t="s">
        <v>3301</v>
      </c>
      <c r="Y102" s="209" t="s">
        <v>6037</v>
      </c>
      <c r="Z102" s="209" t="s">
        <v>6038</v>
      </c>
      <c r="AA102" s="209" t="s">
        <v>6039</v>
      </c>
      <c r="AB102" s="209" t="s">
        <v>6040</v>
      </c>
      <c r="AC102" s="209" t="s">
        <v>4351</v>
      </c>
      <c r="AD102" s="209" t="s">
        <v>133</v>
      </c>
      <c r="AE102" s="209" t="s">
        <v>133</v>
      </c>
    </row>
    <row r="103" spans="1:31" x14ac:dyDescent="0.55000000000000004">
      <c r="A103" s="209" t="s">
        <v>6007</v>
      </c>
      <c r="B103" s="209" t="s">
        <v>4489</v>
      </c>
      <c r="C103" s="209" t="s">
        <v>4490</v>
      </c>
      <c r="D103" s="209" t="s">
        <v>4491</v>
      </c>
      <c r="E103" s="209" t="s">
        <v>4492</v>
      </c>
      <c r="F103" s="209" t="s">
        <v>4493</v>
      </c>
      <c r="G103" s="209" t="s">
        <v>4494</v>
      </c>
      <c r="H103" s="209" t="s">
        <v>133</v>
      </c>
      <c r="I103" s="209" t="s">
        <v>133</v>
      </c>
      <c r="J103" s="209" t="s">
        <v>4495</v>
      </c>
      <c r="K103" s="209" t="s">
        <v>4496</v>
      </c>
      <c r="L103" s="209" t="s">
        <v>4497</v>
      </c>
      <c r="M103" s="209" t="s">
        <v>4498</v>
      </c>
      <c r="N103" s="209" t="s">
        <v>4499</v>
      </c>
      <c r="O103" s="209" t="s">
        <v>4500</v>
      </c>
      <c r="P103" s="209" t="s">
        <v>2236</v>
      </c>
      <c r="Q103" s="209" t="s">
        <v>2250</v>
      </c>
      <c r="R103" s="209" t="s">
        <v>2299</v>
      </c>
      <c r="S103" s="209" t="s">
        <v>3315</v>
      </c>
      <c r="T103" s="209" t="s">
        <v>3316</v>
      </c>
      <c r="U103" s="209" t="s">
        <v>3317</v>
      </c>
      <c r="V103" s="209" t="s">
        <v>3318</v>
      </c>
      <c r="W103" s="209" t="s">
        <v>3319</v>
      </c>
      <c r="X103" s="209" t="s">
        <v>3320</v>
      </c>
      <c r="Y103" s="209" t="s">
        <v>6041</v>
      </c>
      <c r="Z103" s="209" t="s">
        <v>6042</v>
      </c>
      <c r="AA103" s="209" t="s">
        <v>6043</v>
      </c>
      <c r="AB103" s="209" t="s">
        <v>6044</v>
      </c>
      <c r="AC103" s="209" t="s">
        <v>4351</v>
      </c>
      <c r="AD103" s="209" t="s">
        <v>133</v>
      </c>
      <c r="AE103" s="209" t="s">
        <v>133</v>
      </c>
    </row>
    <row r="104" spans="1:31" x14ac:dyDescent="0.55000000000000004">
      <c r="A104" s="209" t="s">
        <v>6008</v>
      </c>
      <c r="B104" s="209" t="s">
        <v>4501</v>
      </c>
      <c r="C104" s="209" t="s">
        <v>4502</v>
      </c>
      <c r="D104" s="209" t="s">
        <v>4503</v>
      </c>
      <c r="E104" s="209" t="s">
        <v>4504</v>
      </c>
      <c r="F104" s="209" t="s">
        <v>4493</v>
      </c>
      <c r="G104" s="209" t="s">
        <v>4494</v>
      </c>
      <c r="H104" s="209" t="s">
        <v>133</v>
      </c>
      <c r="I104" s="209" t="s">
        <v>133</v>
      </c>
      <c r="J104" s="209" t="s">
        <v>4495</v>
      </c>
      <c r="K104" s="209" t="s">
        <v>4505</v>
      </c>
      <c r="L104" s="209" t="s">
        <v>4506</v>
      </c>
      <c r="M104" s="209" t="s">
        <v>4507</v>
      </c>
      <c r="N104" s="209" t="s">
        <v>4499</v>
      </c>
      <c r="O104" s="209" t="s">
        <v>4508</v>
      </c>
      <c r="P104" s="209" t="s">
        <v>2236</v>
      </c>
      <c r="Q104" s="209" t="s">
        <v>2260</v>
      </c>
      <c r="R104" s="209" t="s">
        <v>2299</v>
      </c>
      <c r="S104" s="209" t="s">
        <v>3334</v>
      </c>
      <c r="T104" s="209" t="s">
        <v>3335</v>
      </c>
      <c r="U104" s="209" t="s">
        <v>3336</v>
      </c>
      <c r="V104" s="209" t="s">
        <v>3337</v>
      </c>
      <c r="W104" s="209" t="s">
        <v>3338</v>
      </c>
      <c r="X104" s="209" t="s">
        <v>3339</v>
      </c>
      <c r="Y104" s="209" t="s">
        <v>6041</v>
      </c>
      <c r="Z104" s="209" t="s">
        <v>6042</v>
      </c>
      <c r="AA104" s="209" t="s">
        <v>6043</v>
      </c>
      <c r="AB104" s="209" t="s">
        <v>6044</v>
      </c>
      <c r="AC104" s="209" t="s">
        <v>4351</v>
      </c>
      <c r="AD104" s="209" t="s">
        <v>133</v>
      </c>
      <c r="AE104" s="209" t="s">
        <v>133</v>
      </c>
    </row>
    <row r="105" spans="1:31" x14ac:dyDescent="0.55000000000000004">
      <c r="A105" s="209" t="s">
        <v>6009</v>
      </c>
      <c r="B105" s="209" t="s">
        <v>4509</v>
      </c>
      <c r="C105" s="209" t="s">
        <v>4510</v>
      </c>
      <c r="D105" s="209" t="s">
        <v>4511</v>
      </c>
      <c r="E105" s="209" t="s">
        <v>4512</v>
      </c>
      <c r="F105" s="209" t="s">
        <v>4513</v>
      </c>
      <c r="G105" s="209" t="s">
        <v>4514</v>
      </c>
      <c r="H105" s="209" t="s">
        <v>133</v>
      </c>
      <c r="I105" s="209" t="s">
        <v>133</v>
      </c>
      <c r="J105" s="209" t="s">
        <v>4515</v>
      </c>
      <c r="K105" s="209" t="s">
        <v>4516</v>
      </c>
      <c r="L105" s="209" t="s">
        <v>4517</v>
      </c>
      <c r="M105" s="209" t="s">
        <v>4518</v>
      </c>
      <c r="N105" s="209" t="s">
        <v>4519</v>
      </c>
      <c r="O105" s="209" t="s">
        <v>4520</v>
      </c>
      <c r="P105" s="209" t="s">
        <v>2250</v>
      </c>
      <c r="Q105" s="209" t="s">
        <v>2274</v>
      </c>
      <c r="R105" s="209" t="s">
        <v>2299</v>
      </c>
      <c r="S105" s="209" t="s">
        <v>3238</v>
      </c>
      <c r="T105" s="209" t="s">
        <v>3239</v>
      </c>
      <c r="U105" s="209" t="s">
        <v>3240</v>
      </c>
      <c r="V105" s="209" t="s">
        <v>3241</v>
      </c>
      <c r="W105" s="209" t="s">
        <v>3242</v>
      </c>
      <c r="X105" s="209" t="s">
        <v>3243</v>
      </c>
      <c r="Y105" s="209" t="s">
        <v>6045</v>
      </c>
      <c r="Z105" s="209" t="s">
        <v>6046</v>
      </c>
      <c r="AA105" s="209" t="s">
        <v>6047</v>
      </c>
      <c r="AB105" s="209" t="s">
        <v>6048</v>
      </c>
      <c r="AC105" s="209" t="s">
        <v>4351</v>
      </c>
      <c r="AD105" s="209" t="s">
        <v>133</v>
      </c>
      <c r="AE105" s="209" t="s">
        <v>133</v>
      </c>
    </row>
    <row r="106" spans="1:31" x14ac:dyDescent="0.55000000000000004">
      <c r="A106" s="209" t="s">
        <v>6010</v>
      </c>
      <c r="B106" s="209" t="s">
        <v>4521</v>
      </c>
      <c r="C106" s="209" t="s">
        <v>4522</v>
      </c>
      <c r="D106" s="209" t="s">
        <v>4523</v>
      </c>
      <c r="E106" s="209" t="s">
        <v>4524</v>
      </c>
      <c r="F106" s="209" t="s">
        <v>4513</v>
      </c>
      <c r="G106" s="209" t="s">
        <v>4514</v>
      </c>
      <c r="H106" s="209" t="s">
        <v>133</v>
      </c>
      <c r="I106" s="209" t="s">
        <v>133</v>
      </c>
      <c r="J106" s="209" t="s">
        <v>4515</v>
      </c>
      <c r="K106" s="209" t="s">
        <v>4525</v>
      </c>
      <c r="L106" s="209" t="s">
        <v>4526</v>
      </c>
      <c r="M106" s="209" t="s">
        <v>4527</v>
      </c>
      <c r="N106" s="209" t="s">
        <v>4519</v>
      </c>
      <c r="O106" s="209" t="s">
        <v>4528</v>
      </c>
      <c r="P106" s="209" t="s">
        <v>2250</v>
      </c>
      <c r="Q106" s="209" t="s">
        <v>2284</v>
      </c>
      <c r="R106" s="209" t="s">
        <v>2299</v>
      </c>
      <c r="S106" s="209" t="s">
        <v>3258</v>
      </c>
      <c r="T106" s="209" t="s">
        <v>3259</v>
      </c>
      <c r="U106" s="209" t="s">
        <v>3260</v>
      </c>
      <c r="V106" s="209" t="s">
        <v>3261</v>
      </c>
      <c r="W106" s="209" t="s">
        <v>3262</v>
      </c>
      <c r="X106" s="209" t="s">
        <v>3263</v>
      </c>
      <c r="Y106" s="209" t="s">
        <v>6045</v>
      </c>
      <c r="Z106" s="209" t="s">
        <v>6046</v>
      </c>
      <c r="AA106" s="209" t="s">
        <v>6047</v>
      </c>
      <c r="AB106" s="209" t="s">
        <v>6048</v>
      </c>
      <c r="AC106" s="209" t="s">
        <v>4351</v>
      </c>
      <c r="AD106" s="209" t="s">
        <v>133</v>
      </c>
      <c r="AE106" s="209" t="s">
        <v>133</v>
      </c>
    </row>
    <row r="107" spans="1:31" x14ac:dyDescent="0.55000000000000004">
      <c r="A107" s="209" t="s">
        <v>6011</v>
      </c>
      <c r="B107" s="209" t="s">
        <v>4529</v>
      </c>
      <c r="C107" s="209" t="s">
        <v>4530</v>
      </c>
      <c r="D107" s="209" t="s">
        <v>4531</v>
      </c>
      <c r="E107" s="209" t="s">
        <v>4532</v>
      </c>
      <c r="F107" s="209" t="s">
        <v>4533</v>
      </c>
      <c r="G107" s="209" t="s">
        <v>4534</v>
      </c>
      <c r="H107" s="209" t="s">
        <v>133</v>
      </c>
      <c r="I107" s="209" t="s">
        <v>133</v>
      </c>
      <c r="J107" s="209" t="s">
        <v>4535</v>
      </c>
      <c r="K107" s="209" t="s">
        <v>4536</v>
      </c>
      <c r="L107" s="209" t="s">
        <v>4537</v>
      </c>
      <c r="M107" s="209" t="s">
        <v>4538</v>
      </c>
      <c r="N107" s="209" t="s">
        <v>4539</v>
      </c>
      <c r="O107" s="209" t="s">
        <v>4540</v>
      </c>
      <c r="P107" s="209" t="s">
        <v>2260</v>
      </c>
      <c r="Q107" s="209" t="s">
        <v>2298</v>
      </c>
      <c r="R107" s="209" t="s">
        <v>2299</v>
      </c>
      <c r="S107" s="209" t="s">
        <v>3277</v>
      </c>
      <c r="T107" s="209" t="s">
        <v>3278</v>
      </c>
      <c r="U107" s="209" t="s">
        <v>3279</v>
      </c>
      <c r="V107" s="209" t="s">
        <v>3280</v>
      </c>
      <c r="W107" s="209" t="s">
        <v>3281</v>
      </c>
      <c r="X107" s="209" t="s">
        <v>3282</v>
      </c>
      <c r="Y107" s="209" t="s">
        <v>6049</v>
      </c>
      <c r="Z107" s="209" t="s">
        <v>6050</v>
      </c>
      <c r="AA107" s="209" t="s">
        <v>6051</v>
      </c>
      <c r="AB107" s="209" t="s">
        <v>6052</v>
      </c>
      <c r="AC107" s="209" t="s">
        <v>4351</v>
      </c>
      <c r="AD107" s="209" t="s">
        <v>133</v>
      </c>
      <c r="AE107" s="209" t="s">
        <v>133</v>
      </c>
    </row>
    <row r="108" spans="1:31" x14ac:dyDescent="0.55000000000000004">
      <c r="A108" s="209" t="s">
        <v>6012</v>
      </c>
      <c r="B108" s="209" t="s">
        <v>4541</v>
      </c>
      <c r="C108" s="209" t="s">
        <v>4542</v>
      </c>
      <c r="D108" s="209" t="s">
        <v>4543</v>
      </c>
      <c r="E108" s="209" t="s">
        <v>4544</v>
      </c>
      <c r="F108" s="209" t="s">
        <v>4533</v>
      </c>
      <c r="G108" s="209" t="s">
        <v>4534</v>
      </c>
      <c r="H108" s="209" t="s">
        <v>133</v>
      </c>
      <c r="I108" s="209" t="s">
        <v>133</v>
      </c>
      <c r="J108" s="209" t="s">
        <v>4535</v>
      </c>
      <c r="K108" s="209" t="s">
        <v>4545</v>
      </c>
      <c r="L108" s="209" t="s">
        <v>4546</v>
      </c>
      <c r="M108" s="209" t="s">
        <v>4547</v>
      </c>
      <c r="N108" s="209" t="s">
        <v>4539</v>
      </c>
      <c r="O108" s="209" t="s">
        <v>4548</v>
      </c>
      <c r="P108" s="209" t="s">
        <v>2260</v>
      </c>
      <c r="Q108" s="209" t="s">
        <v>2309</v>
      </c>
      <c r="R108" s="209" t="s">
        <v>2299</v>
      </c>
      <c r="S108" s="209" t="s">
        <v>3296</v>
      </c>
      <c r="T108" s="209" t="s">
        <v>3297</v>
      </c>
      <c r="U108" s="209" t="s">
        <v>3298</v>
      </c>
      <c r="V108" s="209" t="s">
        <v>3299</v>
      </c>
      <c r="W108" s="209" t="s">
        <v>3300</v>
      </c>
      <c r="X108" s="209" t="s">
        <v>3301</v>
      </c>
      <c r="Y108" s="209" t="s">
        <v>6049</v>
      </c>
      <c r="Z108" s="209" t="s">
        <v>6050</v>
      </c>
      <c r="AA108" s="209" t="s">
        <v>6051</v>
      </c>
      <c r="AB108" s="209" t="s">
        <v>6052</v>
      </c>
      <c r="AC108" s="209" t="s">
        <v>4351</v>
      </c>
      <c r="AD108" s="209" t="s">
        <v>133</v>
      </c>
      <c r="AE108" s="209" t="s">
        <v>133</v>
      </c>
    </row>
    <row r="109" spans="1:31" x14ac:dyDescent="0.55000000000000004">
      <c r="A109" s="209" t="s">
        <v>3225</v>
      </c>
      <c r="B109" s="209" t="s">
        <v>3226</v>
      </c>
      <c r="C109" s="209" t="s">
        <v>3227</v>
      </c>
      <c r="D109" s="209" t="s">
        <v>3228</v>
      </c>
      <c r="E109" s="209" t="s">
        <v>3229</v>
      </c>
      <c r="F109" s="209" t="s">
        <v>3230</v>
      </c>
      <c r="G109" s="209" t="s">
        <v>3231</v>
      </c>
      <c r="H109" s="209" t="s">
        <v>133</v>
      </c>
      <c r="I109" s="209" t="s">
        <v>133</v>
      </c>
      <c r="J109" s="209" t="s">
        <v>3232</v>
      </c>
      <c r="K109" s="209" t="s">
        <v>3233</v>
      </c>
      <c r="L109" s="209" t="s">
        <v>3234</v>
      </c>
      <c r="M109" s="209" t="s">
        <v>3235</v>
      </c>
      <c r="N109" s="209" t="s">
        <v>3236</v>
      </c>
      <c r="O109" s="209" t="s">
        <v>3237</v>
      </c>
      <c r="P109" s="209" t="s">
        <v>2179</v>
      </c>
      <c r="Q109" s="209" t="s">
        <v>2180</v>
      </c>
      <c r="R109" s="209" t="s">
        <v>2299</v>
      </c>
      <c r="S109" s="209" t="s">
        <v>3238</v>
      </c>
      <c r="T109" s="209" t="s">
        <v>3239</v>
      </c>
      <c r="U109" s="209" t="s">
        <v>3240</v>
      </c>
      <c r="V109" s="209" t="s">
        <v>3241</v>
      </c>
      <c r="W109" s="209" t="s">
        <v>3242</v>
      </c>
      <c r="X109" s="209" t="s">
        <v>3243</v>
      </c>
      <c r="Y109" s="209" t="s">
        <v>3244</v>
      </c>
      <c r="Z109" s="209" t="s">
        <v>3245</v>
      </c>
      <c r="AA109" s="209" t="s">
        <v>3246</v>
      </c>
      <c r="AB109" s="209" t="s">
        <v>3247</v>
      </c>
      <c r="AC109" s="209" t="s">
        <v>3248</v>
      </c>
      <c r="AD109" s="209" t="s">
        <v>133</v>
      </c>
      <c r="AE109" s="209" t="s">
        <v>133</v>
      </c>
    </row>
    <row r="110" spans="1:31" x14ac:dyDescent="0.55000000000000004">
      <c r="A110" s="209" t="s">
        <v>3249</v>
      </c>
      <c r="B110" s="209" t="s">
        <v>3250</v>
      </c>
      <c r="C110" s="209" t="s">
        <v>3251</v>
      </c>
      <c r="D110" s="209" t="s">
        <v>3252</v>
      </c>
      <c r="E110" s="209" t="s">
        <v>3253</v>
      </c>
      <c r="F110" s="209" t="s">
        <v>3230</v>
      </c>
      <c r="G110" s="209" t="s">
        <v>3231</v>
      </c>
      <c r="H110" s="209" t="s">
        <v>133</v>
      </c>
      <c r="I110" s="209" t="s">
        <v>133</v>
      </c>
      <c r="J110" s="209" t="s">
        <v>3232</v>
      </c>
      <c r="K110" s="209" t="s">
        <v>3254</v>
      </c>
      <c r="L110" s="209" t="s">
        <v>3255</v>
      </c>
      <c r="M110" s="209" t="s">
        <v>3256</v>
      </c>
      <c r="N110" s="209" t="s">
        <v>3236</v>
      </c>
      <c r="O110" s="209" t="s">
        <v>3257</v>
      </c>
      <c r="P110" s="209" t="s">
        <v>2179</v>
      </c>
      <c r="Q110" s="209" t="s">
        <v>2179</v>
      </c>
      <c r="R110" s="209" t="s">
        <v>2299</v>
      </c>
      <c r="S110" s="209" t="s">
        <v>3258</v>
      </c>
      <c r="T110" s="209" t="s">
        <v>3259</v>
      </c>
      <c r="U110" s="209" t="s">
        <v>3260</v>
      </c>
      <c r="V110" s="209" t="s">
        <v>3261</v>
      </c>
      <c r="W110" s="209" t="s">
        <v>3262</v>
      </c>
      <c r="X110" s="209" t="s">
        <v>3263</v>
      </c>
      <c r="Y110" s="209" t="s">
        <v>3244</v>
      </c>
      <c r="Z110" s="209" t="s">
        <v>3245</v>
      </c>
      <c r="AA110" s="209" t="s">
        <v>3246</v>
      </c>
      <c r="AB110" s="209" t="s">
        <v>3247</v>
      </c>
      <c r="AC110" s="209" t="s">
        <v>3248</v>
      </c>
      <c r="AD110" s="209" t="s">
        <v>133</v>
      </c>
      <c r="AE110" s="209" t="s">
        <v>133</v>
      </c>
    </row>
    <row r="111" spans="1:31" x14ac:dyDescent="0.55000000000000004">
      <c r="A111" s="209" t="s">
        <v>3264</v>
      </c>
      <c r="B111" s="209" t="s">
        <v>3265</v>
      </c>
      <c r="C111" s="209" t="s">
        <v>3266</v>
      </c>
      <c r="D111" s="209" t="s">
        <v>3267</v>
      </c>
      <c r="E111" s="209" t="s">
        <v>3268</v>
      </c>
      <c r="F111" s="209" t="s">
        <v>3269</v>
      </c>
      <c r="G111" s="209" t="s">
        <v>3270</v>
      </c>
      <c r="H111" s="209" t="s">
        <v>133</v>
      </c>
      <c r="I111" s="209" t="s">
        <v>133</v>
      </c>
      <c r="J111" s="209" t="s">
        <v>3271</v>
      </c>
      <c r="K111" s="209" t="s">
        <v>3272</v>
      </c>
      <c r="L111" s="209" t="s">
        <v>3273</v>
      </c>
      <c r="M111" s="209" t="s">
        <v>3274</v>
      </c>
      <c r="N111" s="209" t="s">
        <v>3275</v>
      </c>
      <c r="O111" s="209" t="s">
        <v>3276</v>
      </c>
      <c r="P111" s="209" t="s">
        <v>2226</v>
      </c>
      <c r="Q111" s="209" t="s">
        <v>2226</v>
      </c>
      <c r="R111" s="209" t="s">
        <v>2299</v>
      </c>
      <c r="S111" s="209" t="s">
        <v>3277</v>
      </c>
      <c r="T111" s="209" t="s">
        <v>3278</v>
      </c>
      <c r="U111" s="209" t="s">
        <v>3279</v>
      </c>
      <c r="V111" s="209" t="s">
        <v>3280</v>
      </c>
      <c r="W111" s="209" t="s">
        <v>3281</v>
      </c>
      <c r="X111" s="209" t="s">
        <v>3282</v>
      </c>
      <c r="Y111" s="209" t="s">
        <v>3283</v>
      </c>
      <c r="Z111" s="209" t="s">
        <v>3284</v>
      </c>
      <c r="AA111" s="209" t="s">
        <v>3285</v>
      </c>
      <c r="AB111" s="209" t="s">
        <v>3286</v>
      </c>
      <c r="AC111" s="209" t="s">
        <v>3248</v>
      </c>
      <c r="AD111" s="209" t="s">
        <v>133</v>
      </c>
      <c r="AE111" s="209" t="s">
        <v>133</v>
      </c>
    </row>
    <row r="112" spans="1:31" x14ac:dyDescent="0.55000000000000004">
      <c r="A112" s="209" t="s">
        <v>3287</v>
      </c>
      <c r="B112" s="209" t="s">
        <v>3288</v>
      </c>
      <c r="C112" s="209" t="s">
        <v>3289</v>
      </c>
      <c r="D112" s="209" t="s">
        <v>3290</v>
      </c>
      <c r="E112" s="209" t="s">
        <v>3291</v>
      </c>
      <c r="F112" s="209" t="s">
        <v>3269</v>
      </c>
      <c r="G112" s="209" t="s">
        <v>3270</v>
      </c>
      <c r="H112" s="209" t="s">
        <v>133</v>
      </c>
      <c r="I112" s="209" t="s">
        <v>133</v>
      </c>
      <c r="J112" s="209" t="s">
        <v>3271</v>
      </c>
      <c r="K112" s="209" t="s">
        <v>3292</v>
      </c>
      <c r="L112" s="209" t="s">
        <v>3293</v>
      </c>
      <c r="M112" s="209" t="s">
        <v>3294</v>
      </c>
      <c r="N112" s="209" t="s">
        <v>3275</v>
      </c>
      <c r="O112" s="209" t="s">
        <v>3295</v>
      </c>
      <c r="P112" s="209" t="s">
        <v>2226</v>
      </c>
      <c r="Q112" s="209" t="s">
        <v>2236</v>
      </c>
      <c r="R112" s="209" t="s">
        <v>2299</v>
      </c>
      <c r="S112" s="209" t="s">
        <v>3296</v>
      </c>
      <c r="T112" s="209" t="s">
        <v>3297</v>
      </c>
      <c r="U112" s="209" t="s">
        <v>3298</v>
      </c>
      <c r="V112" s="209" t="s">
        <v>3299</v>
      </c>
      <c r="W112" s="209" t="s">
        <v>3300</v>
      </c>
      <c r="X112" s="209" t="s">
        <v>3301</v>
      </c>
      <c r="Y112" s="209" t="s">
        <v>3283</v>
      </c>
      <c r="Z112" s="209" t="s">
        <v>3284</v>
      </c>
      <c r="AA112" s="209" t="s">
        <v>3285</v>
      </c>
      <c r="AB112" s="209" t="s">
        <v>3286</v>
      </c>
      <c r="AC112" s="209" t="s">
        <v>3248</v>
      </c>
      <c r="AD112" s="209" t="s">
        <v>133</v>
      </c>
      <c r="AE112" s="209" t="s">
        <v>133</v>
      </c>
    </row>
    <row r="113" spans="1:31" x14ac:dyDescent="0.55000000000000004">
      <c r="A113" s="209" t="s">
        <v>3302</v>
      </c>
      <c r="B113" s="209" t="s">
        <v>3303</v>
      </c>
      <c r="C113" s="209" t="s">
        <v>3304</v>
      </c>
      <c r="D113" s="209" t="s">
        <v>3305</v>
      </c>
      <c r="E113" s="209" t="s">
        <v>3306</v>
      </c>
      <c r="F113" s="209" t="s">
        <v>3307</v>
      </c>
      <c r="G113" s="209" t="s">
        <v>3308</v>
      </c>
      <c r="H113" s="209" t="s">
        <v>133</v>
      </c>
      <c r="I113" s="209" t="s">
        <v>133</v>
      </c>
      <c r="J113" s="209" t="s">
        <v>3309</v>
      </c>
      <c r="K113" s="209" t="s">
        <v>3310</v>
      </c>
      <c r="L113" s="209" t="s">
        <v>3311</v>
      </c>
      <c r="M113" s="209" t="s">
        <v>3312</v>
      </c>
      <c r="N113" s="209" t="s">
        <v>3313</v>
      </c>
      <c r="O113" s="209" t="s">
        <v>3314</v>
      </c>
      <c r="P113" s="209" t="s">
        <v>2236</v>
      </c>
      <c r="Q113" s="209" t="s">
        <v>2250</v>
      </c>
      <c r="R113" s="209" t="s">
        <v>2299</v>
      </c>
      <c r="S113" s="209" t="s">
        <v>3315</v>
      </c>
      <c r="T113" s="209" t="s">
        <v>3316</v>
      </c>
      <c r="U113" s="209" t="s">
        <v>3317</v>
      </c>
      <c r="V113" s="209" t="s">
        <v>3318</v>
      </c>
      <c r="W113" s="209" t="s">
        <v>3319</v>
      </c>
      <c r="X113" s="209" t="s">
        <v>3320</v>
      </c>
      <c r="Y113" s="209" t="s">
        <v>3321</v>
      </c>
      <c r="Z113" s="209" t="s">
        <v>3322</v>
      </c>
      <c r="AA113" s="209" t="s">
        <v>3323</v>
      </c>
      <c r="AB113" s="209" t="s">
        <v>3324</v>
      </c>
      <c r="AC113" s="209" t="s">
        <v>3248</v>
      </c>
      <c r="AD113" s="209" t="s">
        <v>133</v>
      </c>
      <c r="AE113" s="209" t="s">
        <v>133</v>
      </c>
    </row>
    <row r="114" spans="1:31" x14ac:dyDescent="0.55000000000000004">
      <c r="A114" s="209" t="s">
        <v>3325</v>
      </c>
      <c r="B114" s="209" t="s">
        <v>3326</v>
      </c>
      <c r="C114" s="209" t="s">
        <v>3327</v>
      </c>
      <c r="D114" s="209" t="s">
        <v>3328</v>
      </c>
      <c r="E114" s="209" t="s">
        <v>3329</v>
      </c>
      <c r="F114" s="209" t="s">
        <v>3307</v>
      </c>
      <c r="G114" s="209" t="s">
        <v>3308</v>
      </c>
      <c r="H114" s="209" t="s">
        <v>133</v>
      </c>
      <c r="I114" s="209" t="s">
        <v>133</v>
      </c>
      <c r="J114" s="209" t="s">
        <v>3309</v>
      </c>
      <c r="K114" s="209" t="s">
        <v>3330</v>
      </c>
      <c r="L114" s="209" t="s">
        <v>3331</v>
      </c>
      <c r="M114" s="209" t="s">
        <v>3332</v>
      </c>
      <c r="N114" s="209" t="s">
        <v>3313</v>
      </c>
      <c r="O114" s="209" t="s">
        <v>3333</v>
      </c>
      <c r="P114" s="209" t="s">
        <v>2236</v>
      </c>
      <c r="Q114" s="209" t="s">
        <v>2260</v>
      </c>
      <c r="R114" s="209" t="s">
        <v>2299</v>
      </c>
      <c r="S114" s="209" t="s">
        <v>3334</v>
      </c>
      <c r="T114" s="209" t="s">
        <v>3335</v>
      </c>
      <c r="U114" s="209" t="s">
        <v>3336</v>
      </c>
      <c r="V114" s="209" t="s">
        <v>3337</v>
      </c>
      <c r="W114" s="209" t="s">
        <v>3338</v>
      </c>
      <c r="X114" s="209" t="s">
        <v>3339</v>
      </c>
      <c r="Y114" s="209" t="s">
        <v>3321</v>
      </c>
      <c r="Z114" s="209" t="s">
        <v>3322</v>
      </c>
      <c r="AA114" s="209" t="s">
        <v>3323</v>
      </c>
      <c r="AB114" s="209" t="s">
        <v>3324</v>
      </c>
      <c r="AC114" s="209" t="s">
        <v>3248</v>
      </c>
      <c r="AD114" s="209" t="s">
        <v>133</v>
      </c>
      <c r="AE114" s="209" t="s">
        <v>133</v>
      </c>
    </row>
    <row r="115" spans="1:31" x14ac:dyDescent="0.55000000000000004">
      <c r="A115" s="209" t="s">
        <v>3340</v>
      </c>
      <c r="B115" s="209" t="s">
        <v>3341</v>
      </c>
      <c r="C115" s="209" t="s">
        <v>3342</v>
      </c>
      <c r="D115" s="209" t="s">
        <v>3343</v>
      </c>
      <c r="E115" s="209" t="s">
        <v>3344</v>
      </c>
      <c r="F115" s="209" t="s">
        <v>3345</v>
      </c>
      <c r="G115" s="209" t="s">
        <v>3346</v>
      </c>
      <c r="H115" s="209" t="s">
        <v>133</v>
      </c>
      <c r="I115" s="209" t="s">
        <v>133</v>
      </c>
      <c r="J115" s="209" t="s">
        <v>3347</v>
      </c>
      <c r="K115" s="209" t="s">
        <v>3348</v>
      </c>
      <c r="L115" s="209" t="s">
        <v>3349</v>
      </c>
      <c r="M115" s="209" t="s">
        <v>3350</v>
      </c>
      <c r="N115" s="209" t="s">
        <v>3351</v>
      </c>
      <c r="O115" s="209" t="s">
        <v>3352</v>
      </c>
      <c r="P115" s="209" t="s">
        <v>2250</v>
      </c>
      <c r="Q115" s="209" t="s">
        <v>2274</v>
      </c>
      <c r="R115" s="209" t="s">
        <v>2299</v>
      </c>
      <c r="S115" s="209" t="s">
        <v>3238</v>
      </c>
      <c r="T115" s="209" t="s">
        <v>3239</v>
      </c>
      <c r="U115" s="209" t="s">
        <v>3240</v>
      </c>
      <c r="V115" s="209" t="s">
        <v>3241</v>
      </c>
      <c r="W115" s="209" t="s">
        <v>3242</v>
      </c>
      <c r="X115" s="209" t="s">
        <v>3243</v>
      </c>
      <c r="Y115" s="209" t="s">
        <v>3353</v>
      </c>
      <c r="Z115" s="209" t="s">
        <v>3354</v>
      </c>
      <c r="AA115" s="209" t="s">
        <v>3355</v>
      </c>
      <c r="AB115" s="209" t="s">
        <v>3356</v>
      </c>
      <c r="AC115" s="209" t="s">
        <v>3248</v>
      </c>
      <c r="AD115" s="209" t="s">
        <v>133</v>
      </c>
      <c r="AE115" s="209" t="s">
        <v>133</v>
      </c>
    </row>
    <row r="116" spans="1:31" x14ac:dyDescent="0.55000000000000004">
      <c r="A116" s="209" t="s">
        <v>3357</v>
      </c>
      <c r="B116" s="209" t="s">
        <v>3358</v>
      </c>
      <c r="C116" s="209" t="s">
        <v>3359</v>
      </c>
      <c r="D116" s="209" t="s">
        <v>3360</v>
      </c>
      <c r="E116" s="209" t="s">
        <v>3361</v>
      </c>
      <c r="F116" s="209" t="s">
        <v>3345</v>
      </c>
      <c r="G116" s="209" t="s">
        <v>3346</v>
      </c>
      <c r="H116" s="209" t="s">
        <v>133</v>
      </c>
      <c r="I116" s="209" t="s">
        <v>133</v>
      </c>
      <c r="J116" s="209" t="s">
        <v>3347</v>
      </c>
      <c r="K116" s="209" t="s">
        <v>3362</v>
      </c>
      <c r="L116" s="209" t="s">
        <v>3363</v>
      </c>
      <c r="M116" s="209" t="s">
        <v>3364</v>
      </c>
      <c r="N116" s="209" t="s">
        <v>3351</v>
      </c>
      <c r="O116" s="209" t="s">
        <v>3365</v>
      </c>
      <c r="P116" s="209" t="s">
        <v>2250</v>
      </c>
      <c r="Q116" s="209" t="s">
        <v>2284</v>
      </c>
      <c r="R116" s="209" t="s">
        <v>2299</v>
      </c>
      <c r="S116" s="209" t="s">
        <v>3258</v>
      </c>
      <c r="T116" s="209" t="s">
        <v>3259</v>
      </c>
      <c r="U116" s="209" t="s">
        <v>3260</v>
      </c>
      <c r="V116" s="209" t="s">
        <v>3261</v>
      </c>
      <c r="W116" s="209" t="s">
        <v>3262</v>
      </c>
      <c r="X116" s="209" t="s">
        <v>3263</v>
      </c>
      <c r="Y116" s="209" t="s">
        <v>3353</v>
      </c>
      <c r="Z116" s="209" t="s">
        <v>3354</v>
      </c>
      <c r="AA116" s="209" t="s">
        <v>3355</v>
      </c>
      <c r="AB116" s="209" t="s">
        <v>3356</v>
      </c>
      <c r="AC116" s="209" t="s">
        <v>3248</v>
      </c>
      <c r="AD116" s="209" t="s">
        <v>133</v>
      </c>
      <c r="AE116" s="209" t="s">
        <v>133</v>
      </c>
    </row>
    <row r="117" spans="1:31" x14ac:dyDescent="0.55000000000000004">
      <c r="A117" s="209" t="s">
        <v>3366</v>
      </c>
      <c r="B117" s="209" t="s">
        <v>3367</v>
      </c>
      <c r="C117" s="209" t="s">
        <v>3368</v>
      </c>
      <c r="D117" s="209" t="s">
        <v>3369</v>
      </c>
      <c r="E117" s="209" t="s">
        <v>3370</v>
      </c>
      <c r="F117" s="209" t="s">
        <v>3371</v>
      </c>
      <c r="G117" s="209" t="s">
        <v>3372</v>
      </c>
      <c r="H117" s="209" t="s">
        <v>133</v>
      </c>
      <c r="I117" s="209" t="s">
        <v>133</v>
      </c>
      <c r="J117" s="209" t="s">
        <v>3373</v>
      </c>
      <c r="K117" s="209" t="s">
        <v>3374</v>
      </c>
      <c r="L117" s="209" t="s">
        <v>3375</v>
      </c>
      <c r="M117" s="209" t="s">
        <v>3376</v>
      </c>
      <c r="N117" s="209" t="s">
        <v>3377</v>
      </c>
      <c r="O117" s="209" t="s">
        <v>3378</v>
      </c>
      <c r="P117" s="209" t="s">
        <v>2260</v>
      </c>
      <c r="Q117" s="209" t="s">
        <v>2298</v>
      </c>
      <c r="R117" s="209" t="s">
        <v>2299</v>
      </c>
      <c r="S117" s="209" t="s">
        <v>3277</v>
      </c>
      <c r="T117" s="209" t="s">
        <v>3278</v>
      </c>
      <c r="U117" s="209" t="s">
        <v>3279</v>
      </c>
      <c r="V117" s="209" t="s">
        <v>3280</v>
      </c>
      <c r="W117" s="209" t="s">
        <v>3281</v>
      </c>
      <c r="X117" s="209" t="s">
        <v>3282</v>
      </c>
      <c r="Y117" s="209" t="s">
        <v>3379</v>
      </c>
      <c r="Z117" s="209" t="s">
        <v>3380</v>
      </c>
      <c r="AA117" s="209" t="s">
        <v>3381</v>
      </c>
      <c r="AB117" s="209" t="s">
        <v>3382</v>
      </c>
      <c r="AC117" s="209" t="s">
        <v>3248</v>
      </c>
      <c r="AD117" s="209" t="s">
        <v>133</v>
      </c>
      <c r="AE117" s="209" t="s">
        <v>133</v>
      </c>
    </row>
    <row r="118" spans="1:31" x14ac:dyDescent="0.55000000000000004">
      <c r="A118" s="209" t="s">
        <v>3383</v>
      </c>
      <c r="B118" s="209" t="s">
        <v>3384</v>
      </c>
      <c r="C118" s="209" t="s">
        <v>3385</v>
      </c>
      <c r="D118" s="209" t="s">
        <v>3386</v>
      </c>
      <c r="E118" s="209" t="s">
        <v>3387</v>
      </c>
      <c r="F118" s="209" t="s">
        <v>3371</v>
      </c>
      <c r="G118" s="209" t="s">
        <v>3372</v>
      </c>
      <c r="H118" s="209" t="s">
        <v>133</v>
      </c>
      <c r="I118" s="209" t="s">
        <v>133</v>
      </c>
      <c r="J118" s="209" t="s">
        <v>3373</v>
      </c>
      <c r="K118" s="209" t="s">
        <v>3388</v>
      </c>
      <c r="L118" s="209" t="s">
        <v>3389</v>
      </c>
      <c r="M118" s="209" t="s">
        <v>3390</v>
      </c>
      <c r="N118" s="209" t="s">
        <v>3377</v>
      </c>
      <c r="O118" s="209" t="s">
        <v>3391</v>
      </c>
      <c r="P118" s="209" t="s">
        <v>2260</v>
      </c>
      <c r="Q118" s="209" t="s">
        <v>2309</v>
      </c>
      <c r="R118" s="209" t="s">
        <v>2299</v>
      </c>
      <c r="S118" s="209" t="s">
        <v>3296</v>
      </c>
      <c r="T118" s="209" t="s">
        <v>3297</v>
      </c>
      <c r="U118" s="209" t="s">
        <v>3298</v>
      </c>
      <c r="V118" s="209" t="s">
        <v>3299</v>
      </c>
      <c r="W118" s="209" t="s">
        <v>3300</v>
      </c>
      <c r="X118" s="209" t="s">
        <v>3301</v>
      </c>
      <c r="Y118" s="209" t="s">
        <v>3379</v>
      </c>
      <c r="Z118" s="209" t="s">
        <v>3380</v>
      </c>
      <c r="AA118" s="209" t="s">
        <v>3381</v>
      </c>
      <c r="AB118" s="209" t="s">
        <v>3382</v>
      </c>
      <c r="AC118" s="209" t="s">
        <v>3248</v>
      </c>
      <c r="AD118" s="209" t="s">
        <v>133</v>
      </c>
      <c r="AE118" s="209" t="s">
        <v>133</v>
      </c>
    </row>
    <row r="119" spans="1:31" x14ac:dyDescent="0.55000000000000004">
      <c r="A119" s="209" t="s">
        <v>3392</v>
      </c>
      <c r="B119" s="209" t="s">
        <v>3393</v>
      </c>
      <c r="C119" s="209" t="s">
        <v>3394</v>
      </c>
      <c r="D119" s="209" t="s">
        <v>3395</v>
      </c>
      <c r="E119" s="209" t="s">
        <v>3396</v>
      </c>
      <c r="F119" s="209" t="s">
        <v>3397</v>
      </c>
      <c r="G119" s="209" t="s">
        <v>3398</v>
      </c>
      <c r="H119" s="209" t="s">
        <v>133</v>
      </c>
      <c r="I119" s="209" t="s">
        <v>133</v>
      </c>
      <c r="J119" s="209" t="s">
        <v>3399</v>
      </c>
      <c r="K119" s="209" t="s">
        <v>3400</v>
      </c>
      <c r="L119" s="209" t="s">
        <v>3401</v>
      </c>
      <c r="M119" s="209" t="s">
        <v>3402</v>
      </c>
      <c r="N119" s="209" t="s">
        <v>3403</v>
      </c>
      <c r="O119" s="209" t="s">
        <v>3404</v>
      </c>
      <c r="P119" s="209" t="s">
        <v>2274</v>
      </c>
      <c r="Q119" s="209" t="s">
        <v>2323</v>
      </c>
      <c r="R119" s="209" t="s">
        <v>2299</v>
      </c>
      <c r="S119" s="209" t="s">
        <v>3315</v>
      </c>
      <c r="T119" s="209" t="s">
        <v>3316</v>
      </c>
      <c r="U119" s="209" t="s">
        <v>3317</v>
      </c>
      <c r="V119" s="209" t="s">
        <v>3318</v>
      </c>
      <c r="W119" s="209" t="s">
        <v>3319</v>
      </c>
      <c r="X119" s="209" t="s">
        <v>3320</v>
      </c>
      <c r="Y119" s="209" t="s">
        <v>3405</v>
      </c>
      <c r="Z119" s="209" t="s">
        <v>3406</v>
      </c>
      <c r="AA119" s="209" t="s">
        <v>3407</v>
      </c>
      <c r="AB119" s="209" t="s">
        <v>3408</v>
      </c>
      <c r="AC119" s="209" t="s">
        <v>3248</v>
      </c>
      <c r="AD119" s="209" t="s">
        <v>133</v>
      </c>
      <c r="AE119" s="209" t="s">
        <v>133</v>
      </c>
    </row>
    <row r="120" spans="1:31" x14ac:dyDescent="0.55000000000000004">
      <c r="A120" s="209" t="s">
        <v>3409</v>
      </c>
      <c r="B120" s="209" t="s">
        <v>3410</v>
      </c>
      <c r="C120" s="209" t="s">
        <v>3411</v>
      </c>
      <c r="D120" s="209" t="s">
        <v>3412</v>
      </c>
      <c r="E120" s="209" t="s">
        <v>3413</v>
      </c>
      <c r="F120" s="209" t="s">
        <v>3397</v>
      </c>
      <c r="G120" s="209" t="s">
        <v>3398</v>
      </c>
      <c r="H120" s="209" t="s">
        <v>133</v>
      </c>
      <c r="I120" s="209" t="s">
        <v>133</v>
      </c>
      <c r="J120" s="209" t="s">
        <v>3399</v>
      </c>
      <c r="K120" s="209" t="s">
        <v>3414</v>
      </c>
      <c r="L120" s="209" t="s">
        <v>3415</v>
      </c>
      <c r="M120" s="209" t="s">
        <v>3416</v>
      </c>
      <c r="N120" s="209" t="s">
        <v>3403</v>
      </c>
      <c r="O120" s="209" t="s">
        <v>3417</v>
      </c>
      <c r="P120" s="209" t="s">
        <v>2274</v>
      </c>
      <c r="Q120" s="209" t="s">
        <v>2333</v>
      </c>
      <c r="R120" s="209" t="s">
        <v>2299</v>
      </c>
      <c r="S120" s="209" t="s">
        <v>3334</v>
      </c>
      <c r="T120" s="209" t="s">
        <v>3335</v>
      </c>
      <c r="U120" s="209" t="s">
        <v>3336</v>
      </c>
      <c r="V120" s="209" t="s">
        <v>3337</v>
      </c>
      <c r="W120" s="209" t="s">
        <v>3338</v>
      </c>
      <c r="X120" s="209" t="s">
        <v>3339</v>
      </c>
      <c r="Y120" s="209" t="s">
        <v>3405</v>
      </c>
      <c r="Z120" s="209" t="s">
        <v>3406</v>
      </c>
      <c r="AA120" s="209" t="s">
        <v>3407</v>
      </c>
      <c r="AB120" s="209" t="s">
        <v>3408</v>
      </c>
      <c r="AC120" s="209" t="s">
        <v>3248</v>
      </c>
      <c r="AD120" s="209" t="s">
        <v>133</v>
      </c>
      <c r="AE120" s="209" t="s">
        <v>133</v>
      </c>
    </row>
    <row r="121" spans="1:31" x14ac:dyDescent="0.55000000000000004">
      <c r="A121" s="209" t="s">
        <v>3418</v>
      </c>
      <c r="B121" s="209" t="s">
        <v>3419</v>
      </c>
      <c r="C121" s="209" t="s">
        <v>3420</v>
      </c>
      <c r="D121" s="209" t="s">
        <v>3421</v>
      </c>
      <c r="E121" s="209" t="s">
        <v>3422</v>
      </c>
      <c r="F121" s="209" t="s">
        <v>3423</v>
      </c>
      <c r="G121" s="209" t="s">
        <v>3424</v>
      </c>
      <c r="H121" s="209" t="s">
        <v>133</v>
      </c>
      <c r="I121" s="209" t="s">
        <v>133</v>
      </c>
      <c r="J121" s="209" t="s">
        <v>3425</v>
      </c>
      <c r="K121" s="209" t="s">
        <v>3426</v>
      </c>
      <c r="L121" s="209" t="s">
        <v>3427</v>
      </c>
      <c r="M121" s="209" t="s">
        <v>3428</v>
      </c>
      <c r="N121" s="209" t="s">
        <v>3429</v>
      </c>
      <c r="O121" s="209" t="s">
        <v>3430</v>
      </c>
      <c r="P121" s="209" t="s">
        <v>2274</v>
      </c>
      <c r="Q121" s="209" t="s">
        <v>2323</v>
      </c>
      <c r="R121" s="209" t="s">
        <v>2347</v>
      </c>
      <c r="S121" s="209" t="s">
        <v>133</v>
      </c>
      <c r="T121" s="209" t="s">
        <v>133</v>
      </c>
      <c r="U121" s="209" t="s">
        <v>133</v>
      </c>
      <c r="V121" s="209" t="s">
        <v>133</v>
      </c>
      <c r="W121" s="209" t="s">
        <v>133</v>
      </c>
      <c r="X121" s="209" t="s">
        <v>133</v>
      </c>
      <c r="Y121" s="209" t="s">
        <v>133</v>
      </c>
      <c r="Z121" s="209" t="s">
        <v>3431</v>
      </c>
      <c r="AA121" s="209" t="s">
        <v>133</v>
      </c>
      <c r="AB121" s="209" t="s">
        <v>133</v>
      </c>
      <c r="AC121" s="209" t="s">
        <v>133</v>
      </c>
      <c r="AD121" s="209" t="s">
        <v>133</v>
      </c>
      <c r="AE121" s="209" t="s">
        <v>133</v>
      </c>
    </row>
    <row r="122" spans="1:31" x14ac:dyDescent="0.55000000000000004">
      <c r="A122" s="209" t="s">
        <v>3432</v>
      </c>
      <c r="B122" s="209" t="s">
        <v>3433</v>
      </c>
      <c r="C122" s="209" t="s">
        <v>3434</v>
      </c>
      <c r="D122" s="209" t="s">
        <v>3435</v>
      </c>
      <c r="E122" s="209" t="s">
        <v>3436</v>
      </c>
      <c r="F122" s="209" t="s">
        <v>3423</v>
      </c>
      <c r="G122" s="209" t="s">
        <v>3424</v>
      </c>
      <c r="H122" s="209" t="s">
        <v>133</v>
      </c>
      <c r="I122" s="209" t="s">
        <v>133</v>
      </c>
      <c r="J122" s="209" t="s">
        <v>3425</v>
      </c>
      <c r="K122" s="209" t="s">
        <v>3437</v>
      </c>
      <c r="L122" s="209" t="s">
        <v>3438</v>
      </c>
      <c r="M122" s="209" t="s">
        <v>3439</v>
      </c>
      <c r="N122" s="209" t="s">
        <v>3429</v>
      </c>
      <c r="O122" s="209" t="s">
        <v>3440</v>
      </c>
      <c r="P122" s="209" t="s">
        <v>2274</v>
      </c>
      <c r="Q122" s="209" t="s">
        <v>2333</v>
      </c>
      <c r="R122" s="209" t="s">
        <v>2347</v>
      </c>
      <c r="S122" s="209" t="s">
        <v>133</v>
      </c>
      <c r="T122" s="209" t="s">
        <v>133</v>
      </c>
      <c r="U122" s="209" t="s">
        <v>133</v>
      </c>
      <c r="V122" s="209" t="s">
        <v>133</v>
      </c>
      <c r="W122" s="209" t="s">
        <v>133</v>
      </c>
      <c r="X122" s="209" t="s">
        <v>133</v>
      </c>
      <c r="Y122" s="209" t="s">
        <v>133</v>
      </c>
      <c r="Z122" s="209" t="s">
        <v>3431</v>
      </c>
      <c r="AA122" s="209" t="s">
        <v>133</v>
      </c>
      <c r="AB122" s="209" t="s">
        <v>133</v>
      </c>
      <c r="AC122" s="209" t="s">
        <v>133</v>
      </c>
      <c r="AD122" s="209" t="s">
        <v>133</v>
      </c>
      <c r="AE122" s="209" t="s">
        <v>133</v>
      </c>
    </row>
    <row r="123" spans="1:31" x14ac:dyDescent="0.55000000000000004">
      <c r="A123" s="209" t="s">
        <v>3441</v>
      </c>
      <c r="B123" s="209" t="s">
        <v>3442</v>
      </c>
      <c r="C123" s="209" t="s">
        <v>3443</v>
      </c>
      <c r="D123" s="209" t="s">
        <v>3444</v>
      </c>
      <c r="E123" s="209" t="s">
        <v>3445</v>
      </c>
      <c r="F123" s="209" t="s">
        <v>3446</v>
      </c>
      <c r="G123" s="209" t="s">
        <v>3447</v>
      </c>
      <c r="H123" s="209" t="s">
        <v>133</v>
      </c>
      <c r="I123" s="209" t="s">
        <v>133</v>
      </c>
      <c r="J123" s="209" t="s">
        <v>3448</v>
      </c>
      <c r="K123" s="209" t="s">
        <v>3449</v>
      </c>
      <c r="L123" s="209" t="s">
        <v>3450</v>
      </c>
      <c r="M123" s="209" t="s">
        <v>3451</v>
      </c>
      <c r="N123" s="209" t="s">
        <v>3452</v>
      </c>
      <c r="O123" s="209" t="s">
        <v>3453</v>
      </c>
      <c r="P123" s="209" t="s">
        <v>2179</v>
      </c>
      <c r="Q123" s="209" t="s">
        <v>2180</v>
      </c>
      <c r="R123" s="209" t="s">
        <v>2299</v>
      </c>
      <c r="S123" s="209" t="s">
        <v>3238</v>
      </c>
      <c r="T123" s="209" t="s">
        <v>3239</v>
      </c>
      <c r="U123" s="209" t="s">
        <v>3240</v>
      </c>
      <c r="V123" s="209" t="s">
        <v>3241</v>
      </c>
      <c r="W123" s="209" t="s">
        <v>3242</v>
      </c>
      <c r="X123" s="209" t="s">
        <v>3243</v>
      </c>
      <c r="Y123" s="209" t="s">
        <v>3454</v>
      </c>
      <c r="Z123" s="209" t="s">
        <v>3455</v>
      </c>
      <c r="AA123" s="209" t="s">
        <v>3456</v>
      </c>
      <c r="AB123" s="209" t="s">
        <v>3457</v>
      </c>
      <c r="AC123" s="209" t="s">
        <v>3248</v>
      </c>
      <c r="AD123" s="209" t="s">
        <v>133</v>
      </c>
      <c r="AE123" s="209" t="s">
        <v>133</v>
      </c>
    </row>
    <row r="124" spans="1:31" x14ac:dyDescent="0.55000000000000004">
      <c r="A124" s="209" t="s">
        <v>3458</v>
      </c>
      <c r="B124" s="209" t="s">
        <v>3459</v>
      </c>
      <c r="C124" s="209" t="s">
        <v>3460</v>
      </c>
      <c r="D124" s="209" t="s">
        <v>3461</v>
      </c>
      <c r="E124" s="209" t="s">
        <v>3462</v>
      </c>
      <c r="F124" s="209" t="s">
        <v>3446</v>
      </c>
      <c r="G124" s="209" t="s">
        <v>3447</v>
      </c>
      <c r="H124" s="209" t="s">
        <v>133</v>
      </c>
      <c r="I124" s="209" t="s">
        <v>133</v>
      </c>
      <c r="J124" s="209" t="s">
        <v>3448</v>
      </c>
      <c r="K124" s="209" t="s">
        <v>3463</v>
      </c>
      <c r="L124" s="209" t="s">
        <v>3464</v>
      </c>
      <c r="M124" s="209" t="s">
        <v>3465</v>
      </c>
      <c r="N124" s="209" t="s">
        <v>3452</v>
      </c>
      <c r="O124" s="209" t="s">
        <v>3466</v>
      </c>
      <c r="P124" s="209" t="s">
        <v>2179</v>
      </c>
      <c r="Q124" s="209" t="s">
        <v>2179</v>
      </c>
      <c r="R124" s="209" t="s">
        <v>2299</v>
      </c>
      <c r="S124" s="209" t="s">
        <v>3258</v>
      </c>
      <c r="T124" s="209" t="s">
        <v>3259</v>
      </c>
      <c r="U124" s="209" t="s">
        <v>3260</v>
      </c>
      <c r="V124" s="209" t="s">
        <v>3261</v>
      </c>
      <c r="W124" s="209" t="s">
        <v>3262</v>
      </c>
      <c r="X124" s="209" t="s">
        <v>3263</v>
      </c>
      <c r="Y124" s="209" t="s">
        <v>3454</v>
      </c>
      <c r="Z124" s="209" t="s">
        <v>3455</v>
      </c>
      <c r="AA124" s="209" t="s">
        <v>3456</v>
      </c>
      <c r="AB124" s="209" t="s">
        <v>3457</v>
      </c>
      <c r="AC124" s="209" t="s">
        <v>3248</v>
      </c>
      <c r="AD124" s="209" t="s">
        <v>133</v>
      </c>
      <c r="AE124" s="209" t="s">
        <v>133</v>
      </c>
    </row>
    <row r="125" spans="1:31" x14ac:dyDescent="0.55000000000000004">
      <c r="A125" s="209" t="s">
        <v>3467</v>
      </c>
      <c r="B125" s="209" t="s">
        <v>3468</v>
      </c>
      <c r="C125" s="209" t="s">
        <v>3469</v>
      </c>
      <c r="D125" s="209" t="s">
        <v>3470</v>
      </c>
      <c r="E125" s="209" t="s">
        <v>3471</v>
      </c>
      <c r="F125" s="209" t="s">
        <v>3472</v>
      </c>
      <c r="G125" s="209" t="s">
        <v>3473</v>
      </c>
      <c r="H125" s="209" t="s">
        <v>133</v>
      </c>
      <c r="I125" s="209" t="s">
        <v>133</v>
      </c>
      <c r="J125" s="209" t="s">
        <v>3474</v>
      </c>
      <c r="K125" s="209" t="s">
        <v>3475</v>
      </c>
      <c r="L125" s="209" t="s">
        <v>3476</v>
      </c>
      <c r="M125" s="209" t="s">
        <v>3477</v>
      </c>
      <c r="N125" s="209" t="s">
        <v>3478</v>
      </c>
      <c r="O125" s="209" t="s">
        <v>3479</v>
      </c>
      <c r="P125" s="209" t="s">
        <v>2226</v>
      </c>
      <c r="Q125" s="209" t="s">
        <v>2226</v>
      </c>
      <c r="R125" s="209" t="s">
        <v>2299</v>
      </c>
      <c r="S125" s="209" t="s">
        <v>3277</v>
      </c>
      <c r="T125" s="209" t="s">
        <v>3278</v>
      </c>
      <c r="U125" s="209" t="s">
        <v>3279</v>
      </c>
      <c r="V125" s="209" t="s">
        <v>3280</v>
      </c>
      <c r="W125" s="209" t="s">
        <v>3281</v>
      </c>
      <c r="X125" s="209" t="s">
        <v>3282</v>
      </c>
      <c r="Y125" s="209" t="s">
        <v>3480</v>
      </c>
      <c r="Z125" s="209" t="s">
        <v>3481</v>
      </c>
      <c r="AA125" s="209" t="s">
        <v>3482</v>
      </c>
      <c r="AB125" s="209" t="s">
        <v>3483</v>
      </c>
      <c r="AC125" s="209" t="s">
        <v>3248</v>
      </c>
      <c r="AD125" s="209" t="s">
        <v>133</v>
      </c>
      <c r="AE125" s="209" t="s">
        <v>133</v>
      </c>
    </row>
    <row r="126" spans="1:31" x14ac:dyDescent="0.55000000000000004">
      <c r="A126" s="209" t="s">
        <v>3484</v>
      </c>
      <c r="B126" s="209" t="s">
        <v>3485</v>
      </c>
      <c r="C126" s="209" t="s">
        <v>3486</v>
      </c>
      <c r="D126" s="209" t="s">
        <v>3487</v>
      </c>
      <c r="E126" s="209" t="s">
        <v>3488</v>
      </c>
      <c r="F126" s="209" t="s">
        <v>3472</v>
      </c>
      <c r="G126" s="209" t="s">
        <v>3473</v>
      </c>
      <c r="H126" s="209" t="s">
        <v>133</v>
      </c>
      <c r="I126" s="209" t="s">
        <v>133</v>
      </c>
      <c r="J126" s="209" t="s">
        <v>3474</v>
      </c>
      <c r="K126" s="209" t="s">
        <v>3489</v>
      </c>
      <c r="L126" s="209" t="s">
        <v>3490</v>
      </c>
      <c r="M126" s="209" t="s">
        <v>3491</v>
      </c>
      <c r="N126" s="209" t="s">
        <v>3478</v>
      </c>
      <c r="O126" s="209" t="s">
        <v>3492</v>
      </c>
      <c r="P126" s="209" t="s">
        <v>2226</v>
      </c>
      <c r="Q126" s="209" t="s">
        <v>2236</v>
      </c>
      <c r="R126" s="209" t="s">
        <v>2299</v>
      </c>
      <c r="S126" s="209" t="s">
        <v>3296</v>
      </c>
      <c r="T126" s="209" t="s">
        <v>3297</v>
      </c>
      <c r="U126" s="209" t="s">
        <v>3298</v>
      </c>
      <c r="V126" s="209" t="s">
        <v>3299</v>
      </c>
      <c r="W126" s="209" t="s">
        <v>3300</v>
      </c>
      <c r="X126" s="209" t="s">
        <v>3301</v>
      </c>
      <c r="Y126" s="209" t="s">
        <v>3480</v>
      </c>
      <c r="Z126" s="209" t="s">
        <v>3481</v>
      </c>
      <c r="AA126" s="209" t="s">
        <v>3482</v>
      </c>
      <c r="AB126" s="209" t="s">
        <v>3483</v>
      </c>
      <c r="AC126" s="209" t="s">
        <v>3248</v>
      </c>
      <c r="AD126" s="209" t="s">
        <v>133</v>
      </c>
      <c r="AE126" s="209" t="s">
        <v>133</v>
      </c>
    </row>
    <row r="127" spans="1:31" x14ac:dyDescent="0.55000000000000004">
      <c r="A127" s="209" t="s">
        <v>3493</v>
      </c>
      <c r="B127" s="209" t="s">
        <v>3494</v>
      </c>
      <c r="C127" s="209" t="s">
        <v>3495</v>
      </c>
      <c r="D127" s="209" t="s">
        <v>3496</v>
      </c>
      <c r="E127" s="209" t="s">
        <v>3497</v>
      </c>
      <c r="F127" s="209" t="s">
        <v>3498</v>
      </c>
      <c r="G127" s="209" t="s">
        <v>3499</v>
      </c>
      <c r="H127" s="209" t="s">
        <v>133</v>
      </c>
      <c r="I127" s="209" t="s">
        <v>133</v>
      </c>
      <c r="J127" s="209" t="s">
        <v>3500</v>
      </c>
      <c r="K127" s="209" t="s">
        <v>3501</v>
      </c>
      <c r="L127" s="209" t="s">
        <v>3502</v>
      </c>
      <c r="M127" s="209" t="s">
        <v>3503</v>
      </c>
      <c r="N127" s="209" t="s">
        <v>3504</v>
      </c>
      <c r="O127" s="209" t="s">
        <v>3505</v>
      </c>
      <c r="P127" s="209" t="s">
        <v>2236</v>
      </c>
      <c r="Q127" s="209" t="s">
        <v>2250</v>
      </c>
      <c r="R127" s="209" t="s">
        <v>2299</v>
      </c>
      <c r="S127" s="209" t="s">
        <v>3315</v>
      </c>
      <c r="T127" s="209" t="s">
        <v>3316</v>
      </c>
      <c r="U127" s="209" t="s">
        <v>3317</v>
      </c>
      <c r="V127" s="209" t="s">
        <v>3318</v>
      </c>
      <c r="W127" s="209" t="s">
        <v>3319</v>
      </c>
      <c r="X127" s="209" t="s">
        <v>3320</v>
      </c>
      <c r="Y127" s="209" t="s">
        <v>3506</v>
      </c>
      <c r="Z127" s="209" t="s">
        <v>3507</v>
      </c>
      <c r="AA127" s="209" t="s">
        <v>3508</v>
      </c>
      <c r="AB127" s="209" t="s">
        <v>3509</v>
      </c>
      <c r="AC127" s="209" t="s">
        <v>3248</v>
      </c>
      <c r="AD127" s="209" t="s">
        <v>133</v>
      </c>
      <c r="AE127" s="209" t="s">
        <v>133</v>
      </c>
    </row>
    <row r="128" spans="1:31" x14ac:dyDescent="0.55000000000000004">
      <c r="A128" s="209" t="s">
        <v>3510</v>
      </c>
      <c r="B128" s="209" t="s">
        <v>3511</v>
      </c>
      <c r="C128" s="209" t="s">
        <v>3512</v>
      </c>
      <c r="D128" s="209" t="s">
        <v>3513</v>
      </c>
      <c r="E128" s="209" t="s">
        <v>3514</v>
      </c>
      <c r="F128" s="209" t="s">
        <v>3498</v>
      </c>
      <c r="G128" s="209" t="s">
        <v>3499</v>
      </c>
      <c r="H128" s="209" t="s">
        <v>133</v>
      </c>
      <c r="I128" s="209" t="s">
        <v>133</v>
      </c>
      <c r="J128" s="209" t="s">
        <v>3500</v>
      </c>
      <c r="K128" s="209" t="s">
        <v>3515</v>
      </c>
      <c r="L128" s="209" t="s">
        <v>3516</v>
      </c>
      <c r="M128" s="209" t="s">
        <v>3517</v>
      </c>
      <c r="N128" s="209" t="s">
        <v>3504</v>
      </c>
      <c r="O128" s="209" t="s">
        <v>3518</v>
      </c>
      <c r="P128" s="209" t="s">
        <v>2236</v>
      </c>
      <c r="Q128" s="209" t="s">
        <v>2260</v>
      </c>
      <c r="R128" s="209" t="s">
        <v>2299</v>
      </c>
      <c r="S128" s="209" t="s">
        <v>3334</v>
      </c>
      <c r="T128" s="209" t="s">
        <v>3335</v>
      </c>
      <c r="U128" s="209" t="s">
        <v>3336</v>
      </c>
      <c r="V128" s="209" t="s">
        <v>3337</v>
      </c>
      <c r="W128" s="209" t="s">
        <v>3338</v>
      </c>
      <c r="X128" s="209" t="s">
        <v>3339</v>
      </c>
      <c r="Y128" s="209" t="s">
        <v>3506</v>
      </c>
      <c r="Z128" s="209" t="s">
        <v>3507</v>
      </c>
      <c r="AA128" s="209" t="s">
        <v>3508</v>
      </c>
      <c r="AB128" s="209" t="s">
        <v>3509</v>
      </c>
      <c r="AC128" s="209" t="s">
        <v>3248</v>
      </c>
      <c r="AD128" s="209" t="s">
        <v>133</v>
      </c>
      <c r="AE128" s="209" t="s">
        <v>133</v>
      </c>
    </row>
    <row r="129" spans="1:31" x14ac:dyDescent="0.55000000000000004">
      <c r="A129" s="209" t="s">
        <v>3519</v>
      </c>
      <c r="B129" s="209" t="s">
        <v>3520</v>
      </c>
      <c r="C129" s="209" t="s">
        <v>3521</v>
      </c>
      <c r="D129" s="209" t="s">
        <v>3522</v>
      </c>
      <c r="E129" s="209" t="s">
        <v>3523</v>
      </c>
      <c r="F129" s="209" t="s">
        <v>3524</v>
      </c>
      <c r="G129" s="209" t="s">
        <v>3525</v>
      </c>
      <c r="H129" s="209" t="s">
        <v>133</v>
      </c>
      <c r="I129" s="209" t="s">
        <v>133</v>
      </c>
      <c r="J129" s="209" t="s">
        <v>3526</v>
      </c>
      <c r="K129" s="209" t="s">
        <v>3527</v>
      </c>
      <c r="L129" s="209" t="s">
        <v>3528</v>
      </c>
      <c r="M129" s="209" t="s">
        <v>3529</v>
      </c>
      <c r="N129" s="209" t="s">
        <v>3530</v>
      </c>
      <c r="O129" s="209" t="s">
        <v>3531</v>
      </c>
      <c r="P129" s="209" t="s">
        <v>2250</v>
      </c>
      <c r="Q129" s="209" t="s">
        <v>2274</v>
      </c>
      <c r="R129" s="209" t="s">
        <v>2299</v>
      </c>
      <c r="S129" s="209" t="s">
        <v>3238</v>
      </c>
      <c r="T129" s="209" t="s">
        <v>3239</v>
      </c>
      <c r="U129" s="209" t="s">
        <v>3240</v>
      </c>
      <c r="V129" s="209" t="s">
        <v>3241</v>
      </c>
      <c r="W129" s="209" t="s">
        <v>3242</v>
      </c>
      <c r="X129" s="209" t="s">
        <v>3243</v>
      </c>
      <c r="Y129" s="209" t="s">
        <v>3532</v>
      </c>
      <c r="Z129" s="209" t="s">
        <v>3533</v>
      </c>
      <c r="AA129" s="209" t="s">
        <v>3534</v>
      </c>
      <c r="AB129" s="209" t="s">
        <v>3535</v>
      </c>
      <c r="AC129" s="209" t="s">
        <v>3248</v>
      </c>
      <c r="AD129" s="209" t="s">
        <v>133</v>
      </c>
      <c r="AE129" s="209" t="s">
        <v>133</v>
      </c>
    </row>
    <row r="130" spans="1:31" x14ac:dyDescent="0.55000000000000004">
      <c r="A130" s="209" t="s">
        <v>3536</v>
      </c>
      <c r="B130" s="209" t="s">
        <v>3537</v>
      </c>
      <c r="C130" s="209" t="s">
        <v>3538</v>
      </c>
      <c r="D130" s="209" t="s">
        <v>3539</v>
      </c>
      <c r="E130" s="209" t="s">
        <v>3540</v>
      </c>
      <c r="F130" s="209" t="s">
        <v>3524</v>
      </c>
      <c r="G130" s="209" t="s">
        <v>3525</v>
      </c>
      <c r="H130" s="209" t="s">
        <v>133</v>
      </c>
      <c r="I130" s="209" t="s">
        <v>133</v>
      </c>
      <c r="J130" s="209" t="s">
        <v>3526</v>
      </c>
      <c r="K130" s="209" t="s">
        <v>3541</v>
      </c>
      <c r="L130" s="209" t="s">
        <v>3542</v>
      </c>
      <c r="M130" s="209" t="s">
        <v>3543</v>
      </c>
      <c r="N130" s="209" t="s">
        <v>3530</v>
      </c>
      <c r="O130" s="209" t="s">
        <v>3544</v>
      </c>
      <c r="P130" s="209" t="s">
        <v>2250</v>
      </c>
      <c r="Q130" s="209" t="s">
        <v>2284</v>
      </c>
      <c r="R130" s="209" t="s">
        <v>2299</v>
      </c>
      <c r="S130" s="209" t="s">
        <v>3258</v>
      </c>
      <c r="T130" s="209" t="s">
        <v>3259</v>
      </c>
      <c r="U130" s="209" t="s">
        <v>3260</v>
      </c>
      <c r="V130" s="209" t="s">
        <v>3261</v>
      </c>
      <c r="W130" s="209" t="s">
        <v>3262</v>
      </c>
      <c r="X130" s="209" t="s">
        <v>3263</v>
      </c>
      <c r="Y130" s="209" t="s">
        <v>3532</v>
      </c>
      <c r="Z130" s="209" t="s">
        <v>3533</v>
      </c>
      <c r="AA130" s="209" t="s">
        <v>3534</v>
      </c>
      <c r="AB130" s="209" t="s">
        <v>3535</v>
      </c>
      <c r="AC130" s="209" t="s">
        <v>3248</v>
      </c>
      <c r="AD130" s="209" t="s">
        <v>133</v>
      </c>
      <c r="AE130" s="209" t="s">
        <v>133</v>
      </c>
    </row>
    <row r="131" spans="1:31" x14ac:dyDescent="0.55000000000000004">
      <c r="A131" s="209" t="s">
        <v>3545</v>
      </c>
      <c r="B131" s="209" t="s">
        <v>3546</v>
      </c>
      <c r="C131" s="209" t="s">
        <v>3547</v>
      </c>
      <c r="D131" s="209" t="s">
        <v>3548</v>
      </c>
      <c r="E131" s="209" t="s">
        <v>3549</v>
      </c>
      <c r="F131" s="209" t="s">
        <v>3550</v>
      </c>
      <c r="G131" s="209" t="s">
        <v>3551</v>
      </c>
      <c r="H131" s="209" t="s">
        <v>133</v>
      </c>
      <c r="I131" s="209" t="s">
        <v>133</v>
      </c>
      <c r="J131" s="209" t="s">
        <v>3552</v>
      </c>
      <c r="K131" s="209" t="s">
        <v>3553</v>
      </c>
      <c r="L131" s="209" t="s">
        <v>3554</v>
      </c>
      <c r="M131" s="209" t="s">
        <v>3555</v>
      </c>
      <c r="N131" s="209" t="s">
        <v>3556</v>
      </c>
      <c r="O131" s="209" t="s">
        <v>3557</v>
      </c>
      <c r="P131" s="209" t="s">
        <v>2260</v>
      </c>
      <c r="Q131" s="209" t="s">
        <v>2298</v>
      </c>
      <c r="R131" s="209" t="s">
        <v>2299</v>
      </c>
      <c r="S131" s="209" t="s">
        <v>3277</v>
      </c>
      <c r="T131" s="209" t="s">
        <v>3278</v>
      </c>
      <c r="U131" s="209" t="s">
        <v>3279</v>
      </c>
      <c r="V131" s="209" t="s">
        <v>3280</v>
      </c>
      <c r="W131" s="209" t="s">
        <v>3281</v>
      </c>
      <c r="X131" s="209" t="s">
        <v>3282</v>
      </c>
      <c r="Y131" s="209" t="s">
        <v>3558</v>
      </c>
      <c r="Z131" s="209" t="s">
        <v>3559</v>
      </c>
      <c r="AA131" s="209" t="s">
        <v>3560</v>
      </c>
      <c r="AB131" s="209" t="s">
        <v>3561</v>
      </c>
      <c r="AC131" s="209" t="s">
        <v>3248</v>
      </c>
      <c r="AD131" s="209" t="s">
        <v>133</v>
      </c>
      <c r="AE131" s="209" t="s">
        <v>133</v>
      </c>
    </row>
    <row r="132" spans="1:31" x14ac:dyDescent="0.55000000000000004">
      <c r="A132" s="209" t="s">
        <v>3562</v>
      </c>
      <c r="B132" s="209" t="s">
        <v>3563</v>
      </c>
      <c r="C132" s="209" t="s">
        <v>3564</v>
      </c>
      <c r="D132" s="209" t="s">
        <v>3565</v>
      </c>
      <c r="E132" s="209" t="s">
        <v>3566</v>
      </c>
      <c r="F132" s="209" t="s">
        <v>3550</v>
      </c>
      <c r="G132" s="209" t="s">
        <v>3551</v>
      </c>
      <c r="H132" s="209" t="s">
        <v>133</v>
      </c>
      <c r="I132" s="209" t="s">
        <v>133</v>
      </c>
      <c r="J132" s="209" t="s">
        <v>3552</v>
      </c>
      <c r="K132" s="209" t="s">
        <v>3567</v>
      </c>
      <c r="L132" s="209" t="s">
        <v>3568</v>
      </c>
      <c r="M132" s="209" t="s">
        <v>3569</v>
      </c>
      <c r="N132" s="209" t="s">
        <v>3556</v>
      </c>
      <c r="O132" s="209" t="s">
        <v>3570</v>
      </c>
      <c r="P132" s="209" t="s">
        <v>2260</v>
      </c>
      <c r="Q132" s="209" t="s">
        <v>2309</v>
      </c>
      <c r="R132" s="209" t="s">
        <v>2299</v>
      </c>
      <c r="S132" s="209" t="s">
        <v>3296</v>
      </c>
      <c r="T132" s="209" t="s">
        <v>3297</v>
      </c>
      <c r="U132" s="209" t="s">
        <v>3298</v>
      </c>
      <c r="V132" s="209" t="s">
        <v>3299</v>
      </c>
      <c r="W132" s="209" t="s">
        <v>3300</v>
      </c>
      <c r="X132" s="209" t="s">
        <v>3301</v>
      </c>
      <c r="Y132" s="209" t="s">
        <v>3558</v>
      </c>
      <c r="Z132" s="209" t="s">
        <v>3559</v>
      </c>
      <c r="AA132" s="209" t="s">
        <v>3560</v>
      </c>
      <c r="AB132" s="209" t="s">
        <v>3561</v>
      </c>
      <c r="AC132" s="209" t="s">
        <v>3248</v>
      </c>
      <c r="AD132" s="209" t="s">
        <v>133</v>
      </c>
      <c r="AE132" s="209" t="s">
        <v>133</v>
      </c>
    </row>
    <row r="133" spans="1:31" x14ac:dyDescent="0.55000000000000004">
      <c r="A133" s="209" t="s">
        <v>3571</v>
      </c>
      <c r="B133" s="209" t="s">
        <v>3572</v>
      </c>
      <c r="C133" s="209" t="s">
        <v>3573</v>
      </c>
      <c r="D133" s="209" t="s">
        <v>3574</v>
      </c>
      <c r="E133" s="209" t="s">
        <v>3575</v>
      </c>
      <c r="F133" s="209" t="s">
        <v>3576</v>
      </c>
      <c r="G133" s="209" t="s">
        <v>3577</v>
      </c>
      <c r="H133" s="209" t="s">
        <v>133</v>
      </c>
      <c r="I133" s="209" t="s">
        <v>133</v>
      </c>
      <c r="J133" s="209" t="s">
        <v>3578</v>
      </c>
      <c r="K133" s="209" t="s">
        <v>3579</v>
      </c>
      <c r="L133" s="209" t="s">
        <v>3580</v>
      </c>
      <c r="M133" s="209" t="s">
        <v>3581</v>
      </c>
      <c r="N133" s="209" t="s">
        <v>3582</v>
      </c>
      <c r="O133" s="209" t="s">
        <v>3583</v>
      </c>
      <c r="P133" s="209" t="s">
        <v>2274</v>
      </c>
      <c r="Q133" s="209" t="s">
        <v>2323</v>
      </c>
      <c r="R133" s="209" t="s">
        <v>2299</v>
      </c>
      <c r="S133" s="209" t="s">
        <v>3315</v>
      </c>
      <c r="T133" s="209" t="s">
        <v>3316</v>
      </c>
      <c r="U133" s="209" t="s">
        <v>3317</v>
      </c>
      <c r="V133" s="209" t="s">
        <v>3318</v>
      </c>
      <c r="W133" s="209" t="s">
        <v>3319</v>
      </c>
      <c r="X133" s="209" t="s">
        <v>3320</v>
      </c>
      <c r="Y133" s="209" t="s">
        <v>3584</v>
      </c>
      <c r="Z133" s="209" t="s">
        <v>3585</v>
      </c>
      <c r="AA133" s="209" t="s">
        <v>3586</v>
      </c>
      <c r="AB133" s="209" t="s">
        <v>3587</v>
      </c>
      <c r="AC133" s="209" t="s">
        <v>3248</v>
      </c>
      <c r="AD133" s="209" t="s">
        <v>133</v>
      </c>
      <c r="AE133" s="209" t="s">
        <v>133</v>
      </c>
    </row>
    <row r="134" spans="1:31" x14ac:dyDescent="0.55000000000000004">
      <c r="A134" s="209" t="s">
        <v>3588</v>
      </c>
      <c r="B134" s="209" t="s">
        <v>3589</v>
      </c>
      <c r="C134" s="209" t="s">
        <v>3590</v>
      </c>
      <c r="D134" s="209" t="s">
        <v>3591</v>
      </c>
      <c r="E134" s="209" t="s">
        <v>3592</v>
      </c>
      <c r="F134" s="209" t="s">
        <v>3576</v>
      </c>
      <c r="G134" s="209" t="s">
        <v>3577</v>
      </c>
      <c r="H134" s="209" t="s">
        <v>133</v>
      </c>
      <c r="I134" s="209" t="s">
        <v>133</v>
      </c>
      <c r="J134" s="209" t="s">
        <v>3578</v>
      </c>
      <c r="K134" s="209" t="s">
        <v>3593</v>
      </c>
      <c r="L134" s="209" t="s">
        <v>3594</v>
      </c>
      <c r="M134" s="209" t="s">
        <v>3595</v>
      </c>
      <c r="N134" s="209" t="s">
        <v>3582</v>
      </c>
      <c r="O134" s="209" t="s">
        <v>3596</v>
      </c>
      <c r="P134" s="209" t="s">
        <v>2274</v>
      </c>
      <c r="Q134" s="209" t="s">
        <v>2333</v>
      </c>
      <c r="R134" s="209" t="s">
        <v>2299</v>
      </c>
      <c r="S134" s="209" t="s">
        <v>3334</v>
      </c>
      <c r="T134" s="209" t="s">
        <v>3335</v>
      </c>
      <c r="U134" s="209" t="s">
        <v>3336</v>
      </c>
      <c r="V134" s="209" t="s">
        <v>3337</v>
      </c>
      <c r="W134" s="209" t="s">
        <v>3338</v>
      </c>
      <c r="X134" s="209" t="s">
        <v>3339</v>
      </c>
      <c r="Y134" s="209" t="s">
        <v>3584</v>
      </c>
      <c r="Z134" s="209" t="s">
        <v>3585</v>
      </c>
      <c r="AA134" s="209" t="s">
        <v>3586</v>
      </c>
      <c r="AB134" s="209" t="s">
        <v>3587</v>
      </c>
      <c r="AC134" s="209" t="s">
        <v>3248</v>
      </c>
      <c r="AD134" s="209" t="s">
        <v>133</v>
      </c>
      <c r="AE134" s="209" t="s">
        <v>133</v>
      </c>
    </row>
    <row r="135" spans="1:31" x14ac:dyDescent="0.55000000000000004">
      <c r="A135" s="209" t="s">
        <v>3597</v>
      </c>
      <c r="B135" s="209" t="s">
        <v>2944</v>
      </c>
      <c r="C135" s="209" t="s">
        <v>2945</v>
      </c>
      <c r="D135" s="209" t="s">
        <v>3598</v>
      </c>
      <c r="E135" s="209" t="s">
        <v>3599</v>
      </c>
      <c r="F135" s="209" t="s">
        <v>3600</v>
      </c>
      <c r="G135" s="209" t="s">
        <v>3601</v>
      </c>
      <c r="H135" s="209" t="s">
        <v>133</v>
      </c>
      <c r="I135" s="209" t="s">
        <v>133</v>
      </c>
      <c r="J135" s="209" t="s">
        <v>3602</v>
      </c>
      <c r="K135" s="209" t="s">
        <v>3603</v>
      </c>
      <c r="L135" s="209" t="s">
        <v>3604</v>
      </c>
      <c r="M135" s="209" t="s">
        <v>3605</v>
      </c>
      <c r="N135" s="209" t="s">
        <v>3606</v>
      </c>
      <c r="O135" s="209" t="s">
        <v>3607</v>
      </c>
      <c r="P135" s="209" t="s">
        <v>2226</v>
      </c>
      <c r="Q135" s="209" t="s">
        <v>2226</v>
      </c>
      <c r="R135" s="209" t="s">
        <v>2299</v>
      </c>
      <c r="S135" s="209" t="s">
        <v>133</v>
      </c>
      <c r="T135" s="209" t="s">
        <v>133</v>
      </c>
      <c r="U135" s="209" t="s">
        <v>133</v>
      </c>
      <c r="V135" s="209" t="s">
        <v>133</v>
      </c>
      <c r="W135" s="209" t="s">
        <v>133</v>
      </c>
      <c r="X135" s="209" t="s">
        <v>133</v>
      </c>
      <c r="Y135" s="209" t="s">
        <v>133</v>
      </c>
      <c r="Z135" s="209" t="s">
        <v>3608</v>
      </c>
      <c r="AA135" s="209" t="s">
        <v>133</v>
      </c>
      <c r="AB135" s="209" t="s">
        <v>133</v>
      </c>
      <c r="AC135" s="209" t="s">
        <v>133</v>
      </c>
      <c r="AD135" s="209" t="s">
        <v>133</v>
      </c>
      <c r="AE135" s="209" t="s">
        <v>3609</v>
      </c>
    </row>
    <row r="136" spans="1:31" x14ac:dyDescent="0.55000000000000004">
      <c r="A136" s="209" t="s">
        <v>3610</v>
      </c>
      <c r="B136" s="209" t="s">
        <v>2959</v>
      </c>
      <c r="C136" s="209" t="s">
        <v>2960</v>
      </c>
      <c r="D136" s="209" t="s">
        <v>3611</v>
      </c>
      <c r="E136" s="209" t="s">
        <v>3612</v>
      </c>
      <c r="F136" s="209" t="s">
        <v>3600</v>
      </c>
      <c r="G136" s="209" t="s">
        <v>3601</v>
      </c>
      <c r="H136" s="209" t="s">
        <v>133</v>
      </c>
      <c r="I136" s="209" t="s">
        <v>133</v>
      </c>
      <c r="J136" s="209" t="s">
        <v>3602</v>
      </c>
      <c r="K136" s="209" t="s">
        <v>3613</v>
      </c>
      <c r="L136" s="209" t="s">
        <v>3614</v>
      </c>
      <c r="M136" s="209" t="s">
        <v>3615</v>
      </c>
      <c r="N136" s="209" t="s">
        <v>3606</v>
      </c>
      <c r="O136" s="209" t="s">
        <v>3616</v>
      </c>
      <c r="P136" s="209" t="s">
        <v>2226</v>
      </c>
      <c r="Q136" s="209" t="s">
        <v>2236</v>
      </c>
      <c r="R136" s="209" t="s">
        <v>2299</v>
      </c>
      <c r="S136" s="209" t="s">
        <v>133</v>
      </c>
      <c r="T136" s="209" t="s">
        <v>133</v>
      </c>
      <c r="U136" s="209" t="s">
        <v>133</v>
      </c>
      <c r="V136" s="209" t="s">
        <v>133</v>
      </c>
      <c r="W136" s="209" t="s">
        <v>133</v>
      </c>
      <c r="X136" s="209" t="s">
        <v>133</v>
      </c>
      <c r="Y136" s="209" t="s">
        <v>133</v>
      </c>
      <c r="Z136" s="209" t="s">
        <v>3608</v>
      </c>
      <c r="AA136" s="209" t="s">
        <v>133</v>
      </c>
      <c r="AB136" s="209" t="s">
        <v>133</v>
      </c>
      <c r="AC136" s="209" t="s">
        <v>133</v>
      </c>
      <c r="AD136" s="209" t="s">
        <v>133</v>
      </c>
      <c r="AE136" s="209" t="s">
        <v>3609</v>
      </c>
    </row>
    <row r="137" spans="1:31" x14ac:dyDescent="0.55000000000000004">
      <c r="A137" s="209" t="s">
        <v>3617</v>
      </c>
      <c r="B137" s="209" t="s">
        <v>2968</v>
      </c>
      <c r="C137" s="209" t="s">
        <v>2969</v>
      </c>
      <c r="D137" s="209" t="s">
        <v>3618</v>
      </c>
      <c r="E137" s="209" t="s">
        <v>3619</v>
      </c>
      <c r="F137" s="209" t="s">
        <v>3620</v>
      </c>
      <c r="G137" s="209" t="s">
        <v>3621</v>
      </c>
      <c r="H137" s="209" t="s">
        <v>133</v>
      </c>
      <c r="I137" s="209" t="s">
        <v>133</v>
      </c>
      <c r="J137" s="209" t="s">
        <v>3622</v>
      </c>
      <c r="K137" s="209" t="s">
        <v>3623</v>
      </c>
      <c r="L137" s="209" t="s">
        <v>3624</v>
      </c>
      <c r="M137" s="209" t="s">
        <v>3625</v>
      </c>
      <c r="N137" s="209" t="s">
        <v>3626</v>
      </c>
      <c r="O137" s="209" t="s">
        <v>3627</v>
      </c>
      <c r="P137" s="209" t="s">
        <v>2236</v>
      </c>
      <c r="Q137" s="209" t="s">
        <v>2250</v>
      </c>
      <c r="R137" s="209" t="s">
        <v>2299</v>
      </c>
      <c r="S137" s="209" t="s">
        <v>133</v>
      </c>
      <c r="T137" s="209" t="s">
        <v>133</v>
      </c>
      <c r="U137" s="209" t="s">
        <v>133</v>
      </c>
      <c r="V137" s="209" t="s">
        <v>133</v>
      </c>
      <c r="W137" s="209" t="s">
        <v>133</v>
      </c>
      <c r="X137" s="209" t="s">
        <v>133</v>
      </c>
      <c r="Y137" s="209" t="s">
        <v>133</v>
      </c>
      <c r="Z137" s="209" t="s">
        <v>3628</v>
      </c>
      <c r="AA137" s="209" t="s">
        <v>133</v>
      </c>
      <c r="AB137" s="209" t="s">
        <v>133</v>
      </c>
      <c r="AC137" s="209" t="s">
        <v>133</v>
      </c>
      <c r="AD137" s="209" t="s">
        <v>133</v>
      </c>
      <c r="AE137" s="209" t="s">
        <v>3629</v>
      </c>
    </row>
    <row r="138" spans="1:31" x14ac:dyDescent="0.55000000000000004">
      <c r="A138" s="209" t="s">
        <v>3630</v>
      </c>
      <c r="B138" s="209" t="s">
        <v>2983</v>
      </c>
      <c r="C138" s="209" t="s">
        <v>2984</v>
      </c>
      <c r="D138" s="209" t="s">
        <v>3631</v>
      </c>
      <c r="E138" s="209" t="s">
        <v>3632</v>
      </c>
      <c r="F138" s="209" t="s">
        <v>3620</v>
      </c>
      <c r="G138" s="209" t="s">
        <v>3621</v>
      </c>
      <c r="H138" s="209" t="s">
        <v>133</v>
      </c>
      <c r="I138" s="209" t="s">
        <v>133</v>
      </c>
      <c r="J138" s="209" t="s">
        <v>3622</v>
      </c>
      <c r="K138" s="209" t="s">
        <v>3633</v>
      </c>
      <c r="L138" s="209" t="s">
        <v>3634</v>
      </c>
      <c r="M138" s="209" t="s">
        <v>3635</v>
      </c>
      <c r="N138" s="209" t="s">
        <v>3626</v>
      </c>
      <c r="O138" s="209" t="s">
        <v>3636</v>
      </c>
      <c r="P138" s="209" t="s">
        <v>2236</v>
      </c>
      <c r="Q138" s="209" t="s">
        <v>2260</v>
      </c>
      <c r="R138" s="209" t="s">
        <v>2299</v>
      </c>
      <c r="S138" s="209" t="s">
        <v>133</v>
      </c>
      <c r="T138" s="209" t="s">
        <v>133</v>
      </c>
      <c r="U138" s="209" t="s">
        <v>133</v>
      </c>
      <c r="V138" s="209" t="s">
        <v>133</v>
      </c>
      <c r="W138" s="209" t="s">
        <v>133</v>
      </c>
      <c r="X138" s="209" t="s">
        <v>133</v>
      </c>
      <c r="Y138" s="209" t="s">
        <v>133</v>
      </c>
      <c r="Z138" s="209" t="s">
        <v>3628</v>
      </c>
      <c r="AA138" s="209" t="s">
        <v>133</v>
      </c>
      <c r="AB138" s="209" t="s">
        <v>133</v>
      </c>
      <c r="AC138" s="209" t="s">
        <v>133</v>
      </c>
      <c r="AD138" s="209" t="s">
        <v>133</v>
      </c>
      <c r="AE138" s="209" t="s">
        <v>3629</v>
      </c>
    </row>
    <row r="139" spans="1:31" x14ac:dyDescent="0.55000000000000004">
      <c r="A139" s="209" t="s">
        <v>3637</v>
      </c>
      <c r="B139" s="209" t="s">
        <v>2920</v>
      </c>
      <c r="C139" s="209" t="s">
        <v>2921</v>
      </c>
      <c r="D139" s="209" t="s">
        <v>3638</v>
      </c>
      <c r="E139" s="209" t="s">
        <v>3639</v>
      </c>
      <c r="F139" s="209" t="s">
        <v>3640</v>
      </c>
      <c r="G139" s="209" t="s">
        <v>3641</v>
      </c>
      <c r="H139" s="209" t="s">
        <v>3642</v>
      </c>
      <c r="I139" s="209" t="s">
        <v>3643</v>
      </c>
      <c r="J139" s="209" t="s">
        <v>3644</v>
      </c>
      <c r="K139" s="209" t="s">
        <v>3645</v>
      </c>
      <c r="L139" s="209" t="s">
        <v>3646</v>
      </c>
      <c r="M139" s="209" t="s">
        <v>3647</v>
      </c>
      <c r="N139" s="209" t="s">
        <v>3648</v>
      </c>
      <c r="O139" s="209" t="s">
        <v>3649</v>
      </c>
      <c r="P139" s="209" t="s">
        <v>2179</v>
      </c>
      <c r="Q139" s="209" t="s">
        <v>2180</v>
      </c>
      <c r="R139" s="209" t="s">
        <v>2373</v>
      </c>
      <c r="S139" s="209" t="s">
        <v>133</v>
      </c>
      <c r="T139" s="209" t="s">
        <v>133</v>
      </c>
      <c r="U139" s="209" t="s">
        <v>133</v>
      </c>
      <c r="V139" s="209" t="s">
        <v>133</v>
      </c>
      <c r="W139" s="209" t="s">
        <v>133</v>
      </c>
      <c r="X139" s="209" t="s">
        <v>133</v>
      </c>
      <c r="Y139" s="209" t="s">
        <v>133</v>
      </c>
      <c r="Z139" s="209" t="s">
        <v>133</v>
      </c>
      <c r="AA139" s="209" t="s">
        <v>133</v>
      </c>
      <c r="AB139" s="209" t="s">
        <v>133</v>
      </c>
      <c r="AC139" s="209" t="s">
        <v>133</v>
      </c>
      <c r="AD139" s="209" t="s">
        <v>133</v>
      </c>
      <c r="AE139" s="209" t="s">
        <v>2476</v>
      </c>
    </row>
    <row r="140" spans="1:31" x14ac:dyDescent="0.55000000000000004">
      <c r="A140" s="209" t="s">
        <v>3650</v>
      </c>
      <c r="B140" s="209" t="s">
        <v>2935</v>
      </c>
      <c r="C140" s="209" t="s">
        <v>2936</v>
      </c>
      <c r="D140" s="209" t="s">
        <v>3651</v>
      </c>
      <c r="E140" s="209" t="s">
        <v>3652</v>
      </c>
      <c r="F140" s="209" t="s">
        <v>3640</v>
      </c>
      <c r="G140" s="209" t="s">
        <v>3641</v>
      </c>
      <c r="H140" s="209" t="s">
        <v>3653</v>
      </c>
      <c r="I140" s="209" t="s">
        <v>3654</v>
      </c>
      <c r="J140" s="209" t="s">
        <v>3644</v>
      </c>
      <c r="K140" s="209" t="s">
        <v>3655</v>
      </c>
      <c r="L140" s="209" t="s">
        <v>3656</v>
      </c>
      <c r="M140" s="209" t="s">
        <v>3657</v>
      </c>
      <c r="N140" s="209" t="s">
        <v>3648</v>
      </c>
      <c r="O140" s="209" t="s">
        <v>3658</v>
      </c>
      <c r="P140" s="209" t="s">
        <v>2179</v>
      </c>
      <c r="Q140" s="209" t="s">
        <v>2179</v>
      </c>
      <c r="R140" s="209" t="s">
        <v>2373</v>
      </c>
      <c r="S140" s="209" t="s">
        <v>133</v>
      </c>
      <c r="T140" s="209" t="s">
        <v>133</v>
      </c>
      <c r="U140" s="209" t="s">
        <v>133</v>
      </c>
      <c r="V140" s="209" t="s">
        <v>133</v>
      </c>
      <c r="W140" s="209" t="s">
        <v>133</v>
      </c>
      <c r="X140" s="209" t="s">
        <v>133</v>
      </c>
      <c r="Y140" s="209" t="s">
        <v>133</v>
      </c>
      <c r="Z140" s="209" t="s">
        <v>133</v>
      </c>
      <c r="AA140" s="209" t="s">
        <v>133</v>
      </c>
      <c r="AB140" s="209" t="s">
        <v>133</v>
      </c>
      <c r="AC140" s="209" t="s">
        <v>133</v>
      </c>
      <c r="AD140" s="209" t="s">
        <v>133</v>
      </c>
      <c r="AE140" s="209" t="s">
        <v>2476</v>
      </c>
    </row>
    <row r="141" spans="1:31" x14ac:dyDescent="0.55000000000000004">
      <c r="A141" s="209" t="s">
        <v>3659</v>
      </c>
      <c r="B141" s="209" t="s">
        <v>2944</v>
      </c>
      <c r="C141" s="209" t="s">
        <v>2945</v>
      </c>
      <c r="D141" s="209" t="s">
        <v>3598</v>
      </c>
      <c r="E141" s="209" t="s">
        <v>3599</v>
      </c>
      <c r="F141" s="209" t="s">
        <v>3660</v>
      </c>
      <c r="G141" s="209" t="s">
        <v>3661</v>
      </c>
      <c r="H141" s="209" t="s">
        <v>3662</v>
      </c>
      <c r="I141" s="209" t="s">
        <v>3663</v>
      </c>
      <c r="J141" s="209" t="s">
        <v>3664</v>
      </c>
      <c r="K141" s="209" t="s">
        <v>3665</v>
      </c>
      <c r="L141" s="209" t="s">
        <v>3666</v>
      </c>
      <c r="M141" s="209" t="s">
        <v>3667</v>
      </c>
      <c r="N141" s="209" t="s">
        <v>3668</v>
      </c>
      <c r="O141" s="209" t="s">
        <v>3607</v>
      </c>
      <c r="P141" s="209" t="s">
        <v>2226</v>
      </c>
      <c r="Q141" s="209" t="s">
        <v>2226</v>
      </c>
      <c r="R141" s="209" t="s">
        <v>2373</v>
      </c>
      <c r="S141" s="209" t="s">
        <v>133</v>
      </c>
      <c r="T141" s="209" t="s">
        <v>133</v>
      </c>
      <c r="U141" s="209" t="s">
        <v>133</v>
      </c>
      <c r="V141" s="209" t="s">
        <v>133</v>
      </c>
      <c r="W141" s="209" t="s">
        <v>133</v>
      </c>
      <c r="X141" s="209" t="s">
        <v>133</v>
      </c>
      <c r="Y141" s="209" t="s">
        <v>133</v>
      </c>
      <c r="Z141" s="209" t="s">
        <v>133</v>
      </c>
      <c r="AA141" s="209" t="s">
        <v>133</v>
      </c>
      <c r="AB141" s="209" t="s">
        <v>133</v>
      </c>
      <c r="AC141" s="209" t="s">
        <v>133</v>
      </c>
      <c r="AD141" s="209" t="s">
        <v>133</v>
      </c>
      <c r="AE141" s="209" t="s">
        <v>2476</v>
      </c>
    </row>
    <row r="142" spans="1:31" x14ac:dyDescent="0.55000000000000004">
      <c r="A142" s="209" t="s">
        <v>3669</v>
      </c>
      <c r="B142" s="209" t="s">
        <v>2959</v>
      </c>
      <c r="C142" s="209" t="s">
        <v>2960</v>
      </c>
      <c r="D142" s="209" t="s">
        <v>3611</v>
      </c>
      <c r="E142" s="209" t="s">
        <v>3612</v>
      </c>
      <c r="F142" s="209" t="s">
        <v>3660</v>
      </c>
      <c r="G142" s="209" t="s">
        <v>3661</v>
      </c>
      <c r="H142" s="209" t="s">
        <v>3670</v>
      </c>
      <c r="I142" s="209" t="s">
        <v>3671</v>
      </c>
      <c r="J142" s="209" t="s">
        <v>3664</v>
      </c>
      <c r="K142" s="209" t="s">
        <v>3672</v>
      </c>
      <c r="L142" s="209" t="s">
        <v>3673</v>
      </c>
      <c r="M142" s="209" t="s">
        <v>3674</v>
      </c>
      <c r="N142" s="209" t="s">
        <v>3668</v>
      </c>
      <c r="O142" s="209" t="s">
        <v>3616</v>
      </c>
      <c r="P142" s="209" t="s">
        <v>2226</v>
      </c>
      <c r="Q142" s="209" t="s">
        <v>2236</v>
      </c>
      <c r="R142" s="209" t="s">
        <v>2373</v>
      </c>
      <c r="S142" s="209" t="s">
        <v>133</v>
      </c>
      <c r="T142" s="209" t="s">
        <v>133</v>
      </c>
      <c r="U142" s="209" t="s">
        <v>133</v>
      </c>
      <c r="V142" s="209" t="s">
        <v>133</v>
      </c>
      <c r="W142" s="209" t="s">
        <v>133</v>
      </c>
      <c r="X142" s="209" t="s">
        <v>133</v>
      </c>
      <c r="Y142" s="209" t="s">
        <v>133</v>
      </c>
      <c r="Z142" s="209" t="s">
        <v>133</v>
      </c>
      <c r="AA142" s="209" t="s">
        <v>133</v>
      </c>
      <c r="AB142" s="209" t="s">
        <v>133</v>
      </c>
      <c r="AC142" s="209" t="s">
        <v>133</v>
      </c>
      <c r="AD142" s="209" t="s">
        <v>133</v>
      </c>
      <c r="AE142" s="209" t="s">
        <v>2476</v>
      </c>
    </row>
    <row r="143" spans="1:31" x14ac:dyDescent="0.55000000000000004">
      <c r="A143" s="209" t="s">
        <v>3675</v>
      </c>
      <c r="B143" s="209" t="s">
        <v>2968</v>
      </c>
      <c r="C143" s="209" t="s">
        <v>2969</v>
      </c>
      <c r="D143" s="209" t="s">
        <v>3618</v>
      </c>
      <c r="E143" s="209" t="s">
        <v>3619</v>
      </c>
      <c r="F143" s="209" t="s">
        <v>3676</v>
      </c>
      <c r="G143" s="209" t="s">
        <v>3677</v>
      </c>
      <c r="H143" s="209" t="s">
        <v>3678</v>
      </c>
      <c r="I143" s="209" t="s">
        <v>3679</v>
      </c>
      <c r="J143" s="209" t="s">
        <v>3680</v>
      </c>
      <c r="K143" s="209" t="s">
        <v>3681</v>
      </c>
      <c r="L143" s="209" t="s">
        <v>3682</v>
      </c>
      <c r="M143" s="209" t="s">
        <v>3683</v>
      </c>
      <c r="N143" s="209" t="s">
        <v>3684</v>
      </c>
      <c r="O143" s="209" t="s">
        <v>3627</v>
      </c>
      <c r="P143" s="209" t="s">
        <v>2236</v>
      </c>
      <c r="Q143" s="209" t="s">
        <v>2250</v>
      </c>
      <c r="R143" s="209" t="s">
        <v>2373</v>
      </c>
      <c r="S143" s="209" t="s">
        <v>133</v>
      </c>
      <c r="T143" s="209" t="s">
        <v>133</v>
      </c>
      <c r="U143" s="209" t="s">
        <v>133</v>
      </c>
      <c r="V143" s="209" t="s">
        <v>133</v>
      </c>
      <c r="W143" s="209" t="s">
        <v>133</v>
      </c>
      <c r="X143" s="209" t="s">
        <v>133</v>
      </c>
      <c r="Y143" s="209" t="s">
        <v>133</v>
      </c>
      <c r="Z143" s="209" t="s">
        <v>133</v>
      </c>
      <c r="AA143" s="209" t="s">
        <v>133</v>
      </c>
      <c r="AB143" s="209" t="s">
        <v>133</v>
      </c>
      <c r="AC143" s="209" t="s">
        <v>133</v>
      </c>
      <c r="AD143" s="209" t="s">
        <v>133</v>
      </c>
      <c r="AE143" s="209" t="s">
        <v>2476</v>
      </c>
    </row>
    <row r="144" spans="1:31" x14ac:dyDescent="0.55000000000000004">
      <c r="A144" s="209" t="s">
        <v>3685</v>
      </c>
      <c r="B144" s="209" t="s">
        <v>2983</v>
      </c>
      <c r="C144" s="209" t="s">
        <v>2984</v>
      </c>
      <c r="D144" s="209" t="s">
        <v>3631</v>
      </c>
      <c r="E144" s="209" t="s">
        <v>3632</v>
      </c>
      <c r="F144" s="209" t="s">
        <v>3676</v>
      </c>
      <c r="G144" s="209" t="s">
        <v>3677</v>
      </c>
      <c r="H144" s="209" t="s">
        <v>3686</v>
      </c>
      <c r="I144" s="209" t="s">
        <v>3687</v>
      </c>
      <c r="J144" s="209" t="s">
        <v>3680</v>
      </c>
      <c r="K144" s="209" t="s">
        <v>3688</v>
      </c>
      <c r="L144" s="209" t="s">
        <v>3689</v>
      </c>
      <c r="M144" s="209" t="s">
        <v>3690</v>
      </c>
      <c r="N144" s="209" t="s">
        <v>3684</v>
      </c>
      <c r="O144" s="209" t="s">
        <v>3636</v>
      </c>
      <c r="P144" s="209" t="s">
        <v>2236</v>
      </c>
      <c r="Q144" s="209" t="s">
        <v>2260</v>
      </c>
      <c r="R144" s="209" t="s">
        <v>2373</v>
      </c>
      <c r="S144" s="209" t="s">
        <v>133</v>
      </c>
      <c r="T144" s="209" t="s">
        <v>133</v>
      </c>
      <c r="U144" s="209" t="s">
        <v>133</v>
      </c>
      <c r="V144" s="209" t="s">
        <v>133</v>
      </c>
      <c r="W144" s="209" t="s">
        <v>133</v>
      </c>
      <c r="X144" s="209" t="s">
        <v>133</v>
      </c>
      <c r="Y144" s="209" t="s">
        <v>133</v>
      </c>
      <c r="Z144" s="209" t="s">
        <v>133</v>
      </c>
      <c r="AA144" s="209" t="s">
        <v>133</v>
      </c>
      <c r="AB144" s="209" t="s">
        <v>133</v>
      </c>
      <c r="AC144" s="209" t="s">
        <v>133</v>
      </c>
      <c r="AD144" s="209" t="s">
        <v>133</v>
      </c>
      <c r="AE144" s="209" t="s">
        <v>2476</v>
      </c>
    </row>
    <row r="145" spans="1:31" x14ac:dyDescent="0.55000000000000004">
      <c r="A145" s="209" t="s">
        <v>3691</v>
      </c>
      <c r="B145" s="209" t="s">
        <v>2992</v>
      </c>
      <c r="C145" s="209" t="s">
        <v>2993</v>
      </c>
      <c r="D145" s="209" t="s">
        <v>3692</v>
      </c>
      <c r="E145" s="209" t="s">
        <v>3693</v>
      </c>
      <c r="F145" s="209" t="s">
        <v>3694</v>
      </c>
      <c r="G145" s="209" t="s">
        <v>3695</v>
      </c>
      <c r="H145" s="209" t="s">
        <v>133</v>
      </c>
      <c r="I145" s="209" t="s">
        <v>133</v>
      </c>
      <c r="J145" s="209" t="s">
        <v>3696</v>
      </c>
      <c r="K145" s="209" t="s">
        <v>3697</v>
      </c>
      <c r="L145" s="209" t="s">
        <v>3698</v>
      </c>
      <c r="M145" s="209" t="s">
        <v>3699</v>
      </c>
      <c r="N145" s="209" t="s">
        <v>3700</v>
      </c>
      <c r="O145" s="209" t="s">
        <v>3701</v>
      </c>
      <c r="P145" s="209" t="s">
        <v>2250</v>
      </c>
      <c r="Q145" s="209" t="s">
        <v>2274</v>
      </c>
      <c r="R145" s="209" t="s">
        <v>2373</v>
      </c>
      <c r="S145" s="209" t="s">
        <v>133</v>
      </c>
      <c r="T145" s="209" t="s">
        <v>133</v>
      </c>
      <c r="U145" s="209" t="s">
        <v>133</v>
      </c>
      <c r="V145" s="209" t="s">
        <v>133</v>
      </c>
      <c r="W145" s="209" t="s">
        <v>133</v>
      </c>
      <c r="X145" s="209" t="s">
        <v>133</v>
      </c>
      <c r="Y145" s="209" t="s">
        <v>133</v>
      </c>
      <c r="Z145" s="209" t="s">
        <v>133</v>
      </c>
      <c r="AA145" s="209" t="s">
        <v>133</v>
      </c>
      <c r="AB145" s="209" t="s">
        <v>133</v>
      </c>
      <c r="AC145" s="209" t="s">
        <v>133</v>
      </c>
      <c r="AD145" s="209" t="s">
        <v>133</v>
      </c>
      <c r="AE145" s="209" t="s">
        <v>2553</v>
      </c>
    </row>
    <row r="146" spans="1:31" x14ac:dyDescent="0.55000000000000004">
      <c r="A146" s="209" t="s">
        <v>3702</v>
      </c>
      <c r="B146" s="209" t="s">
        <v>3007</v>
      </c>
      <c r="C146" s="209" t="s">
        <v>3008</v>
      </c>
      <c r="D146" s="209" t="s">
        <v>3703</v>
      </c>
      <c r="E146" s="209" t="s">
        <v>3704</v>
      </c>
      <c r="F146" s="209" t="s">
        <v>3694</v>
      </c>
      <c r="G146" s="209" t="s">
        <v>3695</v>
      </c>
      <c r="H146" s="209" t="s">
        <v>133</v>
      </c>
      <c r="I146" s="209" t="s">
        <v>133</v>
      </c>
      <c r="J146" s="209" t="s">
        <v>3696</v>
      </c>
      <c r="K146" s="209" t="s">
        <v>3705</v>
      </c>
      <c r="L146" s="209" t="s">
        <v>3706</v>
      </c>
      <c r="M146" s="209" t="s">
        <v>3707</v>
      </c>
      <c r="N146" s="209" t="s">
        <v>3700</v>
      </c>
      <c r="O146" s="209" t="s">
        <v>3708</v>
      </c>
      <c r="P146" s="209" t="s">
        <v>2250</v>
      </c>
      <c r="Q146" s="209" t="s">
        <v>2284</v>
      </c>
      <c r="R146" s="209" t="s">
        <v>2373</v>
      </c>
      <c r="S146" s="209" t="s">
        <v>133</v>
      </c>
      <c r="T146" s="209" t="s">
        <v>133</v>
      </c>
      <c r="U146" s="209" t="s">
        <v>133</v>
      </c>
      <c r="V146" s="209" t="s">
        <v>133</v>
      </c>
      <c r="W146" s="209" t="s">
        <v>133</v>
      </c>
      <c r="X146" s="209" t="s">
        <v>133</v>
      </c>
      <c r="Y146" s="209" t="s">
        <v>133</v>
      </c>
      <c r="Z146" s="209" t="s">
        <v>133</v>
      </c>
      <c r="AA146" s="209" t="s">
        <v>133</v>
      </c>
      <c r="AB146" s="209" t="s">
        <v>133</v>
      </c>
      <c r="AC146" s="209" t="s">
        <v>133</v>
      </c>
      <c r="AD146" s="209" t="s">
        <v>133</v>
      </c>
      <c r="AE146" s="209" t="s">
        <v>2553</v>
      </c>
    </row>
    <row r="147" spans="1:31" x14ac:dyDescent="0.55000000000000004">
      <c r="A147" s="209" t="s">
        <v>3709</v>
      </c>
      <c r="B147" s="209" t="s">
        <v>2800</v>
      </c>
      <c r="C147" s="209" t="s">
        <v>2801</v>
      </c>
      <c r="D147" s="209" t="s">
        <v>3710</v>
      </c>
      <c r="E147" s="209" t="s">
        <v>3711</v>
      </c>
      <c r="F147" s="209" t="s">
        <v>3712</v>
      </c>
      <c r="G147" s="209" t="s">
        <v>3713</v>
      </c>
      <c r="H147" s="209" t="s">
        <v>133</v>
      </c>
      <c r="I147" s="209" t="s">
        <v>133</v>
      </c>
      <c r="J147" s="209" t="s">
        <v>3714</v>
      </c>
      <c r="K147" s="209" t="s">
        <v>3715</v>
      </c>
      <c r="L147" s="209" t="s">
        <v>3716</v>
      </c>
      <c r="M147" s="209" t="s">
        <v>3717</v>
      </c>
      <c r="N147" s="209" t="s">
        <v>3718</v>
      </c>
      <c r="O147" s="209" t="s">
        <v>3719</v>
      </c>
      <c r="P147" s="209" t="s">
        <v>2179</v>
      </c>
      <c r="Q147" s="209" t="s">
        <v>2180</v>
      </c>
      <c r="R147" s="209" t="s">
        <v>2373</v>
      </c>
      <c r="S147" s="209" t="s">
        <v>133</v>
      </c>
      <c r="T147" s="209" t="s">
        <v>133</v>
      </c>
      <c r="U147" s="209" t="s">
        <v>133</v>
      </c>
      <c r="V147" s="209" t="s">
        <v>133</v>
      </c>
      <c r="W147" s="209" t="s">
        <v>133</v>
      </c>
      <c r="X147" s="209" t="s">
        <v>133</v>
      </c>
      <c r="Y147" s="209" t="s">
        <v>133</v>
      </c>
      <c r="Z147" s="209" t="s">
        <v>133</v>
      </c>
      <c r="AA147" s="209" t="s">
        <v>133</v>
      </c>
      <c r="AB147" s="209" t="s">
        <v>133</v>
      </c>
      <c r="AC147" s="209" t="s">
        <v>133</v>
      </c>
      <c r="AD147" s="209" t="s">
        <v>133</v>
      </c>
      <c r="AE147" s="209" t="s">
        <v>2571</v>
      </c>
    </row>
    <row r="148" spans="1:31" x14ac:dyDescent="0.55000000000000004">
      <c r="A148" s="209" t="s">
        <v>3720</v>
      </c>
      <c r="B148" s="209" t="s">
        <v>2815</v>
      </c>
      <c r="C148" s="209" t="s">
        <v>2816</v>
      </c>
      <c r="D148" s="209" t="s">
        <v>3721</v>
      </c>
      <c r="E148" s="209" t="s">
        <v>3722</v>
      </c>
      <c r="F148" s="209" t="s">
        <v>3712</v>
      </c>
      <c r="G148" s="209" t="s">
        <v>3713</v>
      </c>
      <c r="H148" s="209" t="s">
        <v>133</v>
      </c>
      <c r="I148" s="209" t="s">
        <v>133</v>
      </c>
      <c r="J148" s="209" t="s">
        <v>3714</v>
      </c>
      <c r="K148" s="209" t="s">
        <v>3723</v>
      </c>
      <c r="L148" s="209" t="s">
        <v>3724</v>
      </c>
      <c r="M148" s="209" t="s">
        <v>3725</v>
      </c>
      <c r="N148" s="209" t="s">
        <v>3718</v>
      </c>
      <c r="O148" s="209" t="s">
        <v>3726</v>
      </c>
      <c r="P148" s="209" t="s">
        <v>2179</v>
      </c>
      <c r="Q148" s="209" t="s">
        <v>2179</v>
      </c>
      <c r="R148" s="209" t="s">
        <v>2373</v>
      </c>
      <c r="S148" s="209" t="s">
        <v>133</v>
      </c>
      <c r="T148" s="209" t="s">
        <v>133</v>
      </c>
      <c r="U148" s="209" t="s">
        <v>133</v>
      </c>
      <c r="V148" s="209" t="s">
        <v>133</v>
      </c>
      <c r="W148" s="209" t="s">
        <v>133</v>
      </c>
      <c r="X148" s="209" t="s">
        <v>133</v>
      </c>
      <c r="Y148" s="209" t="s">
        <v>133</v>
      </c>
      <c r="Z148" s="209" t="s">
        <v>133</v>
      </c>
      <c r="AA148" s="209" t="s">
        <v>133</v>
      </c>
      <c r="AB148" s="209" t="s">
        <v>133</v>
      </c>
      <c r="AC148" s="209" t="s">
        <v>133</v>
      </c>
      <c r="AD148" s="209" t="s">
        <v>133</v>
      </c>
      <c r="AE148" s="209" t="s">
        <v>2571</v>
      </c>
    </row>
    <row r="149" spans="1:31" x14ac:dyDescent="0.55000000000000004">
      <c r="A149" s="209" t="s">
        <v>3727</v>
      </c>
      <c r="B149" s="209" t="s">
        <v>3728</v>
      </c>
      <c r="C149" s="209" t="s">
        <v>3729</v>
      </c>
      <c r="D149" s="209" t="s">
        <v>3730</v>
      </c>
      <c r="E149" s="209" t="s">
        <v>3731</v>
      </c>
      <c r="F149" s="209" t="s">
        <v>2804</v>
      </c>
      <c r="G149" s="209" t="s">
        <v>2805</v>
      </c>
      <c r="H149" s="209" t="s">
        <v>133</v>
      </c>
      <c r="I149" s="209" t="s">
        <v>133</v>
      </c>
      <c r="J149" s="209" t="s">
        <v>3732</v>
      </c>
      <c r="K149" s="209" t="s">
        <v>3733</v>
      </c>
      <c r="L149" s="209" t="s">
        <v>3734</v>
      </c>
      <c r="M149" s="209" t="s">
        <v>3735</v>
      </c>
      <c r="N149" s="209" t="s">
        <v>3736</v>
      </c>
      <c r="O149" s="209" t="s">
        <v>3737</v>
      </c>
      <c r="P149" s="209" t="s">
        <v>2179</v>
      </c>
      <c r="Q149" s="209" t="s">
        <v>2180</v>
      </c>
      <c r="R149" s="209" t="s">
        <v>2181</v>
      </c>
      <c r="S149" s="209" t="s">
        <v>133</v>
      </c>
      <c r="T149" s="209" t="s">
        <v>133</v>
      </c>
      <c r="U149" s="209" t="s">
        <v>133</v>
      </c>
      <c r="V149" s="209" t="s">
        <v>133</v>
      </c>
      <c r="W149" s="209" t="s">
        <v>133</v>
      </c>
      <c r="X149" s="209" t="s">
        <v>133</v>
      </c>
      <c r="Y149" s="209" t="s">
        <v>133</v>
      </c>
      <c r="Z149" s="209" t="s">
        <v>2812</v>
      </c>
      <c r="AA149" s="209" t="s">
        <v>133</v>
      </c>
      <c r="AB149" s="209" t="s">
        <v>133</v>
      </c>
      <c r="AC149" s="209" t="s">
        <v>133</v>
      </c>
      <c r="AD149" s="209" t="s">
        <v>133</v>
      </c>
      <c r="AE149" s="209" t="s">
        <v>2813</v>
      </c>
    </row>
    <row r="150" spans="1:31" x14ac:dyDescent="0.55000000000000004">
      <c r="A150" s="209" t="s">
        <v>3738</v>
      </c>
      <c r="B150" s="209" t="s">
        <v>3739</v>
      </c>
      <c r="C150" s="209" t="s">
        <v>3740</v>
      </c>
      <c r="D150" s="209" t="s">
        <v>3741</v>
      </c>
      <c r="E150" s="209" t="s">
        <v>3742</v>
      </c>
      <c r="F150" s="209" t="s">
        <v>2804</v>
      </c>
      <c r="G150" s="209" t="s">
        <v>2805</v>
      </c>
      <c r="H150" s="209" t="s">
        <v>133</v>
      </c>
      <c r="I150" s="209" t="s">
        <v>133</v>
      </c>
      <c r="J150" s="209" t="s">
        <v>3732</v>
      </c>
      <c r="K150" s="209" t="s">
        <v>3743</v>
      </c>
      <c r="L150" s="209" t="s">
        <v>3744</v>
      </c>
      <c r="M150" s="209" t="s">
        <v>3745</v>
      </c>
      <c r="N150" s="209" t="s">
        <v>3736</v>
      </c>
      <c r="O150" s="209" t="s">
        <v>3746</v>
      </c>
      <c r="P150" s="209" t="s">
        <v>2179</v>
      </c>
      <c r="Q150" s="209" t="s">
        <v>2179</v>
      </c>
      <c r="R150" s="209" t="s">
        <v>2181</v>
      </c>
      <c r="S150" s="209" t="s">
        <v>133</v>
      </c>
      <c r="T150" s="209" t="s">
        <v>133</v>
      </c>
      <c r="U150" s="209" t="s">
        <v>133</v>
      </c>
      <c r="V150" s="209" t="s">
        <v>133</v>
      </c>
      <c r="W150" s="209" t="s">
        <v>133</v>
      </c>
      <c r="X150" s="209" t="s">
        <v>133</v>
      </c>
      <c r="Y150" s="209" t="s">
        <v>133</v>
      </c>
      <c r="Z150" s="209" t="s">
        <v>2812</v>
      </c>
      <c r="AA150" s="209" t="s">
        <v>133</v>
      </c>
      <c r="AB150" s="209" t="s">
        <v>133</v>
      </c>
      <c r="AC150" s="209" t="s">
        <v>133</v>
      </c>
      <c r="AD150" s="209" t="s">
        <v>133</v>
      </c>
      <c r="AE150" s="209" t="s">
        <v>2813</v>
      </c>
    </row>
    <row r="151" spans="1:31" x14ac:dyDescent="0.55000000000000004">
      <c r="A151" s="209" t="s">
        <v>3747</v>
      </c>
      <c r="B151" s="209" t="s">
        <v>3748</v>
      </c>
      <c r="C151" s="209" t="s">
        <v>3749</v>
      </c>
      <c r="D151" s="209" t="s">
        <v>3750</v>
      </c>
      <c r="E151" s="209" t="s">
        <v>3751</v>
      </c>
      <c r="F151" s="209" t="s">
        <v>2828</v>
      </c>
      <c r="G151" s="209" t="s">
        <v>2829</v>
      </c>
      <c r="H151" s="209" t="s">
        <v>133</v>
      </c>
      <c r="I151" s="209" t="s">
        <v>133</v>
      </c>
      <c r="J151" s="209" t="s">
        <v>3752</v>
      </c>
      <c r="K151" s="209" t="s">
        <v>3753</v>
      </c>
      <c r="L151" s="209" t="s">
        <v>3754</v>
      </c>
      <c r="M151" s="209" t="s">
        <v>3755</v>
      </c>
      <c r="N151" s="209" t="s">
        <v>3756</v>
      </c>
      <c r="O151" s="209" t="s">
        <v>3757</v>
      </c>
      <c r="P151" s="209" t="s">
        <v>2226</v>
      </c>
      <c r="Q151" s="209" t="s">
        <v>2226</v>
      </c>
      <c r="R151" s="209" t="s">
        <v>2181</v>
      </c>
      <c r="S151" s="209" t="s">
        <v>133</v>
      </c>
      <c r="T151" s="209" t="s">
        <v>133</v>
      </c>
      <c r="U151" s="209" t="s">
        <v>133</v>
      </c>
      <c r="V151" s="209" t="s">
        <v>133</v>
      </c>
      <c r="W151" s="209" t="s">
        <v>133</v>
      </c>
      <c r="X151" s="209" t="s">
        <v>133</v>
      </c>
      <c r="Y151" s="209" t="s">
        <v>133</v>
      </c>
      <c r="Z151" s="209" t="s">
        <v>2836</v>
      </c>
      <c r="AA151" s="209" t="s">
        <v>133</v>
      </c>
      <c r="AB151" s="209" t="s">
        <v>133</v>
      </c>
      <c r="AC151" s="209" t="s">
        <v>133</v>
      </c>
      <c r="AD151" s="209" t="s">
        <v>133</v>
      </c>
      <c r="AE151" s="209" t="s">
        <v>2837</v>
      </c>
    </row>
    <row r="152" spans="1:31" x14ac:dyDescent="0.55000000000000004">
      <c r="A152" s="209" t="s">
        <v>3758</v>
      </c>
      <c r="B152" s="209" t="s">
        <v>3759</v>
      </c>
      <c r="C152" s="209" t="s">
        <v>3760</v>
      </c>
      <c r="D152" s="209" t="s">
        <v>3761</v>
      </c>
      <c r="E152" s="209" t="s">
        <v>3762</v>
      </c>
      <c r="F152" s="209" t="s">
        <v>2828</v>
      </c>
      <c r="G152" s="209" t="s">
        <v>2829</v>
      </c>
      <c r="H152" s="209" t="s">
        <v>133</v>
      </c>
      <c r="I152" s="209" t="s">
        <v>133</v>
      </c>
      <c r="J152" s="209" t="s">
        <v>3752</v>
      </c>
      <c r="K152" s="209" t="s">
        <v>3763</v>
      </c>
      <c r="L152" s="209" t="s">
        <v>3764</v>
      </c>
      <c r="M152" s="209" t="s">
        <v>3765</v>
      </c>
      <c r="N152" s="209" t="s">
        <v>3756</v>
      </c>
      <c r="O152" s="209" t="s">
        <v>3766</v>
      </c>
      <c r="P152" s="209" t="s">
        <v>2226</v>
      </c>
      <c r="Q152" s="209" t="s">
        <v>2236</v>
      </c>
      <c r="R152" s="209" t="s">
        <v>2181</v>
      </c>
      <c r="S152" s="209" t="s">
        <v>133</v>
      </c>
      <c r="T152" s="209" t="s">
        <v>133</v>
      </c>
      <c r="U152" s="209" t="s">
        <v>133</v>
      </c>
      <c r="V152" s="209" t="s">
        <v>133</v>
      </c>
      <c r="W152" s="209" t="s">
        <v>133</v>
      </c>
      <c r="X152" s="209" t="s">
        <v>133</v>
      </c>
      <c r="Y152" s="209" t="s">
        <v>133</v>
      </c>
      <c r="Z152" s="209" t="s">
        <v>2836</v>
      </c>
      <c r="AA152" s="209" t="s">
        <v>133</v>
      </c>
      <c r="AB152" s="209" t="s">
        <v>133</v>
      </c>
      <c r="AC152" s="209" t="s">
        <v>133</v>
      </c>
      <c r="AD152" s="209" t="s">
        <v>133</v>
      </c>
      <c r="AE152" s="209" t="s">
        <v>2837</v>
      </c>
    </row>
    <row r="153" spans="1:31" x14ac:dyDescent="0.55000000000000004">
      <c r="A153" s="209" t="s">
        <v>3767</v>
      </c>
      <c r="B153" s="209" t="s">
        <v>3768</v>
      </c>
      <c r="C153" s="209" t="s">
        <v>3769</v>
      </c>
      <c r="D153" s="209" t="s">
        <v>3770</v>
      </c>
      <c r="E153" s="209" t="s">
        <v>3771</v>
      </c>
      <c r="F153" s="209" t="s">
        <v>2852</v>
      </c>
      <c r="G153" s="209" t="s">
        <v>2853</v>
      </c>
      <c r="H153" s="209" t="s">
        <v>133</v>
      </c>
      <c r="I153" s="209" t="s">
        <v>133</v>
      </c>
      <c r="J153" s="209" t="s">
        <v>3772</v>
      </c>
      <c r="K153" s="209" t="s">
        <v>3773</v>
      </c>
      <c r="L153" s="209" t="s">
        <v>3774</v>
      </c>
      <c r="M153" s="209" t="s">
        <v>3775</v>
      </c>
      <c r="N153" s="209" t="s">
        <v>3776</v>
      </c>
      <c r="O153" s="209" t="s">
        <v>3777</v>
      </c>
      <c r="P153" s="209" t="s">
        <v>2236</v>
      </c>
      <c r="Q153" s="209" t="s">
        <v>2250</v>
      </c>
      <c r="R153" s="209" t="s">
        <v>2181</v>
      </c>
      <c r="S153" s="209" t="s">
        <v>133</v>
      </c>
      <c r="T153" s="209" t="s">
        <v>133</v>
      </c>
      <c r="U153" s="209" t="s">
        <v>133</v>
      </c>
      <c r="V153" s="209" t="s">
        <v>133</v>
      </c>
      <c r="W153" s="209" t="s">
        <v>133</v>
      </c>
      <c r="X153" s="209" t="s">
        <v>133</v>
      </c>
      <c r="Y153" s="209" t="s">
        <v>133</v>
      </c>
      <c r="Z153" s="209" t="s">
        <v>2860</v>
      </c>
      <c r="AA153" s="209" t="s">
        <v>133</v>
      </c>
      <c r="AB153" s="209" t="s">
        <v>133</v>
      </c>
      <c r="AC153" s="209" t="s">
        <v>133</v>
      </c>
      <c r="AD153" s="209" t="s">
        <v>133</v>
      </c>
      <c r="AE153" s="209" t="s">
        <v>2861</v>
      </c>
    </row>
    <row r="154" spans="1:31" x14ac:dyDescent="0.55000000000000004">
      <c r="A154" s="209" t="s">
        <v>3778</v>
      </c>
      <c r="B154" s="209" t="s">
        <v>3779</v>
      </c>
      <c r="C154" s="209" t="s">
        <v>3780</v>
      </c>
      <c r="D154" s="209" t="s">
        <v>3781</v>
      </c>
      <c r="E154" s="209" t="s">
        <v>3782</v>
      </c>
      <c r="F154" s="209" t="s">
        <v>2852</v>
      </c>
      <c r="G154" s="209" t="s">
        <v>2853</v>
      </c>
      <c r="H154" s="209" t="s">
        <v>133</v>
      </c>
      <c r="I154" s="209" t="s">
        <v>133</v>
      </c>
      <c r="J154" s="209" t="s">
        <v>3772</v>
      </c>
      <c r="K154" s="209" t="s">
        <v>3783</v>
      </c>
      <c r="L154" s="209" t="s">
        <v>3784</v>
      </c>
      <c r="M154" s="209" t="s">
        <v>3785</v>
      </c>
      <c r="N154" s="209" t="s">
        <v>3776</v>
      </c>
      <c r="O154" s="209" t="s">
        <v>3786</v>
      </c>
      <c r="P154" s="209" t="s">
        <v>2236</v>
      </c>
      <c r="Q154" s="209" t="s">
        <v>2260</v>
      </c>
      <c r="R154" s="209" t="s">
        <v>2181</v>
      </c>
      <c r="S154" s="209" t="s">
        <v>133</v>
      </c>
      <c r="T154" s="209" t="s">
        <v>133</v>
      </c>
      <c r="U154" s="209" t="s">
        <v>133</v>
      </c>
      <c r="V154" s="209" t="s">
        <v>133</v>
      </c>
      <c r="W154" s="209" t="s">
        <v>133</v>
      </c>
      <c r="X154" s="209" t="s">
        <v>133</v>
      </c>
      <c r="Y154" s="209" t="s">
        <v>133</v>
      </c>
      <c r="Z154" s="209" t="s">
        <v>2860</v>
      </c>
      <c r="AA154" s="209" t="s">
        <v>133</v>
      </c>
      <c r="AB154" s="209" t="s">
        <v>133</v>
      </c>
      <c r="AC154" s="209" t="s">
        <v>133</v>
      </c>
      <c r="AD154" s="209" t="s">
        <v>133</v>
      </c>
      <c r="AE154" s="209" t="s">
        <v>2861</v>
      </c>
    </row>
    <row r="155" spans="1:31" x14ac:dyDescent="0.55000000000000004">
      <c r="A155" s="209" t="s">
        <v>3787</v>
      </c>
      <c r="B155" s="209" t="s">
        <v>3788</v>
      </c>
      <c r="C155" s="209" t="s">
        <v>3789</v>
      </c>
      <c r="D155" s="209" t="s">
        <v>3790</v>
      </c>
      <c r="E155" s="209" t="s">
        <v>3791</v>
      </c>
      <c r="F155" s="209" t="s">
        <v>2876</v>
      </c>
      <c r="G155" s="209" t="s">
        <v>2877</v>
      </c>
      <c r="H155" s="209" t="s">
        <v>133</v>
      </c>
      <c r="I155" s="209" t="s">
        <v>133</v>
      </c>
      <c r="J155" s="209" t="s">
        <v>3792</v>
      </c>
      <c r="K155" s="209" t="s">
        <v>3793</v>
      </c>
      <c r="L155" s="209" t="s">
        <v>3794</v>
      </c>
      <c r="M155" s="209" t="s">
        <v>3795</v>
      </c>
      <c r="N155" s="209" t="s">
        <v>3796</v>
      </c>
      <c r="O155" s="209" t="s">
        <v>3797</v>
      </c>
      <c r="P155" s="209" t="s">
        <v>2250</v>
      </c>
      <c r="Q155" s="209" t="s">
        <v>2274</v>
      </c>
      <c r="R155" s="209" t="s">
        <v>2181</v>
      </c>
      <c r="S155" s="209" t="s">
        <v>133</v>
      </c>
      <c r="T155" s="209" t="s">
        <v>133</v>
      </c>
      <c r="U155" s="209" t="s">
        <v>133</v>
      </c>
      <c r="V155" s="209" t="s">
        <v>133</v>
      </c>
      <c r="W155" s="209" t="s">
        <v>133</v>
      </c>
      <c r="X155" s="209" t="s">
        <v>133</v>
      </c>
      <c r="Y155" s="209" t="s">
        <v>133</v>
      </c>
      <c r="Z155" s="209" t="s">
        <v>2884</v>
      </c>
      <c r="AA155" s="209" t="s">
        <v>133</v>
      </c>
      <c r="AB155" s="209" t="s">
        <v>133</v>
      </c>
      <c r="AC155" s="209" t="s">
        <v>133</v>
      </c>
      <c r="AD155" s="209" t="s">
        <v>133</v>
      </c>
      <c r="AE155" s="209" t="s">
        <v>2885</v>
      </c>
    </row>
    <row r="156" spans="1:31" x14ac:dyDescent="0.55000000000000004">
      <c r="A156" s="209" t="s">
        <v>3798</v>
      </c>
      <c r="B156" s="209" t="s">
        <v>3799</v>
      </c>
      <c r="C156" s="209" t="s">
        <v>3800</v>
      </c>
      <c r="D156" s="209" t="s">
        <v>3801</v>
      </c>
      <c r="E156" s="209" t="s">
        <v>3802</v>
      </c>
      <c r="F156" s="209" t="s">
        <v>2876</v>
      </c>
      <c r="G156" s="209" t="s">
        <v>2877</v>
      </c>
      <c r="H156" s="209" t="s">
        <v>133</v>
      </c>
      <c r="I156" s="209" t="s">
        <v>133</v>
      </c>
      <c r="J156" s="209" t="s">
        <v>3792</v>
      </c>
      <c r="K156" s="209" t="s">
        <v>3803</v>
      </c>
      <c r="L156" s="209" t="s">
        <v>3804</v>
      </c>
      <c r="M156" s="209" t="s">
        <v>3805</v>
      </c>
      <c r="N156" s="209" t="s">
        <v>3796</v>
      </c>
      <c r="O156" s="209" t="s">
        <v>3806</v>
      </c>
      <c r="P156" s="209" t="s">
        <v>2250</v>
      </c>
      <c r="Q156" s="209" t="s">
        <v>2284</v>
      </c>
      <c r="R156" s="209" t="s">
        <v>2181</v>
      </c>
      <c r="S156" s="209" t="s">
        <v>133</v>
      </c>
      <c r="T156" s="209" t="s">
        <v>133</v>
      </c>
      <c r="U156" s="209" t="s">
        <v>133</v>
      </c>
      <c r="V156" s="209" t="s">
        <v>133</v>
      </c>
      <c r="W156" s="209" t="s">
        <v>133</v>
      </c>
      <c r="X156" s="209" t="s">
        <v>133</v>
      </c>
      <c r="Y156" s="209" t="s">
        <v>133</v>
      </c>
      <c r="Z156" s="209" t="s">
        <v>2884</v>
      </c>
      <c r="AA156" s="209" t="s">
        <v>133</v>
      </c>
      <c r="AB156" s="209" t="s">
        <v>133</v>
      </c>
      <c r="AC156" s="209" t="s">
        <v>133</v>
      </c>
      <c r="AD156" s="209" t="s">
        <v>133</v>
      </c>
      <c r="AE156" s="209" t="s">
        <v>2885</v>
      </c>
    </row>
    <row r="157" spans="1:31" x14ac:dyDescent="0.55000000000000004">
      <c r="A157" s="209" t="s">
        <v>3807</v>
      </c>
      <c r="B157" s="209" t="s">
        <v>3808</v>
      </c>
      <c r="C157" s="209" t="s">
        <v>3809</v>
      </c>
      <c r="D157" s="209" t="s">
        <v>3810</v>
      </c>
      <c r="E157" s="209" t="s">
        <v>3811</v>
      </c>
      <c r="F157" s="209" t="s">
        <v>2900</v>
      </c>
      <c r="G157" s="209" t="s">
        <v>2901</v>
      </c>
      <c r="H157" s="209" t="s">
        <v>133</v>
      </c>
      <c r="I157" s="209" t="s">
        <v>133</v>
      </c>
      <c r="J157" s="209" t="s">
        <v>3812</v>
      </c>
      <c r="K157" s="209" t="s">
        <v>3813</v>
      </c>
      <c r="L157" s="209" t="s">
        <v>3814</v>
      </c>
      <c r="M157" s="209" t="s">
        <v>3815</v>
      </c>
      <c r="N157" s="209" t="s">
        <v>3816</v>
      </c>
      <c r="O157" s="209" t="s">
        <v>3817</v>
      </c>
      <c r="P157" s="209" t="s">
        <v>2260</v>
      </c>
      <c r="Q157" s="209" t="s">
        <v>2298</v>
      </c>
      <c r="R157" s="209" t="s">
        <v>2181</v>
      </c>
      <c r="S157" s="209" t="s">
        <v>133</v>
      </c>
      <c r="T157" s="209" t="s">
        <v>133</v>
      </c>
      <c r="U157" s="209" t="s">
        <v>133</v>
      </c>
      <c r="V157" s="209" t="s">
        <v>133</v>
      </c>
      <c r="W157" s="209" t="s">
        <v>133</v>
      </c>
      <c r="X157" s="209" t="s">
        <v>133</v>
      </c>
      <c r="Y157" s="209" t="s">
        <v>133</v>
      </c>
      <c r="Z157" s="209" t="s">
        <v>2908</v>
      </c>
      <c r="AA157" s="209" t="s">
        <v>133</v>
      </c>
      <c r="AB157" s="209" t="s">
        <v>133</v>
      </c>
      <c r="AC157" s="209" t="s">
        <v>133</v>
      </c>
      <c r="AD157" s="209" t="s">
        <v>133</v>
      </c>
      <c r="AE157" s="209" t="s">
        <v>2909</v>
      </c>
    </row>
    <row r="158" spans="1:31" x14ac:dyDescent="0.55000000000000004">
      <c r="A158" s="209" t="s">
        <v>3818</v>
      </c>
      <c r="B158" s="209" t="s">
        <v>3819</v>
      </c>
      <c r="C158" s="209" t="s">
        <v>3820</v>
      </c>
      <c r="D158" s="209" t="s">
        <v>3821</v>
      </c>
      <c r="E158" s="209" t="s">
        <v>3822</v>
      </c>
      <c r="F158" s="209" t="s">
        <v>2900</v>
      </c>
      <c r="G158" s="209" t="s">
        <v>2901</v>
      </c>
      <c r="H158" s="209" t="s">
        <v>133</v>
      </c>
      <c r="I158" s="209" t="s">
        <v>133</v>
      </c>
      <c r="J158" s="209" t="s">
        <v>3812</v>
      </c>
      <c r="K158" s="209" t="s">
        <v>3823</v>
      </c>
      <c r="L158" s="209" t="s">
        <v>3824</v>
      </c>
      <c r="M158" s="209" t="s">
        <v>3825</v>
      </c>
      <c r="N158" s="209" t="s">
        <v>3816</v>
      </c>
      <c r="O158" s="209" t="s">
        <v>3826</v>
      </c>
      <c r="P158" s="209" t="s">
        <v>2260</v>
      </c>
      <c r="Q158" s="209" t="s">
        <v>2309</v>
      </c>
      <c r="R158" s="209" t="s">
        <v>2181</v>
      </c>
      <c r="S158" s="209" t="s">
        <v>133</v>
      </c>
      <c r="T158" s="209" t="s">
        <v>133</v>
      </c>
      <c r="U158" s="209" t="s">
        <v>133</v>
      </c>
      <c r="V158" s="209" t="s">
        <v>133</v>
      </c>
      <c r="W158" s="209" t="s">
        <v>133</v>
      </c>
      <c r="X158" s="209" t="s">
        <v>133</v>
      </c>
      <c r="Y158" s="209" t="s">
        <v>133</v>
      </c>
      <c r="Z158" s="209" t="s">
        <v>2908</v>
      </c>
      <c r="AA158" s="209" t="s">
        <v>133</v>
      </c>
      <c r="AB158" s="209" t="s">
        <v>133</v>
      </c>
      <c r="AC158" s="209" t="s">
        <v>133</v>
      </c>
      <c r="AD158" s="209" t="s">
        <v>133</v>
      </c>
      <c r="AE158" s="209" t="s">
        <v>2909</v>
      </c>
    </row>
    <row r="159" spans="1:31" x14ac:dyDescent="0.55000000000000004">
      <c r="A159" s="209" t="s">
        <v>3827</v>
      </c>
      <c r="B159" s="209" t="s">
        <v>2920</v>
      </c>
      <c r="C159" s="209" t="s">
        <v>2921</v>
      </c>
      <c r="D159" s="209" t="s">
        <v>3638</v>
      </c>
      <c r="E159" s="209" t="s">
        <v>3639</v>
      </c>
      <c r="F159" s="209" t="s">
        <v>2924</v>
      </c>
      <c r="G159" s="209" t="s">
        <v>2925</v>
      </c>
      <c r="H159" s="209" t="s">
        <v>133</v>
      </c>
      <c r="I159" s="209" t="s">
        <v>133</v>
      </c>
      <c r="J159" s="209" t="s">
        <v>3828</v>
      </c>
      <c r="K159" s="209" t="s">
        <v>3829</v>
      </c>
      <c r="L159" s="209" t="s">
        <v>3830</v>
      </c>
      <c r="M159" s="209" t="s">
        <v>3831</v>
      </c>
      <c r="N159" s="209" t="s">
        <v>3832</v>
      </c>
      <c r="O159" s="209" t="s">
        <v>3649</v>
      </c>
      <c r="P159" s="209" t="s">
        <v>2179</v>
      </c>
      <c r="Q159" s="209" t="s">
        <v>2180</v>
      </c>
      <c r="R159" s="209" t="s">
        <v>2181</v>
      </c>
      <c r="S159" s="209" t="s">
        <v>133</v>
      </c>
      <c r="T159" s="209" t="s">
        <v>133</v>
      </c>
      <c r="U159" s="209" t="s">
        <v>133</v>
      </c>
      <c r="V159" s="209" t="s">
        <v>133</v>
      </c>
      <c r="W159" s="209" t="s">
        <v>133</v>
      </c>
      <c r="X159" s="209" t="s">
        <v>133</v>
      </c>
      <c r="Y159" s="209" t="s">
        <v>133</v>
      </c>
      <c r="Z159" s="209" t="s">
        <v>2932</v>
      </c>
      <c r="AA159" s="209" t="s">
        <v>133</v>
      </c>
      <c r="AB159" s="209" t="s">
        <v>133</v>
      </c>
      <c r="AC159" s="209" t="s">
        <v>133</v>
      </c>
      <c r="AD159" s="209" t="s">
        <v>133</v>
      </c>
      <c r="AE159" s="209" t="s">
        <v>2933</v>
      </c>
    </row>
    <row r="160" spans="1:31" x14ac:dyDescent="0.55000000000000004">
      <c r="A160" s="209" t="s">
        <v>3833</v>
      </c>
      <c r="B160" s="209" t="s">
        <v>2935</v>
      </c>
      <c r="C160" s="209" t="s">
        <v>2936</v>
      </c>
      <c r="D160" s="209" t="s">
        <v>3651</v>
      </c>
      <c r="E160" s="209" t="s">
        <v>3652</v>
      </c>
      <c r="F160" s="209" t="s">
        <v>2924</v>
      </c>
      <c r="G160" s="209" t="s">
        <v>2925</v>
      </c>
      <c r="H160" s="209" t="s">
        <v>133</v>
      </c>
      <c r="I160" s="209" t="s">
        <v>133</v>
      </c>
      <c r="J160" s="209" t="s">
        <v>3828</v>
      </c>
      <c r="K160" s="209" t="s">
        <v>3834</v>
      </c>
      <c r="L160" s="209" t="s">
        <v>3835</v>
      </c>
      <c r="M160" s="209" t="s">
        <v>3836</v>
      </c>
      <c r="N160" s="209" t="s">
        <v>3832</v>
      </c>
      <c r="O160" s="209" t="s">
        <v>3658</v>
      </c>
      <c r="P160" s="209" t="s">
        <v>2179</v>
      </c>
      <c r="Q160" s="209" t="s">
        <v>2179</v>
      </c>
      <c r="R160" s="209" t="s">
        <v>2181</v>
      </c>
      <c r="S160" s="209" t="s">
        <v>133</v>
      </c>
      <c r="T160" s="209" t="s">
        <v>133</v>
      </c>
      <c r="U160" s="209" t="s">
        <v>133</v>
      </c>
      <c r="V160" s="209" t="s">
        <v>133</v>
      </c>
      <c r="W160" s="209" t="s">
        <v>133</v>
      </c>
      <c r="X160" s="209" t="s">
        <v>133</v>
      </c>
      <c r="Y160" s="209" t="s">
        <v>133</v>
      </c>
      <c r="Z160" s="209" t="s">
        <v>2932</v>
      </c>
      <c r="AA160" s="209" t="s">
        <v>133</v>
      </c>
      <c r="AB160" s="209" t="s">
        <v>133</v>
      </c>
      <c r="AC160" s="209" t="s">
        <v>133</v>
      </c>
      <c r="AD160" s="209" t="s">
        <v>133</v>
      </c>
      <c r="AE160" s="209" t="s">
        <v>2933</v>
      </c>
    </row>
    <row r="161" spans="1:31" x14ac:dyDescent="0.55000000000000004">
      <c r="A161" s="209" t="s">
        <v>3837</v>
      </c>
      <c r="B161" s="209" t="s">
        <v>2944</v>
      </c>
      <c r="C161" s="209" t="s">
        <v>2945</v>
      </c>
      <c r="D161" s="209" t="s">
        <v>3598</v>
      </c>
      <c r="E161" s="209" t="s">
        <v>3599</v>
      </c>
      <c r="F161" s="209" t="s">
        <v>2948</v>
      </c>
      <c r="G161" s="209" t="s">
        <v>2949</v>
      </c>
      <c r="H161" s="209" t="s">
        <v>133</v>
      </c>
      <c r="I161" s="209" t="s">
        <v>133</v>
      </c>
      <c r="J161" s="209" t="s">
        <v>3838</v>
      </c>
      <c r="K161" s="209" t="s">
        <v>3839</v>
      </c>
      <c r="L161" s="209" t="s">
        <v>3840</v>
      </c>
      <c r="M161" s="209" t="s">
        <v>3841</v>
      </c>
      <c r="N161" s="209" t="s">
        <v>3842</v>
      </c>
      <c r="O161" s="209" t="s">
        <v>3607</v>
      </c>
      <c r="P161" s="209" t="s">
        <v>2226</v>
      </c>
      <c r="Q161" s="209" t="s">
        <v>2226</v>
      </c>
      <c r="R161" s="209" t="s">
        <v>2181</v>
      </c>
      <c r="S161" s="209" t="s">
        <v>133</v>
      </c>
      <c r="T161" s="209" t="s">
        <v>133</v>
      </c>
      <c r="U161" s="209" t="s">
        <v>133</v>
      </c>
      <c r="V161" s="209" t="s">
        <v>133</v>
      </c>
      <c r="W161" s="209" t="s">
        <v>133</v>
      </c>
      <c r="X161" s="209" t="s">
        <v>133</v>
      </c>
      <c r="Y161" s="209" t="s">
        <v>133</v>
      </c>
      <c r="Z161" s="209" t="s">
        <v>2956</v>
      </c>
      <c r="AA161" s="209" t="s">
        <v>133</v>
      </c>
      <c r="AB161" s="209" t="s">
        <v>133</v>
      </c>
      <c r="AC161" s="209" t="s">
        <v>133</v>
      </c>
      <c r="AD161" s="209" t="s">
        <v>133</v>
      </c>
      <c r="AE161" s="209" t="s">
        <v>2957</v>
      </c>
    </row>
    <row r="162" spans="1:31" x14ac:dyDescent="0.55000000000000004">
      <c r="A162" s="209" t="s">
        <v>3843</v>
      </c>
      <c r="B162" s="209" t="s">
        <v>2959</v>
      </c>
      <c r="C162" s="209" t="s">
        <v>2960</v>
      </c>
      <c r="D162" s="209" t="s">
        <v>3611</v>
      </c>
      <c r="E162" s="209" t="s">
        <v>3612</v>
      </c>
      <c r="F162" s="209" t="s">
        <v>2948</v>
      </c>
      <c r="G162" s="209" t="s">
        <v>2949</v>
      </c>
      <c r="H162" s="209" t="s">
        <v>133</v>
      </c>
      <c r="I162" s="209" t="s">
        <v>133</v>
      </c>
      <c r="J162" s="209" t="s">
        <v>3838</v>
      </c>
      <c r="K162" s="209" t="s">
        <v>3844</v>
      </c>
      <c r="L162" s="209" t="s">
        <v>3845</v>
      </c>
      <c r="M162" s="209" t="s">
        <v>3846</v>
      </c>
      <c r="N162" s="209" t="s">
        <v>3842</v>
      </c>
      <c r="O162" s="209" t="s">
        <v>3616</v>
      </c>
      <c r="P162" s="209" t="s">
        <v>2226</v>
      </c>
      <c r="Q162" s="209" t="s">
        <v>2236</v>
      </c>
      <c r="R162" s="209" t="s">
        <v>2181</v>
      </c>
      <c r="S162" s="209" t="s">
        <v>133</v>
      </c>
      <c r="T162" s="209" t="s">
        <v>133</v>
      </c>
      <c r="U162" s="209" t="s">
        <v>133</v>
      </c>
      <c r="V162" s="209" t="s">
        <v>133</v>
      </c>
      <c r="W162" s="209" t="s">
        <v>133</v>
      </c>
      <c r="X162" s="209" t="s">
        <v>133</v>
      </c>
      <c r="Y162" s="209" t="s">
        <v>133</v>
      </c>
      <c r="Z162" s="209" t="s">
        <v>2956</v>
      </c>
      <c r="AA162" s="209" t="s">
        <v>133</v>
      </c>
      <c r="AB162" s="209" t="s">
        <v>133</v>
      </c>
      <c r="AC162" s="209" t="s">
        <v>133</v>
      </c>
      <c r="AD162" s="209" t="s">
        <v>133</v>
      </c>
      <c r="AE162" s="209" t="s">
        <v>2957</v>
      </c>
    </row>
    <row r="163" spans="1:31" x14ac:dyDescent="0.55000000000000004">
      <c r="A163" s="209" t="s">
        <v>3847</v>
      </c>
      <c r="B163" s="209" t="s">
        <v>2968</v>
      </c>
      <c r="C163" s="209" t="s">
        <v>2969</v>
      </c>
      <c r="D163" s="209" t="s">
        <v>3618</v>
      </c>
      <c r="E163" s="209" t="s">
        <v>3619</v>
      </c>
      <c r="F163" s="209" t="s">
        <v>2972</v>
      </c>
      <c r="G163" s="209" t="s">
        <v>2973</v>
      </c>
      <c r="H163" s="209" t="s">
        <v>133</v>
      </c>
      <c r="I163" s="209" t="s">
        <v>133</v>
      </c>
      <c r="J163" s="209" t="s">
        <v>3848</v>
      </c>
      <c r="K163" s="209" t="s">
        <v>3849</v>
      </c>
      <c r="L163" s="209" t="s">
        <v>3850</v>
      </c>
      <c r="M163" s="209" t="s">
        <v>3851</v>
      </c>
      <c r="N163" s="209" t="s">
        <v>3852</v>
      </c>
      <c r="O163" s="209" t="s">
        <v>3627</v>
      </c>
      <c r="P163" s="209" t="s">
        <v>2236</v>
      </c>
      <c r="Q163" s="209" t="s">
        <v>2250</v>
      </c>
      <c r="R163" s="209" t="s">
        <v>2181</v>
      </c>
      <c r="S163" s="209" t="s">
        <v>133</v>
      </c>
      <c r="T163" s="209" t="s">
        <v>133</v>
      </c>
      <c r="U163" s="209" t="s">
        <v>133</v>
      </c>
      <c r="V163" s="209" t="s">
        <v>133</v>
      </c>
      <c r="W163" s="209" t="s">
        <v>133</v>
      </c>
      <c r="X163" s="209" t="s">
        <v>133</v>
      </c>
      <c r="Y163" s="209" t="s">
        <v>133</v>
      </c>
      <c r="Z163" s="209" t="s">
        <v>2980</v>
      </c>
      <c r="AA163" s="209" t="s">
        <v>133</v>
      </c>
      <c r="AB163" s="209" t="s">
        <v>133</v>
      </c>
      <c r="AC163" s="209" t="s">
        <v>133</v>
      </c>
      <c r="AD163" s="209" t="s">
        <v>133</v>
      </c>
      <c r="AE163" s="209" t="s">
        <v>2981</v>
      </c>
    </row>
    <row r="164" spans="1:31" x14ac:dyDescent="0.55000000000000004">
      <c r="A164" s="209" t="s">
        <v>3853</v>
      </c>
      <c r="B164" s="209" t="s">
        <v>2983</v>
      </c>
      <c r="C164" s="209" t="s">
        <v>2984</v>
      </c>
      <c r="D164" s="209" t="s">
        <v>3631</v>
      </c>
      <c r="E164" s="209" t="s">
        <v>3632</v>
      </c>
      <c r="F164" s="209" t="s">
        <v>2972</v>
      </c>
      <c r="G164" s="209" t="s">
        <v>2973</v>
      </c>
      <c r="H164" s="209" t="s">
        <v>133</v>
      </c>
      <c r="I164" s="209" t="s">
        <v>133</v>
      </c>
      <c r="J164" s="209" t="s">
        <v>3848</v>
      </c>
      <c r="K164" s="209" t="s">
        <v>3854</v>
      </c>
      <c r="L164" s="209" t="s">
        <v>3855</v>
      </c>
      <c r="M164" s="209" t="s">
        <v>3856</v>
      </c>
      <c r="N164" s="209" t="s">
        <v>3852</v>
      </c>
      <c r="O164" s="209" t="s">
        <v>3636</v>
      </c>
      <c r="P164" s="209" t="s">
        <v>2236</v>
      </c>
      <c r="Q164" s="209" t="s">
        <v>2260</v>
      </c>
      <c r="R164" s="209" t="s">
        <v>2181</v>
      </c>
      <c r="S164" s="209" t="s">
        <v>133</v>
      </c>
      <c r="T164" s="209" t="s">
        <v>133</v>
      </c>
      <c r="U164" s="209" t="s">
        <v>133</v>
      </c>
      <c r="V164" s="209" t="s">
        <v>133</v>
      </c>
      <c r="W164" s="209" t="s">
        <v>133</v>
      </c>
      <c r="X164" s="209" t="s">
        <v>133</v>
      </c>
      <c r="Y164" s="209" t="s">
        <v>133</v>
      </c>
      <c r="Z164" s="209" t="s">
        <v>2980</v>
      </c>
      <c r="AA164" s="209" t="s">
        <v>133</v>
      </c>
      <c r="AB164" s="209" t="s">
        <v>133</v>
      </c>
      <c r="AC164" s="209" t="s">
        <v>133</v>
      </c>
      <c r="AD164" s="209" t="s">
        <v>133</v>
      </c>
      <c r="AE164" s="209" t="s">
        <v>2981</v>
      </c>
    </row>
    <row r="165" spans="1:31" x14ac:dyDescent="0.55000000000000004">
      <c r="A165" s="209" t="s">
        <v>3857</v>
      </c>
      <c r="B165" s="209" t="s">
        <v>2992</v>
      </c>
      <c r="C165" s="209" t="s">
        <v>2993</v>
      </c>
      <c r="D165" s="209" t="s">
        <v>3692</v>
      </c>
      <c r="E165" s="209" t="s">
        <v>3693</v>
      </c>
      <c r="F165" s="209" t="s">
        <v>2996</v>
      </c>
      <c r="G165" s="209" t="s">
        <v>2997</v>
      </c>
      <c r="H165" s="209" t="s">
        <v>133</v>
      </c>
      <c r="I165" s="209" t="s">
        <v>133</v>
      </c>
      <c r="J165" s="209" t="s">
        <v>3858</v>
      </c>
      <c r="K165" s="209" t="s">
        <v>3859</v>
      </c>
      <c r="L165" s="209" t="s">
        <v>3860</v>
      </c>
      <c r="M165" s="209" t="s">
        <v>3861</v>
      </c>
      <c r="N165" s="209" t="s">
        <v>3862</v>
      </c>
      <c r="O165" s="209" t="s">
        <v>3701</v>
      </c>
      <c r="P165" s="209" t="s">
        <v>2250</v>
      </c>
      <c r="Q165" s="209" t="s">
        <v>2274</v>
      </c>
      <c r="R165" s="209" t="s">
        <v>2181</v>
      </c>
      <c r="S165" s="209" t="s">
        <v>133</v>
      </c>
      <c r="T165" s="209" t="s">
        <v>133</v>
      </c>
      <c r="U165" s="209" t="s">
        <v>133</v>
      </c>
      <c r="V165" s="209" t="s">
        <v>133</v>
      </c>
      <c r="W165" s="209" t="s">
        <v>133</v>
      </c>
      <c r="X165" s="209" t="s">
        <v>133</v>
      </c>
      <c r="Y165" s="209" t="s">
        <v>133</v>
      </c>
      <c r="Z165" s="209" t="s">
        <v>3004</v>
      </c>
      <c r="AA165" s="209" t="s">
        <v>133</v>
      </c>
      <c r="AB165" s="209" t="s">
        <v>133</v>
      </c>
      <c r="AC165" s="209" t="s">
        <v>133</v>
      </c>
      <c r="AD165" s="209" t="s">
        <v>133</v>
      </c>
      <c r="AE165" s="209" t="s">
        <v>3005</v>
      </c>
    </row>
    <row r="166" spans="1:31" x14ac:dyDescent="0.55000000000000004">
      <c r="A166" s="209" t="s">
        <v>3863</v>
      </c>
      <c r="B166" s="209" t="s">
        <v>3007</v>
      </c>
      <c r="C166" s="209" t="s">
        <v>3008</v>
      </c>
      <c r="D166" s="209" t="s">
        <v>3703</v>
      </c>
      <c r="E166" s="209" t="s">
        <v>3704</v>
      </c>
      <c r="F166" s="209" t="s">
        <v>2996</v>
      </c>
      <c r="G166" s="209" t="s">
        <v>2997</v>
      </c>
      <c r="H166" s="209" t="s">
        <v>133</v>
      </c>
      <c r="I166" s="209" t="s">
        <v>133</v>
      </c>
      <c r="J166" s="209" t="s">
        <v>3858</v>
      </c>
      <c r="K166" s="209" t="s">
        <v>3864</v>
      </c>
      <c r="L166" s="209" t="s">
        <v>3865</v>
      </c>
      <c r="M166" s="209" t="s">
        <v>3866</v>
      </c>
      <c r="N166" s="209" t="s">
        <v>3862</v>
      </c>
      <c r="O166" s="209" t="s">
        <v>3708</v>
      </c>
      <c r="P166" s="209" t="s">
        <v>2250</v>
      </c>
      <c r="Q166" s="209" t="s">
        <v>2284</v>
      </c>
      <c r="R166" s="209" t="s">
        <v>2181</v>
      </c>
      <c r="S166" s="209" t="s">
        <v>133</v>
      </c>
      <c r="T166" s="209" t="s">
        <v>133</v>
      </c>
      <c r="U166" s="209" t="s">
        <v>133</v>
      </c>
      <c r="V166" s="209" t="s">
        <v>133</v>
      </c>
      <c r="W166" s="209" t="s">
        <v>133</v>
      </c>
      <c r="X166" s="209" t="s">
        <v>133</v>
      </c>
      <c r="Y166" s="209" t="s">
        <v>133</v>
      </c>
      <c r="Z166" s="209" t="s">
        <v>3004</v>
      </c>
      <c r="AA166" s="209" t="s">
        <v>133</v>
      </c>
      <c r="AB166" s="209" t="s">
        <v>133</v>
      </c>
      <c r="AC166" s="209" t="s">
        <v>133</v>
      </c>
      <c r="AD166" s="209" t="s">
        <v>133</v>
      </c>
      <c r="AE166" s="209" t="s">
        <v>3005</v>
      </c>
    </row>
    <row r="167" spans="1:31" x14ac:dyDescent="0.55000000000000004">
      <c r="A167" s="209" t="s">
        <v>3867</v>
      </c>
      <c r="B167" s="209" t="s">
        <v>3016</v>
      </c>
      <c r="C167" s="209" t="s">
        <v>3017</v>
      </c>
      <c r="D167" s="209" t="s">
        <v>3868</v>
      </c>
      <c r="E167" s="209" t="s">
        <v>3869</v>
      </c>
      <c r="F167" s="209" t="s">
        <v>3020</v>
      </c>
      <c r="G167" s="209" t="s">
        <v>3021</v>
      </c>
      <c r="H167" s="209" t="s">
        <v>133</v>
      </c>
      <c r="I167" s="209" t="s">
        <v>133</v>
      </c>
      <c r="J167" s="209" t="s">
        <v>3870</v>
      </c>
      <c r="K167" s="209" t="s">
        <v>3871</v>
      </c>
      <c r="L167" s="209" t="s">
        <v>3872</v>
      </c>
      <c r="M167" s="209" t="s">
        <v>3873</v>
      </c>
      <c r="N167" s="209" t="s">
        <v>3874</v>
      </c>
      <c r="O167" s="209" t="s">
        <v>3875</v>
      </c>
      <c r="P167" s="209" t="s">
        <v>2260</v>
      </c>
      <c r="Q167" s="209" t="s">
        <v>2298</v>
      </c>
      <c r="R167" s="209" t="s">
        <v>2181</v>
      </c>
      <c r="S167" s="209" t="s">
        <v>133</v>
      </c>
      <c r="T167" s="209" t="s">
        <v>133</v>
      </c>
      <c r="U167" s="209" t="s">
        <v>133</v>
      </c>
      <c r="V167" s="209" t="s">
        <v>133</v>
      </c>
      <c r="W167" s="209" t="s">
        <v>133</v>
      </c>
      <c r="X167" s="209" t="s">
        <v>133</v>
      </c>
      <c r="Y167" s="209" t="s">
        <v>133</v>
      </c>
      <c r="Z167" s="209" t="s">
        <v>3028</v>
      </c>
      <c r="AA167" s="209" t="s">
        <v>133</v>
      </c>
      <c r="AB167" s="209" t="s">
        <v>133</v>
      </c>
      <c r="AC167" s="209" t="s">
        <v>133</v>
      </c>
      <c r="AD167" s="209" t="s">
        <v>133</v>
      </c>
      <c r="AE167" s="209" t="s">
        <v>3029</v>
      </c>
    </row>
    <row r="168" spans="1:31" x14ac:dyDescent="0.55000000000000004">
      <c r="A168" s="209" t="s">
        <v>3876</v>
      </c>
      <c r="B168" s="209" t="s">
        <v>3031</v>
      </c>
      <c r="C168" s="209" t="s">
        <v>3032</v>
      </c>
      <c r="D168" s="209" t="s">
        <v>3877</v>
      </c>
      <c r="E168" s="209" t="s">
        <v>3878</v>
      </c>
      <c r="F168" s="209" t="s">
        <v>3020</v>
      </c>
      <c r="G168" s="209" t="s">
        <v>3021</v>
      </c>
      <c r="H168" s="209" t="s">
        <v>133</v>
      </c>
      <c r="I168" s="209" t="s">
        <v>133</v>
      </c>
      <c r="J168" s="209" t="s">
        <v>3870</v>
      </c>
      <c r="K168" s="209" t="s">
        <v>3879</v>
      </c>
      <c r="L168" s="209" t="s">
        <v>3880</v>
      </c>
      <c r="M168" s="209" t="s">
        <v>3881</v>
      </c>
      <c r="N168" s="209" t="s">
        <v>3874</v>
      </c>
      <c r="O168" s="209" t="s">
        <v>3882</v>
      </c>
      <c r="P168" s="209" t="s">
        <v>2260</v>
      </c>
      <c r="Q168" s="209" t="s">
        <v>2309</v>
      </c>
      <c r="R168" s="209" t="s">
        <v>2181</v>
      </c>
      <c r="S168" s="209" t="s">
        <v>133</v>
      </c>
      <c r="T168" s="209" t="s">
        <v>133</v>
      </c>
      <c r="U168" s="209" t="s">
        <v>133</v>
      </c>
      <c r="V168" s="209" t="s">
        <v>133</v>
      </c>
      <c r="W168" s="209" t="s">
        <v>133</v>
      </c>
      <c r="X168" s="209" t="s">
        <v>133</v>
      </c>
      <c r="Y168" s="209" t="s">
        <v>133</v>
      </c>
      <c r="Z168" s="209" t="s">
        <v>3028</v>
      </c>
      <c r="AA168" s="209" t="s">
        <v>133</v>
      </c>
      <c r="AB168" s="209" t="s">
        <v>133</v>
      </c>
      <c r="AC168" s="209" t="s">
        <v>133</v>
      </c>
      <c r="AD168" s="209" t="s">
        <v>133</v>
      </c>
      <c r="AE168" s="209" t="s">
        <v>3029</v>
      </c>
    </row>
    <row r="169" spans="1:31" x14ac:dyDescent="0.55000000000000004">
      <c r="A169" s="209" t="s">
        <v>3883</v>
      </c>
      <c r="B169" s="209" t="s">
        <v>2800</v>
      </c>
      <c r="C169" s="209" t="s">
        <v>2801</v>
      </c>
      <c r="D169" s="209" t="s">
        <v>3710</v>
      </c>
      <c r="E169" s="209" t="s">
        <v>3711</v>
      </c>
      <c r="F169" s="209" t="s">
        <v>3884</v>
      </c>
      <c r="G169" s="209" t="s">
        <v>3885</v>
      </c>
      <c r="H169" s="209" t="s">
        <v>133</v>
      </c>
      <c r="I169" s="209" t="s">
        <v>133</v>
      </c>
      <c r="J169" s="209" t="s">
        <v>3886</v>
      </c>
      <c r="K169" s="209" t="s">
        <v>3887</v>
      </c>
      <c r="L169" s="209" t="s">
        <v>3888</v>
      </c>
      <c r="M169" s="209" t="s">
        <v>3889</v>
      </c>
      <c r="N169" s="209" t="s">
        <v>3890</v>
      </c>
      <c r="O169" s="209" t="s">
        <v>3719</v>
      </c>
      <c r="P169" s="209" t="s">
        <v>2179</v>
      </c>
      <c r="Q169" s="209" t="s">
        <v>2180</v>
      </c>
      <c r="R169" s="209" t="s">
        <v>2181</v>
      </c>
      <c r="S169" s="209" t="s">
        <v>133</v>
      </c>
      <c r="T169" s="209" t="s">
        <v>133</v>
      </c>
      <c r="U169" s="209" t="s">
        <v>133</v>
      </c>
      <c r="V169" s="209" t="s">
        <v>133</v>
      </c>
      <c r="W169" s="209" t="s">
        <v>133</v>
      </c>
      <c r="X169" s="209" t="s">
        <v>133</v>
      </c>
      <c r="Y169" s="209" t="s">
        <v>133</v>
      </c>
      <c r="Z169" s="209" t="s">
        <v>3891</v>
      </c>
      <c r="AA169" s="209" t="s">
        <v>133</v>
      </c>
      <c r="AB169" s="209" t="s">
        <v>133</v>
      </c>
      <c r="AC169" s="209" t="s">
        <v>133</v>
      </c>
      <c r="AD169" s="209" t="s">
        <v>133</v>
      </c>
      <c r="AE169" s="209" t="s">
        <v>133</v>
      </c>
    </row>
    <row r="170" spans="1:31" x14ac:dyDescent="0.55000000000000004">
      <c r="A170" s="209" t="s">
        <v>3892</v>
      </c>
      <c r="B170" s="209" t="s">
        <v>2815</v>
      </c>
      <c r="C170" s="209" t="s">
        <v>2816</v>
      </c>
      <c r="D170" s="209" t="s">
        <v>3721</v>
      </c>
      <c r="E170" s="209" t="s">
        <v>3722</v>
      </c>
      <c r="F170" s="209" t="s">
        <v>3884</v>
      </c>
      <c r="G170" s="209" t="s">
        <v>3885</v>
      </c>
      <c r="H170" s="209" t="s">
        <v>133</v>
      </c>
      <c r="I170" s="209" t="s">
        <v>133</v>
      </c>
      <c r="J170" s="209" t="s">
        <v>3886</v>
      </c>
      <c r="K170" s="209" t="s">
        <v>3893</v>
      </c>
      <c r="L170" s="209" t="s">
        <v>3894</v>
      </c>
      <c r="M170" s="209" t="s">
        <v>3895</v>
      </c>
      <c r="N170" s="209" t="s">
        <v>3890</v>
      </c>
      <c r="O170" s="209" t="s">
        <v>3726</v>
      </c>
      <c r="P170" s="209" t="s">
        <v>2179</v>
      </c>
      <c r="Q170" s="209" t="s">
        <v>2179</v>
      </c>
      <c r="R170" s="209" t="s">
        <v>2181</v>
      </c>
      <c r="S170" s="209" t="s">
        <v>133</v>
      </c>
      <c r="T170" s="209" t="s">
        <v>133</v>
      </c>
      <c r="U170" s="209" t="s">
        <v>133</v>
      </c>
      <c r="V170" s="209" t="s">
        <v>133</v>
      </c>
      <c r="W170" s="209" t="s">
        <v>133</v>
      </c>
      <c r="X170" s="209" t="s">
        <v>133</v>
      </c>
      <c r="Y170" s="209" t="s">
        <v>133</v>
      </c>
      <c r="Z170" s="209" t="s">
        <v>3891</v>
      </c>
      <c r="AA170" s="209" t="s">
        <v>133</v>
      </c>
      <c r="AB170" s="209" t="s">
        <v>133</v>
      </c>
      <c r="AC170" s="209" t="s">
        <v>133</v>
      </c>
      <c r="AD170" s="209" t="s">
        <v>133</v>
      </c>
      <c r="AE170" s="209" t="s">
        <v>133</v>
      </c>
    </row>
    <row r="171" spans="1:31" x14ac:dyDescent="0.55000000000000004">
      <c r="A171" s="209" t="s">
        <v>3896</v>
      </c>
      <c r="B171" s="209" t="s">
        <v>2824</v>
      </c>
      <c r="C171" s="209" t="s">
        <v>2825</v>
      </c>
      <c r="D171" s="209" t="s">
        <v>3897</v>
      </c>
      <c r="E171" s="209" t="s">
        <v>3898</v>
      </c>
      <c r="F171" s="209" t="s">
        <v>3899</v>
      </c>
      <c r="G171" s="209" t="s">
        <v>3900</v>
      </c>
      <c r="H171" s="209" t="s">
        <v>133</v>
      </c>
      <c r="I171" s="209" t="s">
        <v>133</v>
      </c>
      <c r="J171" s="209" t="s">
        <v>3901</v>
      </c>
      <c r="K171" s="209" t="s">
        <v>3902</v>
      </c>
      <c r="L171" s="209" t="s">
        <v>3903</v>
      </c>
      <c r="M171" s="209" t="s">
        <v>3904</v>
      </c>
      <c r="N171" s="209" t="s">
        <v>3905</v>
      </c>
      <c r="O171" s="209" t="s">
        <v>3906</v>
      </c>
      <c r="P171" s="209" t="s">
        <v>2226</v>
      </c>
      <c r="Q171" s="209" t="s">
        <v>2226</v>
      </c>
      <c r="R171" s="209" t="s">
        <v>2181</v>
      </c>
      <c r="S171" s="209" t="s">
        <v>133</v>
      </c>
      <c r="T171" s="209" t="s">
        <v>133</v>
      </c>
      <c r="U171" s="209" t="s">
        <v>133</v>
      </c>
      <c r="V171" s="209" t="s">
        <v>133</v>
      </c>
      <c r="W171" s="209" t="s">
        <v>133</v>
      </c>
      <c r="X171" s="209" t="s">
        <v>133</v>
      </c>
      <c r="Y171" s="209" t="s">
        <v>133</v>
      </c>
      <c r="Z171" s="209" t="s">
        <v>3907</v>
      </c>
      <c r="AA171" s="209" t="s">
        <v>133</v>
      </c>
      <c r="AB171" s="209" t="s">
        <v>133</v>
      </c>
      <c r="AC171" s="209" t="s">
        <v>133</v>
      </c>
      <c r="AD171" s="209" t="s">
        <v>133</v>
      </c>
      <c r="AE171" s="209" t="s">
        <v>3908</v>
      </c>
    </row>
    <row r="172" spans="1:31" x14ac:dyDescent="0.55000000000000004">
      <c r="A172" s="209" t="s">
        <v>3909</v>
      </c>
      <c r="B172" s="209" t="s">
        <v>2839</v>
      </c>
      <c r="C172" s="209" t="s">
        <v>2840</v>
      </c>
      <c r="D172" s="209" t="s">
        <v>3910</v>
      </c>
      <c r="E172" s="209" t="s">
        <v>3911</v>
      </c>
      <c r="F172" s="209" t="s">
        <v>3899</v>
      </c>
      <c r="G172" s="209" t="s">
        <v>3900</v>
      </c>
      <c r="H172" s="209" t="s">
        <v>133</v>
      </c>
      <c r="I172" s="209" t="s">
        <v>133</v>
      </c>
      <c r="J172" s="209" t="s">
        <v>3901</v>
      </c>
      <c r="K172" s="209" t="s">
        <v>3912</v>
      </c>
      <c r="L172" s="209" t="s">
        <v>3913</v>
      </c>
      <c r="M172" s="209" t="s">
        <v>3914</v>
      </c>
      <c r="N172" s="209" t="s">
        <v>3905</v>
      </c>
      <c r="O172" s="209" t="s">
        <v>3915</v>
      </c>
      <c r="P172" s="209" t="s">
        <v>2226</v>
      </c>
      <c r="Q172" s="209" t="s">
        <v>2236</v>
      </c>
      <c r="R172" s="209" t="s">
        <v>2181</v>
      </c>
      <c r="S172" s="209" t="s">
        <v>133</v>
      </c>
      <c r="T172" s="209" t="s">
        <v>133</v>
      </c>
      <c r="U172" s="209" t="s">
        <v>133</v>
      </c>
      <c r="V172" s="209" t="s">
        <v>133</v>
      </c>
      <c r="W172" s="209" t="s">
        <v>133</v>
      </c>
      <c r="X172" s="209" t="s">
        <v>133</v>
      </c>
      <c r="Y172" s="209" t="s">
        <v>133</v>
      </c>
      <c r="Z172" s="209" t="s">
        <v>3907</v>
      </c>
      <c r="AA172" s="209" t="s">
        <v>133</v>
      </c>
      <c r="AB172" s="209" t="s">
        <v>133</v>
      </c>
      <c r="AC172" s="209" t="s">
        <v>133</v>
      </c>
      <c r="AD172" s="209" t="s">
        <v>133</v>
      </c>
      <c r="AE172" s="209" t="s">
        <v>3908</v>
      </c>
    </row>
    <row r="173" spans="1:31" x14ac:dyDescent="0.55000000000000004">
      <c r="A173" s="209" t="s">
        <v>3916</v>
      </c>
      <c r="B173" s="209" t="s">
        <v>2920</v>
      </c>
      <c r="C173" s="209" t="s">
        <v>2921</v>
      </c>
      <c r="D173" s="209" t="s">
        <v>3638</v>
      </c>
      <c r="E173" s="209" t="s">
        <v>3639</v>
      </c>
      <c r="F173" s="209" t="s">
        <v>3917</v>
      </c>
      <c r="G173" s="209" t="s">
        <v>3918</v>
      </c>
      <c r="H173" s="209" t="s">
        <v>133</v>
      </c>
      <c r="I173" s="209" t="s">
        <v>133</v>
      </c>
      <c r="J173" s="209" t="s">
        <v>3919</v>
      </c>
      <c r="K173" s="209" t="s">
        <v>3920</v>
      </c>
      <c r="L173" s="209" t="s">
        <v>3921</v>
      </c>
      <c r="M173" s="209" t="s">
        <v>3922</v>
      </c>
      <c r="N173" s="209" t="s">
        <v>3923</v>
      </c>
      <c r="O173" s="209" t="s">
        <v>3649</v>
      </c>
      <c r="P173" s="209" t="s">
        <v>2179</v>
      </c>
      <c r="Q173" s="209" t="s">
        <v>2180</v>
      </c>
      <c r="R173" s="209" t="s">
        <v>2181</v>
      </c>
      <c r="S173" s="209" t="s">
        <v>133</v>
      </c>
      <c r="T173" s="209" t="s">
        <v>133</v>
      </c>
      <c r="U173" s="209" t="s">
        <v>133</v>
      </c>
      <c r="V173" s="209" t="s">
        <v>133</v>
      </c>
      <c r="W173" s="209" t="s">
        <v>133</v>
      </c>
      <c r="X173" s="209" t="s">
        <v>133</v>
      </c>
      <c r="Y173" s="209" t="s">
        <v>133</v>
      </c>
      <c r="Z173" s="209" t="s">
        <v>3924</v>
      </c>
      <c r="AA173" s="209" t="s">
        <v>133</v>
      </c>
      <c r="AB173" s="209" t="s">
        <v>133</v>
      </c>
      <c r="AC173" s="209" t="s">
        <v>133</v>
      </c>
      <c r="AD173" s="209" t="s">
        <v>133</v>
      </c>
      <c r="AE173" s="209" t="s">
        <v>133</v>
      </c>
    </row>
    <row r="174" spans="1:31" x14ac:dyDescent="0.55000000000000004">
      <c r="A174" s="209" t="s">
        <v>3925</v>
      </c>
      <c r="B174" s="209" t="s">
        <v>2935</v>
      </c>
      <c r="C174" s="209" t="s">
        <v>2936</v>
      </c>
      <c r="D174" s="209" t="s">
        <v>3651</v>
      </c>
      <c r="E174" s="209" t="s">
        <v>3652</v>
      </c>
      <c r="F174" s="209" t="s">
        <v>3917</v>
      </c>
      <c r="G174" s="209" t="s">
        <v>3918</v>
      </c>
      <c r="H174" s="209" t="s">
        <v>133</v>
      </c>
      <c r="I174" s="209" t="s">
        <v>133</v>
      </c>
      <c r="J174" s="209" t="s">
        <v>3919</v>
      </c>
      <c r="K174" s="209" t="s">
        <v>3926</v>
      </c>
      <c r="L174" s="209" t="s">
        <v>3927</v>
      </c>
      <c r="M174" s="209" t="s">
        <v>3928</v>
      </c>
      <c r="N174" s="209" t="s">
        <v>3923</v>
      </c>
      <c r="O174" s="209" t="s">
        <v>3658</v>
      </c>
      <c r="P174" s="209" t="s">
        <v>2179</v>
      </c>
      <c r="Q174" s="209" t="s">
        <v>2179</v>
      </c>
      <c r="R174" s="209" t="s">
        <v>2181</v>
      </c>
      <c r="S174" s="209" t="s">
        <v>133</v>
      </c>
      <c r="T174" s="209" t="s">
        <v>133</v>
      </c>
      <c r="U174" s="209" t="s">
        <v>133</v>
      </c>
      <c r="V174" s="209" t="s">
        <v>133</v>
      </c>
      <c r="W174" s="209" t="s">
        <v>133</v>
      </c>
      <c r="X174" s="209" t="s">
        <v>133</v>
      </c>
      <c r="Y174" s="209" t="s">
        <v>133</v>
      </c>
      <c r="Z174" s="209" t="s">
        <v>3924</v>
      </c>
      <c r="AA174" s="209" t="s">
        <v>133</v>
      </c>
      <c r="AB174" s="209" t="s">
        <v>133</v>
      </c>
      <c r="AC174" s="209" t="s">
        <v>133</v>
      </c>
      <c r="AD174" s="209" t="s">
        <v>133</v>
      </c>
      <c r="AE174" s="209" t="s">
        <v>133</v>
      </c>
    </row>
    <row r="175" spans="1:31" x14ac:dyDescent="0.55000000000000004">
      <c r="A175" s="209" t="s">
        <v>3929</v>
      </c>
      <c r="B175" s="209" t="s">
        <v>2462</v>
      </c>
      <c r="C175" s="209" t="s">
        <v>2463</v>
      </c>
      <c r="D175" s="209" t="s">
        <v>2464</v>
      </c>
      <c r="E175" s="209" t="s">
        <v>2465</v>
      </c>
      <c r="F175" s="209" t="s">
        <v>2643</v>
      </c>
      <c r="G175" s="209" t="s">
        <v>2644</v>
      </c>
      <c r="H175" s="209" t="s">
        <v>133</v>
      </c>
      <c r="I175" s="209" t="s">
        <v>133</v>
      </c>
      <c r="J175" s="209" t="s">
        <v>3930</v>
      </c>
      <c r="K175" s="209" t="s">
        <v>3931</v>
      </c>
      <c r="L175" s="209" t="s">
        <v>3932</v>
      </c>
      <c r="M175" s="209" t="s">
        <v>3933</v>
      </c>
      <c r="N175" s="209" t="s">
        <v>3934</v>
      </c>
      <c r="O175" s="209" t="s">
        <v>2475</v>
      </c>
      <c r="P175" s="209" t="s">
        <v>2179</v>
      </c>
      <c r="Q175" s="209" t="s">
        <v>2180</v>
      </c>
      <c r="R175" s="209" t="s">
        <v>2181</v>
      </c>
      <c r="S175" s="209" t="s">
        <v>133</v>
      </c>
      <c r="T175" s="209" t="s">
        <v>133</v>
      </c>
      <c r="U175" s="209" t="s">
        <v>133</v>
      </c>
      <c r="V175" s="209" t="s">
        <v>133</v>
      </c>
      <c r="W175" s="209" t="s">
        <v>133</v>
      </c>
      <c r="X175" s="209" t="s">
        <v>133</v>
      </c>
      <c r="Y175" s="209" t="s">
        <v>133</v>
      </c>
      <c r="Z175" s="209" t="s">
        <v>2651</v>
      </c>
      <c r="AA175" s="209" t="s">
        <v>133</v>
      </c>
      <c r="AB175" s="209" t="s">
        <v>133</v>
      </c>
      <c r="AC175" s="209" t="s">
        <v>133</v>
      </c>
      <c r="AD175" s="209" t="s">
        <v>133</v>
      </c>
      <c r="AE175" s="209" t="s">
        <v>2652</v>
      </c>
    </row>
    <row r="176" spans="1:31" x14ac:dyDescent="0.55000000000000004">
      <c r="A176" s="209" t="s">
        <v>3935</v>
      </c>
      <c r="B176" s="209" t="s">
        <v>2478</v>
      </c>
      <c r="C176" s="209" t="s">
        <v>2479</v>
      </c>
      <c r="D176" s="209" t="s">
        <v>2480</v>
      </c>
      <c r="E176" s="209" t="s">
        <v>2481</v>
      </c>
      <c r="F176" s="209" t="s">
        <v>2643</v>
      </c>
      <c r="G176" s="209" t="s">
        <v>2644</v>
      </c>
      <c r="H176" s="209" t="s">
        <v>133</v>
      </c>
      <c r="I176" s="209" t="s">
        <v>133</v>
      </c>
      <c r="J176" s="209" t="s">
        <v>3930</v>
      </c>
      <c r="K176" s="209" t="s">
        <v>3936</v>
      </c>
      <c r="L176" s="209" t="s">
        <v>3937</v>
      </c>
      <c r="M176" s="209" t="s">
        <v>3938</v>
      </c>
      <c r="N176" s="209" t="s">
        <v>3934</v>
      </c>
      <c r="O176" s="209" t="s">
        <v>2487</v>
      </c>
      <c r="P176" s="209" t="s">
        <v>2179</v>
      </c>
      <c r="Q176" s="209" t="s">
        <v>2179</v>
      </c>
      <c r="R176" s="209" t="s">
        <v>2181</v>
      </c>
      <c r="S176" s="209" t="s">
        <v>133</v>
      </c>
      <c r="T176" s="209" t="s">
        <v>133</v>
      </c>
      <c r="U176" s="209" t="s">
        <v>133</v>
      </c>
      <c r="V176" s="209" t="s">
        <v>133</v>
      </c>
      <c r="W176" s="209" t="s">
        <v>133</v>
      </c>
      <c r="X176" s="209" t="s">
        <v>133</v>
      </c>
      <c r="Y176" s="209" t="s">
        <v>133</v>
      </c>
      <c r="Z176" s="209" t="s">
        <v>2651</v>
      </c>
      <c r="AA176" s="209" t="s">
        <v>133</v>
      </c>
      <c r="AB176" s="209" t="s">
        <v>133</v>
      </c>
      <c r="AC176" s="209" t="s">
        <v>133</v>
      </c>
      <c r="AD176" s="209" t="s">
        <v>133</v>
      </c>
      <c r="AE176" s="209" t="s">
        <v>2652</v>
      </c>
    </row>
    <row r="177" spans="1:31" x14ac:dyDescent="0.55000000000000004">
      <c r="A177" s="209" t="s">
        <v>3939</v>
      </c>
      <c r="B177" s="209" t="s">
        <v>2489</v>
      </c>
      <c r="C177" s="209" t="s">
        <v>2490</v>
      </c>
      <c r="D177" s="209" t="s">
        <v>2491</v>
      </c>
      <c r="E177" s="209" t="s">
        <v>2492</v>
      </c>
      <c r="F177" s="209" t="s">
        <v>2667</v>
      </c>
      <c r="G177" s="209" t="s">
        <v>2668</v>
      </c>
      <c r="H177" s="209" t="s">
        <v>133</v>
      </c>
      <c r="I177" s="209" t="s">
        <v>133</v>
      </c>
      <c r="J177" s="209" t="s">
        <v>3940</v>
      </c>
      <c r="K177" s="209" t="s">
        <v>3941</v>
      </c>
      <c r="L177" s="209" t="s">
        <v>3942</v>
      </c>
      <c r="M177" s="209" t="s">
        <v>3943</v>
      </c>
      <c r="N177" s="209" t="s">
        <v>3944</v>
      </c>
      <c r="O177" s="209" t="s">
        <v>2502</v>
      </c>
      <c r="P177" s="209" t="s">
        <v>2226</v>
      </c>
      <c r="Q177" s="209" t="s">
        <v>2226</v>
      </c>
      <c r="R177" s="209" t="s">
        <v>2181</v>
      </c>
      <c r="S177" s="209" t="s">
        <v>133</v>
      </c>
      <c r="T177" s="209" t="s">
        <v>133</v>
      </c>
      <c r="U177" s="209" t="s">
        <v>133</v>
      </c>
      <c r="V177" s="209" t="s">
        <v>133</v>
      </c>
      <c r="W177" s="209" t="s">
        <v>133</v>
      </c>
      <c r="X177" s="209" t="s">
        <v>133</v>
      </c>
      <c r="Y177" s="209" t="s">
        <v>133</v>
      </c>
      <c r="Z177" s="209" t="s">
        <v>2675</v>
      </c>
      <c r="AA177" s="209" t="s">
        <v>133</v>
      </c>
      <c r="AB177" s="209" t="s">
        <v>133</v>
      </c>
      <c r="AC177" s="209" t="s">
        <v>133</v>
      </c>
      <c r="AD177" s="209" t="s">
        <v>133</v>
      </c>
      <c r="AE177" s="209" t="s">
        <v>2676</v>
      </c>
    </row>
    <row r="178" spans="1:31" x14ac:dyDescent="0.55000000000000004">
      <c r="A178" s="209" t="s">
        <v>3945</v>
      </c>
      <c r="B178" s="209" t="s">
        <v>2504</v>
      </c>
      <c r="C178" s="209" t="s">
        <v>2505</v>
      </c>
      <c r="D178" s="209" t="s">
        <v>2506</v>
      </c>
      <c r="E178" s="209" t="s">
        <v>2507</v>
      </c>
      <c r="F178" s="209" t="s">
        <v>2667</v>
      </c>
      <c r="G178" s="209" t="s">
        <v>2668</v>
      </c>
      <c r="H178" s="209" t="s">
        <v>133</v>
      </c>
      <c r="I178" s="209" t="s">
        <v>133</v>
      </c>
      <c r="J178" s="209" t="s">
        <v>3940</v>
      </c>
      <c r="K178" s="209" t="s">
        <v>3946</v>
      </c>
      <c r="L178" s="209" t="s">
        <v>3947</v>
      </c>
      <c r="M178" s="209" t="s">
        <v>3948</v>
      </c>
      <c r="N178" s="209" t="s">
        <v>3944</v>
      </c>
      <c r="O178" s="209" t="s">
        <v>2513</v>
      </c>
      <c r="P178" s="209" t="s">
        <v>2226</v>
      </c>
      <c r="Q178" s="209" t="s">
        <v>2236</v>
      </c>
      <c r="R178" s="209" t="s">
        <v>2181</v>
      </c>
      <c r="S178" s="209" t="s">
        <v>133</v>
      </c>
      <c r="T178" s="209" t="s">
        <v>133</v>
      </c>
      <c r="U178" s="209" t="s">
        <v>133</v>
      </c>
      <c r="V178" s="209" t="s">
        <v>133</v>
      </c>
      <c r="W178" s="209" t="s">
        <v>133</v>
      </c>
      <c r="X178" s="209" t="s">
        <v>133</v>
      </c>
      <c r="Y178" s="209" t="s">
        <v>133</v>
      </c>
      <c r="Z178" s="209" t="s">
        <v>2675</v>
      </c>
      <c r="AA178" s="209" t="s">
        <v>133</v>
      </c>
      <c r="AB178" s="209" t="s">
        <v>133</v>
      </c>
      <c r="AC178" s="209" t="s">
        <v>133</v>
      </c>
      <c r="AD178" s="209" t="s">
        <v>133</v>
      </c>
      <c r="AE178" s="209" t="s">
        <v>2676</v>
      </c>
    </row>
    <row r="179" spans="1:31" x14ac:dyDescent="0.55000000000000004">
      <c r="A179" s="209" t="s">
        <v>3949</v>
      </c>
      <c r="B179" s="209" t="s">
        <v>2515</v>
      </c>
      <c r="C179" s="209" t="s">
        <v>2516</v>
      </c>
      <c r="D179" s="209" t="s">
        <v>2517</v>
      </c>
      <c r="E179" s="209" t="s">
        <v>2518</v>
      </c>
      <c r="F179" s="209" t="s">
        <v>2691</v>
      </c>
      <c r="G179" s="209" t="s">
        <v>2692</v>
      </c>
      <c r="H179" s="209" t="s">
        <v>133</v>
      </c>
      <c r="I179" s="209" t="s">
        <v>133</v>
      </c>
      <c r="J179" s="209" t="s">
        <v>3950</v>
      </c>
      <c r="K179" s="209" t="s">
        <v>3951</v>
      </c>
      <c r="L179" s="209" t="s">
        <v>3952</v>
      </c>
      <c r="M179" s="209" t="s">
        <v>3953</v>
      </c>
      <c r="N179" s="209" t="s">
        <v>3954</v>
      </c>
      <c r="O179" s="209" t="s">
        <v>2528</v>
      </c>
      <c r="P179" s="209" t="s">
        <v>2236</v>
      </c>
      <c r="Q179" s="209" t="s">
        <v>2250</v>
      </c>
      <c r="R179" s="209" t="s">
        <v>2181</v>
      </c>
      <c r="S179" s="209" t="s">
        <v>133</v>
      </c>
      <c r="T179" s="209" t="s">
        <v>133</v>
      </c>
      <c r="U179" s="209" t="s">
        <v>133</v>
      </c>
      <c r="V179" s="209" t="s">
        <v>133</v>
      </c>
      <c r="W179" s="209" t="s">
        <v>133</v>
      </c>
      <c r="X179" s="209" t="s">
        <v>133</v>
      </c>
      <c r="Y179" s="209" t="s">
        <v>133</v>
      </c>
      <c r="Z179" s="209" t="s">
        <v>2699</v>
      </c>
      <c r="AA179" s="209" t="s">
        <v>133</v>
      </c>
      <c r="AB179" s="209" t="s">
        <v>133</v>
      </c>
      <c r="AC179" s="209" t="s">
        <v>133</v>
      </c>
      <c r="AD179" s="209" t="s">
        <v>133</v>
      </c>
      <c r="AE179" s="209" t="s">
        <v>2700</v>
      </c>
    </row>
    <row r="180" spans="1:31" x14ac:dyDescent="0.55000000000000004">
      <c r="A180" s="209" t="s">
        <v>3955</v>
      </c>
      <c r="B180" s="209" t="s">
        <v>2530</v>
      </c>
      <c r="C180" s="209" t="s">
        <v>2531</v>
      </c>
      <c r="D180" s="209" t="s">
        <v>2532</v>
      </c>
      <c r="E180" s="209" t="s">
        <v>2533</v>
      </c>
      <c r="F180" s="209" t="s">
        <v>2691</v>
      </c>
      <c r="G180" s="209" t="s">
        <v>2692</v>
      </c>
      <c r="H180" s="209" t="s">
        <v>133</v>
      </c>
      <c r="I180" s="209" t="s">
        <v>133</v>
      </c>
      <c r="J180" s="209" t="s">
        <v>3950</v>
      </c>
      <c r="K180" s="209" t="s">
        <v>3956</v>
      </c>
      <c r="L180" s="209" t="s">
        <v>3957</v>
      </c>
      <c r="M180" s="209" t="s">
        <v>3958</v>
      </c>
      <c r="N180" s="209" t="s">
        <v>3954</v>
      </c>
      <c r="O180" s="209" t="s">
        <v>2539</v>
      </c>
      <c r="P180" s="209" t="s">
        <v>2236</v>
      </c>
      <c r="Q180" s="209" t="s">
        <v>2260</v>
      </c>
      <c r="R180" s="209" t="s">
        <v>2181</v>
      </c>
      <c r="S180" s="209" t="s">
        <v>133</v>
      </c>
      <c r="T180" s="209" t="s">
        <v>133</v>
      </c>
      <c r="U180" s="209" t="s">
        <v>133</v>
      </c>
      <c r="V180" s="209" t="s">
        <v>133</v>
      </c>
      <c r="W180" s="209" t="s">
        <v>133</v>
      </c>
      <c r="X180" s="209" t="s">
        <v>133</v>
      </c>
      <c r="Y180" s="209" t="s">
        <v>133</v>
      </c>
      <c r="Z180" s="209" t="s">
        <v>2699</v>
      </c>
      <c r="AA180" s="209" t="s">
        <v>133</v>
      </c>
      <c r="AB180" s="209" t="s">
        <v>133</v>
      </c>
      <c r="AC180" s="209" t="s">
        <v>133</v>
      </c>
      <c r="AD180" s="209" t="s">
        <v>133</v>
      </c>
      <c r="AE180" s="209" t="s">
        <v>2700</v>
      </c>
    </row>
    <row r="181" spans="1:31" x14ac:dyDescent="0.55000000000000004">
      <c r="A181" s="209" t="s">
        <v>3959</v>
      </c>
      <c r="B181" s="209" t="s">
        <v>2541</v>
      </c>
      <c r="C181" s="209" t="s">
        <v>2542</v>
      </c>
      <c r="D181" s="209" t="s">
        <v>2543</v>
      </c>
      <c r="E181" s="209" t="s">
        <v>2544</v>
      </c>
      <c r="F181" s="209" t="s">
        <v>2715</v>
      </c>
      <c r="G181" s="209" t="s">
        <v>2716</v>
      </c>
      <c r="H181" s="209" t="s">
        <v>133</v>
      </c>
      <c r="I181" s="209" t="s">
        <v>133</v>
      </c>
      <c r="J181" s="209" t="s">
        <v>3960</v>
      </c>
      <c r="K181" s="209" t="s">
        <v>3961</v>
      </c>
      <c r="L181" s="209" t="s">
        <v>3962</v>
      </c>
      <c r="M181" s="209" t="s">
        <v>3963</v>
      </c>
      <c r="N181" s="209" t="s">
        <v>3964</v>
      </c>
      <c r="O181" s="209" t="s">
        <v>2552</v>
      </c>
      <c r="P181" s="209" t="s">
        <v>2250</v>
      </c>
      <c r="Q181" s="209" t="s">
        <v>2274</v>
      </c>
      <c r="R181" s="209" t="s">
        <v>2181</v>
      </c>
      <c r="S181" s="209" t="s">
        <v>133</v>
      </c>
      <c r="T181" s="209" t="s">
        <v>133</v>
      </c>
      <c r="U181" s="209" t="s">
        <v>133</v>
      </c>
      <c r="V181" s="209" t="s">
        <v>133</v>
      </c>
      <c r="W181" s="209" t="s">
        <v>133</v>
      </c>
      <c r="X181" s="209" t="s">
        <v>133</v>
      </c>
      <c r="Y181" s="209" t="s">
        <v>133</v>
      </c>
      <c r="Z181" s="209" t="s">
        <v>2723</v>
      </c>
      <c r="AA181" s="209" t="s">
        <v>133</v>
      </c>
      <c r="AB181" s="209" t="s">
        <v>133</v>
      </c>
      <c r="AC181" s="209" t="s">
        <v>133</v>
      </c>
      <c r="AD181" s="209" t="s">
        <v>133</v>
      </c>
      <c r="AE181" s="209" t="s">
        <v>2724</v>
      </c>
    </row>
    <row r="182" spans="1:31" x14ac:dyDescent="0.55000000000000004">
      <c r="A182" s="209" t="s">
        <v>3965</v>
      </c>
      <c r="B182" s="209" t="s">
        <v>2555</v>
      </c>
      <c r="C182" s="209" t="s">
        <v>2556</v>
      </c>
      <c r="D182" s="209" t="s">
        <v>2557</v>
      </c>
      <c r="E182" s="209" t="s">
        <v>2558</v>
      </c>
      <c r="F182" s="209" t="s">
        <v>2715</v>
      </c>
      <c r="G182" s="209" t="s">
        <v>2716</v>
      </c>
      <c r="H182" s="209" t="s">
        <v>133</v>
      </c>
      <c r="I182" s="209" t="s">
        <v>133</v>
      </c>
      <c r="J182" s="209" t="s">
        <v>3960</v>
      </c>
      <c r="K182" s="209" t="s">
        <v>3966</v>
      </c>
      <c r="L182" s="209" t="s">
        <v>3967</v>
      </c>
      <c r="M182" s="209" t="s">
        <v>3968</v>
      </c>
      <c r="N182" s="209" t="s">
        <v>3964</v>
      </c>
      <c r="O182" s="209" t="s">
        <v>2562</v>
      </c>
      <c r="P182" s="209" t="s">
        <v>2250</v>
      </c>
      <c r="Q182" s="209" t="s">
        <v>2284</v>
      </c>
      <c r="R182" s="209" t="s">
        <v>2181</v>
      </c>
      <c r="S182" s="209" t="s">
        <v>133</v>
      </c>
      <c r="T182" s="209" t="s">
        <v>133</v>
      </c>
      <c r="U182" s="209" t="s">
        <v>133</v>
      </c>
      <c r="V182" s="209" t="s">
        <v>133</v>
      </c>
      <c r="W182" s="209" t="s">
        <v>133</v>
      </c>
      <c r="X182" s="209" t="s">
        <v>133</v>
      </c>
      <c r="Y182" s="209" t="s">
        <v>133</v>
      </c>
      <c r="Z182" s="209" t="s">
        <v>2723</v>
      </c>
      <c r="AA182" s="209" t="s">
        <v>133</v>
      </c>
      <c r="AB182" s="209" t="s">
        <v>133</v>
      </c>
      <c r="AC182" s="209" t="s">
        <v>133</v>
      </c>
      <c r="AD182" s="209" t="s">
        <v>133</v>
      </c>
      <c r="AE182" s="209" t="s">
        <v>2724</v>
      </c>
    </row>
    <row r="183" spans="1:31" x14ac:dyDescent="0.55000000000000004">
      <c r="A183" s="209" t="s">
        <v>3969</v>
      </c>
      <c r="B183" s="209" t="s">
        <v>3202</v>
      </c>
      <c r="C183" s="209" t="s">
        <v>3203</v>
      </c>
      <c r="D183" s="209" t="s">
        <v>3204</v>
      </c>
      <c r="E183" s="209" t="s">
        <v>3205</v>
      </c>
      <c r="F183" s="209" t="s">
        <v>2739</v>
      </c>
      <c r="G183" s="209" t="s">
        <v>2740</v>
      </c>
      <c r="H183" s="209" t="s">
        <v>133</v>
      </c>
      <c r="I183" s="209" t="s">
        <v>133</v>
      </c>
      <c r="J183" s="209" t="s">
        <v>3970</v>
      </c>
      <c r="K183" s="209" t="s">
        <v>3971</v>
      </c>
      <c r="L183" s="209" t="s">
        <v>3972</v>
      </c>
      <c r="M183" s="209" t="s">
        <v>3973</v>
      </c>
      <c r="N183" s="209" t="s">
        <v>3974</v>
      </c>
      <c r="O183" s="209" t="s">
        <v>3213</v>
      </c>
      <c r="P183" s="209" t="s">
        <v>2260</v>
      </c>
      <c r="Q183" s="209" t="s">
        <v>2298</v>
      </c>
      <c r="R183" s="209" t="s">
        <v>2181</v>
      </c>
      <c r="S183" s="209" t="s">
        <v>133</v>
      </c>
      <c r="T183" s="209" t="s">
        <v>133</v>
      </c>
      <c r="U183" s="209" t="s">
        <v>133</v>
      </c>
      <c r="V183" s="209" t="s">
        <v>133</v>
      </c>
      <c r="W183" s="209" t="s">
        <v>133</v>
      </c>
      <c r="X183" s="209" t="s">
        <v>133</v>
      </c>
      <c r="Y183" s="209" t="s">
        <v>133</v>
      </c>
      <c r="Z183" s="209" t="s">
        <v>2747</v>
      </c>
      <c r="AA183" s="209" t="s">
        <v>133</v>
      </c>
      <c r="AB183" s="209" t="s">
        <v>133</v>
      </c>
      <c r="AC183" s="209" t="s">
        <v>133</v>
      </c>
      <c r="AD183" s="209" t="s">
        <v>133</v>
      </c>
      <c r="AE183" s="209" t="s">
        <v>2748</v>
      </c>
    </row>
    <row r="184" spans="1:31" x14ac:dyDescent="0.55000000000000004">
      <c r="A184" s="209" t="s">
        <v>3975</v>
      </c>
      <c r="B184" s="209" t="s">
        <v>3217</v>
      </c>
      <c r="C184" s="209" t="s">
        <v>3218</v>
      </c>
      <c r="D184" s="209" t="s">
        <v>3219</v>
      </c>
      <c r="E184" s="209" t="s">
        <v>3220</v>
      </c>
      <c r="F184" s="209" t="s">
        <v>2739</v>
      </c>
      <c r="G184" s="209" t="s">
        <v>2740</v>
      </c>
      <c r="H184" s="209" t="s">
        <v>133</v>
      </c>
      <c r="I184" s="209" t="s">
        <v>133</v>
      </c>
      <c r="J184" s="209" t="s">
        <v>3970</v>
      </c>
      <c r="K184" s="209" t="s">
        <v>3976</v>
      </c>
      <c r="L184" s="209" t="s">
        <v>3977</v>
      </c>
      <c r="M184" s="209" t="s">
        <v>3978</v>
      </c>
      <c r="N184" s="209" t="s">
        <v>3974</v>
      </c>
      <c r="O184" s="209" t="s">
        <v>3224</v>
      </c>
      <c r="P184" s="209" t="s">
        <v>2260</v>
      </c>
      <c r="Q184" s="209" t="s">
        <v>2309</v>
      </c>
      <c r="R184" s="209" t="s">
        <v>2181</v>
      </c>
      <c r="S184" s="209" t="s">
        <v>133</v>
      </c>
      <c r="T184" s="209" t="s">
        <v>133</v>
      </c>
      <c r="U184" s="209" t="s">
        <v>133</v>
      </c>
      <c r="V184" s="209" t="s">
        <v>133</v>
      </c>
      <c r="W184" s="209" t="s">
        <v>133</v>
      </c>
      <c r="X184" s="209" t="s">
        <v>133</v>
      </c>
      <c r="Y184" s="209" t="s">
        <v>133</v>
      </c>
      <c r="Z184" s="209" t="s">
        <v>2747</v>
      </c>
      <c r="AA184" s="209" t="s">
        <v>133</v>
      </c>
      <c r="AB184" s="209" t="s">
        <v>133</v>
      </c>
      <c r="AC184" s="209" t="s">
        <v>133</v>
      </c>
      <c r="AD184" s="209" t="s">
        <v>133</v>
      </c>
      <c r="AE184" s="209" t="s">
        <v>2748</v>
      </c>
    </row>
    <row r="185" spans="1:31" x14ac:dyDescent="0.55000000000000004">
      <c r="A185" s="209" t="s">
        <v>3979</v>
      </c>
      <c r="B185" s="209" t="s">
        <v>2359</v>
      </c>
      <c r="C185" s="209" t="s">
        <v>2360</v>
      </c>
      <c r="D185" s="209" t="s">
        <v>2361</v>
      </c>
      <c r="E185" s="209" t="s">
        <v>2362</v>
      </c>
      <c r="F185" s="209" t="s">
        <v>2759</v>
      </c>
      <c r="G185" s="209" t="s">
        <v>2760</v>
      </c>
      <c r="H185" s="209" t="s">
        <v>133</v>
      </c>
      <c r="I185" s="209" t="s">
        <v>133</v>
      </c>
      <c r="J185" s="209" t="s">
        <v>3980</v>
      </c>
      <c r="K185" s="209" t="s">
        <v>3981</v>
      </c>
      <c r="L185" s="209" t="s">
        <v>3982</v>
      </c>
      <c r="M185" s="209" t="s">
        <v>3983</v>
      </c>
      <c r="N185" s="209" t="s">
        <v>3984</v>
      </c>
      <c r="O185" s="209" t="s">
        <v>2372</v>
      </c>
      <c r="P185" s="209" t="s">
        <v>2179</v>
      </c>
      <c r="Q185" s="209" t="s">
        <v>2180</v>
      </c>
      <c r="R185" s="209" t="s">
        <v>2181</v>
      </c>
      <c r="S185" s="209" t="s">
        <v>133</v>
      </c>
      <c r="T185" s="209" t="s">
        <v>133</v>
      </c>
      <c r="U185" s="209" t="s">
        <v>133</v>
      </c>
      <c r="V185" s="209" t="s">
        <v>133</v>
      </c>
      <c r="W185" s="209" t="s">
        <v>133</v>
      </c>
      <c r="X185" s="209" t="s">
        <v>133</v>
      </c>
      <c r="Y185" s="209" t="s">
        <v>133</v>
      </c>
      <c r="Z185" s="209" t="s">
        <v>2766</v>
      </c>
      <c r="AA185" s="209" t="s">
        <v>133</v>
      </c>
      <c r="AB185" s="209" t="s">
        <v>133</v>
      </c>
      <c r="AC185" s="209" t="s">
        <v>133</v>
      </c>
      <c r="AD185" s="209" t="s">
        <v>133</v>
      </c>
      <c r="AE185" s="209" t="s">
        <v>2767</v>
      </c>
    </row>
    <row r="186" spans="1:31" x14ac:dyDescent="0.55000000000000004">
      <c r="A186" s="209" t="s">
        <v>3985</v>
      </c>
      <c r="B186" s="209" t="s">
        <v>2376</v>
      </c>
      <c r="C186" s="209" t="s">
        <v>2377</v>
      </c>
      <c r="D186" s="209" t="s">
        <v>2378</v>
      </c>
      <c r="E186" s="209" t="s">
        <v>2379</v>
      </c>
      <c r="F186" s="209" t="s">
        <v>2759</v>
      </c>
      <c r="G186" s="209" t="s">
        <v>2760</v>
      </c>
      <c r="H186" s="209" t="s">
        <v>133</v>
      </c>
      <c r="I186" s="209" t="s">
        <v>133</v>
      </c>
      <c r="J186" s="209" t="s">
        <v>3980</v>
      </c>
      <c r="K186" s="209" t="s">
        <v>3986</v>
      </c>
      <c r="L186" s="209" t="s">
        <v>3987</v>
      </c>
      <c r="M186" s="209" t="s">
        <v>3988</v>
      </c>
      <c r="N186" s="209" t="s">
        <v>3984</v>
      </c>
      <c r="O186" s="209" t="s">
        <v>2385</v>
      </c>
      <c r="P186" s="209" t="s">
        <v>2179</v>
      </c>
      <c r="Q186" s="209" t="s">
        <v>2179</v>
      </c>
      <c r="R186" s="209" t="s">
        <v>2181</v>
      </c>
      <c r="S186" s="209" t="s">
        <v>133</v>
      </c>
      <c r="T186" s="209" t="s">
        <v>133</v>
      </c>
      <c r="U186" s="209" t="s">
        <v>133</v>
      </c>
      <c r="V186" s="209" t="s">
        <v>133</v>
      </c>
      <c r="W186" s="209" t="s">
        <v>133</v>
      </c>
      <c r="X186" s="209" t="s">
        <v>133</v>
      </c>
      <c r="Y186" s="209" t="s">
        <v>133</v>
      </c>
      <c r="Z186" s="209" t="s">
        <v>2766</v>
      </c>
      <c r="AA186" s="209" t="s">
        <v>133</v>
      </c>
      <c r="AB186" s="209" t="s">
        <v>133</v>
      </c>
      <c r="AC186" s="209" t="s">
        <v>133</v>
      </c>
      <c r="AD186" s="209" t="s">
        <v>133</v>
      </c>
      <c r="AE186" s="209" t="s">
        <v>2767</v>
      </c>
    </row>
    <row r="187" spans="1:31" x14ac:dyDescent="0.55000000000000004">
      <c r="A187" s="209" t="s">
        <v>3989</v>
      </c>
      <c r="B187" s="209" t="s">
        <v>2387</v>
      </c>
      <c r="C187" s="209" t="s">
        <v>2388</v>
      </c>
      <c r="D187" s="209" t="s">
        <v>2389</v>
      </c>
      <c r="E187" s="209" t="s">
        <v>2390</v>
      </c>
      <c r="F187" s="209" t="s">
        <v>2773</v>
      </c>
      <c r="G187" s="209" t="s">
        <v>2774</v>
      </c>
      <c r="H187" s="209" t="s">
        <v>133</v>
      </c>
      <c r="I187" s="209" t="s">
        <v>133</v>
      </c>
      <c r="J187" s="209" t="s">
        <v>3990</v>
      </c>
      <c r="K187" s="209" t="s">
        <v>3991</v>
      </c>
      <c r="L187" s="209" t="s">
        <v>3992</v>
      </c>
      <c r="M187" s="209" t="s">
        <v>3993</v>
      </c>
      <c r="N187" s="209" t="s">
        <v>3994</v>
      </c>
      <c r="O187" s="209" t="s">
        <v>2400</v>
      </c>
      <c r="P187" s="209" t="s">
        <v>2226</v>
      </c>
      <c r="Q187" s="209" t="s">
        <v>2226</v>
      </c>
      <c r="R187" s="209" t="s">
        <v>2181</v>
      </c>
      <c r="S187" s="209" t="s">
        <v>133</v>
      </c>
      <c r="T187" s="209" t="s">
        <v>133</v>
      </c>
      <c r="U187" s="209" t="s">
        <v>133</v>
      </c>
      <c r="V187" s="209" t="s">
        <v>133</v>
      </c>
      <c r="W187" s="209" t="s">
        <v>133</v>
      </c>
      <c r="X187" s="209" t="s">
        <v>133</v>
      </c>
      <c r="Y187" s="209" t="s">
        <v>133</v>
      </c>
      <c r="Z187" s="209" t="s">
        <v>2780</v>
      </c>
      <c r="AA187" s="209" t="s">
        <v>133</v>
      </c>
      <c r="AB187" s="209" t="s">
        <v>133</v>
      </c>
      <c r="AC187" s="209" t="s">
        <v>133</v>
      </c>
      <c r="AD187" s="209" t="s">
        <v>133</v>
      </c>
      <c r="AE187" s="209" t="s">
        <v>2781</v>
      </c>
    </row>
    <row r="188" spans="1:31" x14ac:dyDescent="0.55000000000000004">
      <c r="A188" s="209" t="s">
        <v>3995</v>
      </c>
      <c r="B188" s="209" t="s">
        <v>2402</v>
      </c>
      <c r="C188" s="209" t="s">
        <v>2403</v>
      </c>
      <c r="D188" s="209" t="s">
        <v>2404</v>
      </c>
      <c r="E188" s="209" t="s">
        <v>2405</v>
      </c>
      <c r="F188" s="209" t="s">
        <v>2773</v>
      </c>
      <c r="G188" s="209" t="s">
        <v>2774</v>
      </c>
      <c r="H188" s="209" t="s">
        <v>133</v>
      </c>
      <c r="I188" s="209" t="s">
        <v>133</v>
      </c>
      <c r="J188" s="209" t="s">
        <v>3990</v>
      </c>
      <c r="K188" s="209" t="s">
        <v>3996</v>
      </c>
      <c r="L188" s="209" t="s">
        <v>3997</v>
      </c>
      <c r="M188" s="209" t="s">
        <v>3998</v>
      </c>
      <c r="N188" s="209" t="s">
        <v>3994</v>
      </c>
      <c r="O188" s="209" t="s">
        <v>2411</v>
      </c>
      <c r="P188" s="209" t="s">
        <v>2226</v>
      </c>
      <c r="Q188" s="209" t="s">
        <v>2236</v>
      </c>
      <c r="R188" s="209" t="s">
        <v>2181</v>
      </c>
      <c r="S188" s="209" t="s">
        <v>133</v>
      </c>
      <c r="T188" s="209" t="s">
        <v>133</v>
      </c>
      <c r="U188" s="209" t="s">
        <v>133</v>
      </c>
      <c r="V188" s="209" t="s">
        <v>133</v>
      </c>
      <c r="W188" s="209" t="s">
        <v>133</v>
      </c>
      <c r="X188" s="209" t="s">
        <v>133</v>
      </c>
      <c r="Y188" s="209" t="s">
        <v>133</v>
      </c>
      <c r="Z188" s="209" t="s">
        <v>2780</v>
      </c>
      <c r="AA188" s="209" t="s">
        <v>133</v>
      </c>
      <c r="AB188" s="209" t="s">
        <v>133</v>
      </c>
      <c r="AC188" s="209" t="s">
        <v>133</v>
      </c>
      <c r="AD188" s="209" t="s">
        <v>133</v>
      </c>
      <c r="AE188" s="209" t="s">
        <v>2781</v>
      </c>
    </row>
    <row r="189" spans="1:31" x14ac:dyDescent="0.55000000000000004">
      <c r="A189" s="209" t="s">
        <v>3999</v>
      </c>
      <c r="B189" s="209" t="s">
        <v>3040</v>
      </c>
      <c r="C189" s="209" t="s">
        <v>3041</v>
      </c>
      <c r="D189" s="209" t="s">
        <v>3042</v>
      </c>
      <c r="E189" s="209" t="s">
        <v>3043</v>
      </c>
      <c r="F189" s="209" t="s">
        <v>4000</v>
      </c>
      <c r="G189" s="209" t="s">
        <v>4001</v>
      </c>
      <c r="H189" s="209" t="s">
        <v>4002</v>
      </c>
      <c r="I189" s="209" t="s">
        <v>4003</v>
      </c>
      <c r="J189" s="209" t="s">
        <v>4004</v>
      </c>
      <c r="K189" s="209" t="s">
        <v>4005</v>
      </c>
      <c r="L189" s="209" t="s">
        <v>4006</v>
      </c>
      <c r="M189" s="209" t="s">
        <v>4007</v>
      </c>
      <c r="N189" s="209" t="s">
        <v>4008</v>
      </c>
      <c r="O189" s="209" t="s">
        <v>3051</v>
      </c>
      <c r="P189" s="209" t="s">
        <v>2179</v>
      </c>
      <c r="Q189" s="209" t="s">
        <v>2180</v>
      </c>
      <c r="R189" s="209" t="s">
        <v>2373</v>
      </c>
      <c r="S189" s="209" t="s">
        <v>133</v>
      </c>
      <c r="T189" s="209" t="s">
        <v>133</v>
      </c>
      <c r="U189" s="209" t="s">
        <v>133</v>
      </c>
      <c r="V189" s="209" t="s">
        <v>133</v>
      </c>
      <c r="W189" s="209" t="s">
        <v>133</v>
      </c>
      <c r="X189" s="209" t="s">
        <v>133</v>
      </c>
      <c r="Y189" s="209" t="s">
        <v>133</v>
      </c>
      <c r="Z189" s="209" t="s">
        <v>133</v>
      </c>
      <c r="AA189" s="209" t="s">
        <v>133</v>
      </c>
      <c r="AB189" s="209" t="s">
        <v>133</v>
      </c>
      <c r="AC189" s="209" t="s">
        <v>133</v>
      </c>
      <c r="AD189" s="209" t="s">
        <v>133</v>
      </c>
      <c r="AE189" s="209" t="s">
        <v>2586</v>
      </c>
    </row>
    <row r="190" spans="1:31" x14ac:dyDescent="0.55000000000000004">
      <c r="A190" s="209" t="s">
        <v>4009</v>
      </c>
      <c r="B190" s="209" t="s">
        <v>3055</v>
      </c>
      <c r="C190" s="209" t="s">
        <v>3056</v>
      </c>
      <c r="D190" s="209" t="s">
        <v>3057</v>
      </c>
      <c r="E190" s="209" t="s">
        <v>3058</v>
      </c>
      <c r="F190" s="209" t="s">
        <v>4000</v>
      </c>
      <c r="G190" s="209" t="s">
        <v>4001</v>
      </c>
      <c r="H190" s="209" t="s">
        <v>4010</v>
      </c>
      <c r="I190" s="209" t="s">
        <v>4011</v>
      </c>
      <c r="J190" s="209" t="s">
        <v>4004</v>
      </c>
      <c r="K190" s="209" t="s">
        <v>4012</v>
      </c>
      <c r="L190" s="209" t="s">
        <v>4013</v>
      </c>
      <c r="M190" s="209" t="s">
        <v>4014</v>
      </c>
      <c r="N190" s="209" t="s">
        <v>4008</v>
      </c>
      <c r="O190" s="209" t="s">
        <v>3062</v>
      </c>
      <c r="P190" s="209" t="s">
        <v>2179</v>
      </c>
      <c r="Q190" s="209" t="s">
        <v>2179</v>
      </c>
      <c r="R190" s="209" t="s">
        <v>2373</v>
      </c>
      <c r="S190" s="209" t="s">
        <v>133</v>
      </c>
      <c r="T190" s="209" t="s">
        <v>133</v>
      </c>
      <c r="U190" s="209" t="s">
        <v>133</v>
      </c>
      <c r="V190" s="209" t="s">
        <v>133</v>
      </c>
      <c r="W190" s="209" t="s">
        <v>133</v>
      </c>
      <c r="X190" s="209" t="s">
        <v>133</v>
      </c>
      <c r="Y190" s="209" t="s">
        <v>133</v>
      </c>
      <c r="Z190" s="209" t="s">
        <v>133</v>
      </c>
      <c r="AA190" s="209" t="s">
        <v>133</v>
      </c>
      <c r="AB190" s="209" t="s">
        <v>133</v>
      </c>
      <c r="AC190" s="209" t="s">
        <v>133</v>
      </c>
      <c r="AD190" s="209" t="s">
        <v>133</v>
      </c>
      <c r="AE190" s="209" t="s">
        <v>2586</v>
      </c>
    </row>
    <row r="191" spans="1:31" x14ac:dyDescent="0.55000000000000004">
      <c r="A191" s="209" t="s">
        <v>4015</v>
      </c>
      <c r="B191" s="209" t="s">
        <v>3064</v>
      </c>
      <c r="C191" s="209" t="s">
        <v>3065</v>
      </c>
      <c r="D191" s="209" t="s">
        <v>3066</v>
      </c>
      <c r="E191" s="209" t="s">
        <v>3067</v>
      </c>
      <c r="F191" s="209" t="s">
        <v>4016</v>
      </c>
      <c r="G191" s="209" t="s">
        <v>4017</v>
      </c>
      <c r="H191" s="209" t="s">
        <v>4018</v>
      </c>
      <c r="I191" s="209" t="s">
        <v>4019</v>
      </c>
      <c r="J191" s="209" t="s">
        <v>4020</v>
      </c>
      <c r="K191" s="209" t="s">
        <v>4021</v>
      </c>
      <c r="L191" s="209" t="s">
        <v>4022</v>
      </c>
      <c r="M191" s="209" t="s">
        <v>4023</v>
      </c>
      <c r="N191" s="209" t="s">
        <v>4024</v>
      </c>
      <c r="O191" s="209" t="s">
        <v>3075</v>
      </c>
      <c r="P191" s="209" t="s">
        <v>2226</v>
      </c>
      <c r="Q191" s="209" t="s">
        <v>2226</v>
      </c>
      <c r="R191" s="209" t="s">
        <v>2373</v>
      </c>
      <c r="S191" s="209" t="s">
        <v>133</v>
      </c>
      <c r="T191" s="209" t="s">
        <v>133</v>
      </c>
      <c r="U191" s="209" t="s">
        <v>133</v>
      </c>
      <c r="V191" s="209" t="s">
        <v>133</v>
      </c>
      <c r="W191" s="209" t="s">
        <v>133</v>
      </c>
      <c r="X191" s="209" t="s">
        <v>133</v>
      </c>
      <c r="Y191" s="209" t="s">
        <v>133</v>
      </c>
      <c r="Z191" s="209" t="s">
        <v>133</v>
      </c>
      <c r="AA191" s="209" t="s">
        <v>133</v>
      </c>
      <c r="AB191" s="209" t="s">
        <v>133</v>
      </c>
      <c r="AC191" s="209" t="s">
        <v>133</v>
      </c>
      <c r="AD191" s="209" t="s">
        <v>133</v>
      </c>
      <c r="AE191" s="209" t="s">
        <v>2586</v>
      </c>
    </row>
    <row r="192" spans="1:31" x14ac:dyDescent="0.55000000000000004">
      <c r="A192" s="209" t="s">
        <v>4025</v>
      </c>
      <c r="B192" s="209" t="s">
        <v>3079</v>
      </c>
      <c r="C192" s="209" t="s">
        <v>3080</v>
      </c>
      <c r="D192" s="209" t="s">
        <v>3081</v>
      </c>
      <c r="E192" s="209" t="s">
        <v>3082</v>
      </c>
      <c r="F192" s="209" t="s">
        <v>4016</v>
      </c>
      <c r="G192" s="209" t="s">
        <v>4017</v>
      </c>
      <c r="H192" s="209" t="s">
        <v>4026</v>
      </c>
      <c r="I192" s="209" t="s">
        <v>4027</v>
      </c>
      <c r="J192" s="209" t="s">
        <v>4020</v>
      </c>
      <c r="K192" s="209" t="s">
        <v>4028</v>
      </c>
      <c r="L192" s="209" t="s">
        <v>4029</v>
      </c>
      <c r="M192" s="209" t="s">
        <v>4030</v>
      </c>
      <c r="N192" s="209" t="s">
        <v>4024</v>
      </c>
      <c r="O192" s="209" t="s">
        <v>3086</v>
      </c>
      <c r="P192" s="209" t="s">
        <v>2226</v>
      </c>
      <c r="Q192" s="209" t="s">
        <v>2236</v>
      </c>
      <c r="R192" s="209" t="s">
        <v>2373</v>
      </c>
      <c r="S192" s="209" t="s">
        <v>133</v>
      </c>
      <c r="T192" s="209" t="s">
        <v>133</v>
      </c>
      <c r="U192" s="209" t="s">
        <v>133</v>
      </c>
      <c r="V192" s="209" t="s">
        <v>133</v>
      </c>
      <c r="W192" s="209" t="s">
        <v>133</v>
      </c>
      <c r="X192" s="209" t="s">
        <v>133</v>
      </c>
      <c r="Y192" s="209" t="s">
        <v>133</v>
      </c>
      <c r="Z192" s="209" t="s">
        <v>133</v>
      </c>
      <c r="AA192" s="209" t="s">
        <v>133</v>
      </c>
      <c r="AB192" s="209" t="s">
        <v>133</v>
      </c>
      <c r="AC192" s="209" t="s">
        <v>133</v>
      </c>
      <c r="AD192" s="209" t="s">
        <v>133</v>
      </c>
      <c r="AE192" s="209" t="s">
        <v>2586</v>
      </c>
    </row>
    <row r="193" spans="1:31" x14ac:dyDescent="0.55000000000000004">
      <c r="A193" s="209" t="s">
        <v>4031</v>
      </c>
      <c r="B193" s="209" t="s">
        <v>3088</v>
      </c>
      <c r="C193" s="209" t="s">
        <v>3089</v>
      </c>
      <c r="D193" s="209" t="s">
        <v>3090</v>
      </c>
      <c r="E193" s="209" t="s">
        <v>3091</v>
      </c>
      <c r="F193" s="209" t="s">
        <v>4032</v>
      </c>
      <c r="G193" s="209" t="s">
        <v>4033</v>
      </c>
      <c r="H193" s="209" t="s">
        <v>133</v>
      </c>
      <c r="I193" s="209" t="s">
        <v>133</v>
      </c>
      <c r="J193" s="209" t="s">
        <v>4034</v>
      </c>
      <c r="K193" s="209" t="s">
        <v>4035</v>
      </c>
      <c r="L193" s="209" t="s">
        <v>4036</v>
      </c>
      <c r="M193" s="209" t="s">
        <v>4037</v>
      </c>
      <c r="N193" s="209" t="s">
        <v>4038</v>
      </c>
      <c r="O193" s="209" t="s">
        <v>3099</v>
      </c>
      <c r="P193" s="209" t="s">
        <v>2236</v>
      </c>
      <c r="Q193" s="209" t="s">
        <v>2250</v>
      </c>
      <c r="R193" s="209" t="s">
        <v>2373</v>
      </c>
      <c r="S193" s="209" t="s">
        <v>133</v>
      </c>
      <c r="T193" s="209" t="s">
        <v>133</v>
      </c>
      <c r="U193" s="209" t="s">
        <v>133</v>
      </c>
      <c r="V193" s="209" t="s">
        <v>133</v>
      </c>
      <c r="W193" s="209" t="s">
        <v>133</v>
      </c>
      <c r="X193" s="209" t="s">
        <v>133</v>
      </c>
      <c r="Y193" s="209" t="s">
        <v>133</v>
      </c>
      <c r="Z193" s="209" t="s">
        <v>133</v>
      </c>
      <c r="AA193" s="209" t="s">
        <v>133</v>
      </c>
      <c r="AB193" s="209" t="s">
        <v>133</v>
      </c>
      <c r="AC193" s="209" t="s">
        <v>133</v>
      </c>
      <c r="AD193" s="209" t="s">
        <v>133</v>
      </c>
      <c r="AE193" s="209" t="s">
        <v>2617</v>
      </c>
    </row>
    <row r="194" spans="1:31" x14ac:dyDescent="0.55000000000000004">
      <c r="A194" s="209" t="s">
        <v>4039</v>
      </c>
      <c r="B194" s="209" t="s">
        <v>3103</v>
      </c>
      <c r="C194" s="209" t="s">
        <v>3104</v>
      </c>
      <c r="D194" s="209" t="s">
        <v>3105</v>
      </c>
      <c r="E194" s="209" t="s">
        <v>3106</v>
      </c>
      <c r="F194" s="209" t="s">
        <v>4032</v>
      </c>
      <c r="G194" s="209" t="s">
        <v>4033</v>
      </c>
      <c r="H194" s="209" t="s">
        <v>133</v>
      </c>
      <c r="I194" s="209" t="s">
        <v>133</v>
      </c>
      <c r="J194" s="209" t="s">
        <v>4034</v>
      </c>
      <c r="K194" s="209" t="s">
        <v>4040</v>
      </c>
      <c r="L194" s="209" t="s">
        <v>4041</v>
      </c>
      <c r="M194" s="209" t="s">
        <v>4042</v>
      </c>
      <c r="N194" s="209" t="s">
        <v>4038</v>
      </c>
      <c r="O194" s="209" t="s">
        <v>3110</v>
      </c>
      <c r="P194" s="209" t="s">
        <v>2236</v>
      </c>
      <c r="Q194" s="209" t="s">
        <v>2260</v>
      </c>
      <c r="R194" s="209" t="s">
        <v>2373</v>
      </c>
      <c r="S194" s="209" t="s">
        <v>133</v>
      </c>
      <c r="T194" s="209" t="s">
        <v>133</v>
      </c>
      <c r="U194" s="209" t="s">
        <v>133</v>
      </c>
      <c r="V194" s="209" t="s">
        <v>133</v>
      </c>
      <c r="W194" s="209" t="s">
        <v>133</v>
      </c>
      <c r="X194" s="209" t="s">
        <v>133</v>
      </c>
      <c r="Y194" s="209" t="s">
        <v>133</v>
      </c>
      <c r="Z194" s="209" t="s">
        <v>133</v>
      </c>
      <c r="AA194" s="209" t="s">
        <v>133</v>
      </c>
      <c r="AB194" s="209" t="s">
        <v>133</v>
      </c>
      <c r="AC194" s="209" t="s">
        <v>133</v>
      </c>
      <c r="AD194" s="209" t="s">
        <v>133</v>
      </c>
      <c r="AE194" s="209" t="s">
        <v>2617</v>
      </c>
    </row>
    <row r="195" spans="1:31" x14ac:dyDescent="0.55000000000000004">
      <c r="A195" s="209" t="s">
        <v>4043</v>
      </c>
      <c r="B195" s="209" t="s">
        <v>3112</v>
      </c>
      <c r="C195" s="209" t="s">
        <v>3113</v>
      </c>
      <c r="D195" s="209" t="s">
        <v>3114</v>
      </c>
      <c r="E195" s="209" t="s">
        <v>3115</v>
      </c>
      <c r="F195" s="209" t="s">
        <v>4044</v>
      </c>
      <c r="G195" s="209" t="s">
        <v>4045</v>
      </c>
      <c r="H195" s="209" t="s">
        <v>4046</v>
      </c>
      <c r="I195" s="209" t="s">
        <v>4047</v>
      </c>
      <c r="J195" s="209" t="s">
        <v>4048</v>
      </c>
      <c r="K195" s="209" t="s">
        <v>4049</v>
      </c>
      <c r="L195" s="209" t="s">
        <v>4050</v>
      </c>
      <c r="M195" s="209" t="s">
        <v>4051</v>
      </c>
      <c r="N195" s="209" t="s">
        <v>4052</v>
      </c>
      <c r="O195" s="209" t="s">
        <v>3123</v>
      </c>
      <c r="P195" s="209" t="s">
        <v>2250</v>
      </c>
      <c r="Q195" s="209" t="s">
        <v>2274</v>
      </c>
      <c r="R195" s="209" t="s">
        <v>2373</v>
      </c>
      <c r="S195" s="209" t="s">
        <v>133</v>
      </c>
      <c r="T195" s="209" t="s">
        <v>133</v>
      </c>
      <c r="U195" s="209" t="s">
        <v>133</v>
      </c>
      <c r="V195" s="209" t="s">
        <v>133</v>
      </c>
      <c r="W195" s="209" t="s">
        <v>133</v>
      </c>
      <c r="X195" s="209" t="s">
        <v>133</v>
      </c>
      <c r="Y195" s="209" t="s">
        <v>133</v>
      </c>
      <c r="Z195" s="209" t="s">
        <v>133</v>
      </c>
      <c r="AA195" s="209" t="s">
        <v>133</v>
      </c>
      <c r="AB195" s="209" t="s">
        <v>133</v>
      </c>
      <c r="AC195" s="209" t="s">
        <v>133</v>
      </c>
      <c r="AD195" s="209" t="s">
        <v>133</v>
      </c>
      <c r="AE195" s="209" t="s">
        <v>2586</v>
      </c>
    </row>
    <row r="196" spans="1:31" x14ac:dyDescent="0.55000000000000004">
      <c r="A196" s="209" t="s">
        <v>4053</v>
      </c>
      <c r="B196" s="209" t="s">
        <v>3127</v>
      </c>
      <c r="C196" s="209" t="s">
        <v>3128</v>
      </c>
      <c r="D196" s="209" t="s">
        <v>3129</v>
      </c>
      <c r="E196" s="209" t="s">
        <v>3130</v>
      </c>
      <c r="F196" s="209" t="s">
        <v>4044</v>
      </c>
      <c r="G196" s="209" t="s">
        <v>4045</v>
      </c>
      <c r="H196" s="209" t="s">
        <v>4054</v>
      </c>
      <c r="I196" s="209" t="s">
        <v>4055</v>
      </c>
      <c r="J196" s="209" t="s">
        <v>4048</v>
      </c>
      <c r="K196" s="209" t="s">
        <v>4056</v>
      </c>
      <c r="L196" s="209" t="s">
        <v>4057</v>
      </c>
      <c r="M196" s="209" t="s">
        <v>4058</v>
      </c>
      <c r="N196" s="209" t="s">
        <v>4052</v>
      </c>
      <c r="O196" s="209" t="s">
        <v>3134</v>
      </c>
      <c r="P196" s="209" t="s">
        <v>2250</v>
      </c>
      <c r="Q196" s="209" t="s">
        <v>2284</v>
      </c>
      <c r="R196" s="209" t="s">
        <v>2373</v>
      </c>
      <c r="S196" s="209" t="s">
        <v>133</v>
      </c>
      <c r="T196" s="209" t="s">
        <v>133</v>
      </c>
      <c r="U196" s="209" t="s">
        <v>133</v>
      </c>
      <c r="V196" s="209" t="s">
        <v>133</v>
      </c>
      <c r="W196" s="209" t="s">
        <v>133</v>
      </c>
      <c r="X196" s="209" t="s">
        <v>133</v>
      </c>
      <c r="Y196" s="209" t="s">
        <v>133</v>
      </c>
      <c r="Z196" s="209" t="s">
        <v>133</v>
      </c>
      <c r="AA196" s="209" t="s">
        <v>133</v>
      </c>
      <c r="AB196" s="209" t="s">
        <v>133</v>
      </c>
      <c r="AC196" s="209" t="s">
        <v>133</v>
      </c>
      <c r="AD196" s="209" t="s">
        <v>133</v>
      </c>
      <c r="AE196" s="209" t="s">
        <v>2586</v>
      </c>
    </row>
    <row r="197" spans="1:31" x14ac:dyDescent="0.55000000000000004">
      <c r="A197" s="209" t="s">
        <v>4059</v>
      </c>
      <c r="B197" s="209" t="s">
        <v>3040</v>
      </c>
      <c r="C197" s="209" t="s">
        <v>3041</v>
      </c>
      <c r="D197" s="209" t="s">
        <v>3042</v>
      </c>
      <c r="E197" s="209" t="s">
        <v>3043</v>
      </c>
      <c r="F197" s="209" t="s">
        <v>4060</v>
      </c>
      <c r="G197" s="209" t="s">
        <v>4061</v>
      </c>
      <c r="H197" s="209" t="s">
        <v>4062</v>
      </c>
      <c r="I197" s="209" t="s">
        <v>4063</v>
      </c>
      <c r="J197" s="209" t="s">
        <v>4064</v>
      </c>
      <c r="K197" s="209" t="s">
        <v>4065</v>
      </c>
      <c r="L197" s="209" t="s">
        <v>4066</v>
      </c>
      <c r="M197" s="209" t="s">
        <v>4067</v>
      </c>
      <c r="N197" s="209" t="s">
        <v>4068</v>
      </c>
      <c r="O197" s="209" t="s">
        <v>3051</v>
      </c>
      <c r="P197" s="209" t="s">
        <v>2179</v>
      </c>
      <c r="Q197" s="209" t="s">
        <v>2180</v>
      </c>
      <c r="R197" s="209" t="s">
        <v>2373</v>
      </c>
      <c r="S197" s="209" t="s">
        <v>133</v>
      </c>
      <c r="T197" s="209" t="s">
        <v>133</v>
      </c>
      <c r="U197" s="209" t="s">
        <v>133</v>
      </c>
      <c r="V197" s="209" t="s">
        <v>133</v>
      </c>
      <c r="W197" s="209" t="s">
        <v>133</v>
      </c>
      <c r="X197" s="209" t="s">
        <v>133</v>
      </c>
      <c r="Y197" s="209" t="s">
        <v>133</v>
      </c>
      <c r="Z197" s="209" t="s">
        <v>133</v>
      </c>
      <c r="AA197" s="209" t="s">
        <v>133</v>
      </c>
      <c r="AB197" s="209" t="s">
        <v>133</v>
      </c>
      <c r="AC197" s="209" t="s">
        <v>133</v>
      </c>
      <c r="AD197" s="209" t="s">
        <v>133</v>
      </c>
      <c r="AE197" s="209" t="s">
        <v>2374</v>
      </c>
    </row>
    <row r="198" spans="1:31" x14ac:dyDescent="0.55000000000000004">
      <c r="A198" s="209" t="s">
        <v>4069</v>
      </c>
      <c r="B198" s="209" t="s">
        <v>3055</v>
      </c>
      <c r="C198" s="209" t="s">
        <v>3056</v>
      </c>
      <c r="D198" s="209" t="s">
        <v>3057</v>
      </c>
      <c r="E198" s="209" t="s">
        <v>3058</v>
      </c>
      <c r="F198" s="209" t="s">
        <v>4060</v>
      </c>
      <c r="G198" s="209" t="s">
        <v>4061</v>
      </c>
      <c r="H198" s="209" t="s">
        <v>4070</v>
      </c>
      <c r="I198" s="209" t="s">
        <v>4071</v>
      </c>
      <c r="J198" s="209" t="s">
        <v>4064</v>
      </c>
      <c r="K198" s="209" t="s">
        <v>4072</v>
      </c>
      <c r="L198" s="209" t="s">
        <v>4073</v>
      </c>
      <c r="M198" s="209" t="s">
        <v>4074</v>
      </c>
      <c r="N198" s="209" t="s">
        <v>4068</v>
      </c>
      <c r="O198" s="209" t="s">
        <v>3062</v>
      </c>
      <c r="P198" s="209" t="s">
        <v>2179</v>
      </c>
      <c r="Q198" s="209" t="s">
        <v>2179</v>
      </c>
      <c r="R198" s="209" t="s">
        <v>2373</v>
      </c>
      <c r="S198" s="209" t="s">
        <v>133</v>
      </c>
      <c r="T198" s="209" t="s">
        <v>133</v>
      </c>
      <c r="U198" s="209" t="s">
        <v>133</v>
      </c>
      <c r="V198" s="209" t="s">
        <v>133</v>
      </c>
      <c r="W198" s="209" t="s">
        <v>133</v>
      </c>
      <c r="X198" s="209" t="s">
        <v>133</v>
      </c>
      <c r="Y198" s="209" t="s">
        <v>133</v>
      </c>
      <c r="Z198" s="209" t="s">
        <v>133</v>
      </c>
      <c r="AA198" s="209" t="s">
        <v>133</v>
      </c>
      <c r="AB198" s="209" t="s">
        <v>133</v>
      </c>
      <c r="AC198" s="209" t="s">
        <v>133</v>
      </c>
      <c r="AD198" s="209" t="s">
        <v>133</v>
      </c>
      <c r="AE198" s="209" t="s">
        <v>2374</v>
      </c>
    </row>
    <row r="199" spans="1:31" x14ac:dyDescent="0.55000000000000004">
      <c r="A199" s="209" t="s">
        <v>4075</v>
      </c>
      <c r="B199" s="209" t="s">
        <v>3064</v>
      </c>
      <c r="C199" s="209" t="s">
        <v>3065</v>
      </c>
      <c r="D199" s="209" t="s">
        <v>3066</v>
      </c>
      <c r="E199" s="209" t="s">
        <v>3067</v>
      </c>
      <c r="F199" s="209" t="s">
        <v>4076</v>
      </c>
      <c r="G199" s="209" t="s">
        <v>4077</v>
      </c>
      <c r="H199" s="209" t="s">
        <v>4078</v>
      </c>
      <c r="I199" s="209" t="s">
        <v>4079</v>
      </c>
      <c r="J199" s="209" t="s">
        <v>4080</v>
      </c>
      <c r="K199" s="209" t="s">
        <v>4081</v>
      </c>
      <c r="L199" s="209" t="s">
        <v>4082</v>
      </c>
      <c r="M199" s="209" t="s">
        <v>4083</v>
      </c>
      <c r="N199" s="209" t="s">
        <v>4084</v>
      </c>
      <c r="O199" s="209" t="s">
        <v>3075</v>
      </c>
      <c r="P199" s="209" t="s">
        <v>2226</v>
      </c>
      <c r="Q199" s="209" t="s">
        <v>2226</v>
      </c>
      <c r="R199" s="209" t="s">
        <v>2373</v>
      </c>
      <c r="S199" s="209" t="s">
        <v>133</v>
      </c>
      <c r="T199" s="209" t="s">
        <v>133</v>
      </c>
      <c r="U199" s="209" t="s">
        <v>133</v>
      </c>
      <c r="V199" s="209" t="s">
        <v>133</v>
      </c>
      <c r="W199" s="209" t="s">
        <v>133</v>
      </c>
      <c r="X199" s="209" t="s">
        <v>133</v>
      </c>
      <c r="Y199" s="209" t="s">
        <v>133</v>
      </c>
      <c r="Z199" s="209" t="s">
        <v>133</v>
      </c>
      <c r="AA199" s="209" t="s">
        <v>133</v>
      </c>
      <c r="AB199" s="209" t="s">
        <v>133</v>
      </c>
      <c r="AC199" s="209" t="s">
        <v>133</v>
      </c>
      <c r="AD199" s="209" t="s">
        <v>133</v>
      </c>
      <c r="AE199" s="209" t="s">
        <v>2374</v>
      </c>
    </row>
    <row r="200" spans="1:31" x14ac:dyDescent="0.55000000000000004">
      <c r="A200" s="209" t="s">
        <v>4085</v>
      </c>
      <c r="B200" s="209" t="s">
        <v>3079</v>
      </c>
      <c r="C200" s="209" t="s">
        <v>3080</v>
      </c>
      <c r="D200" s="209" t="s">
        <v>3081</v>
      </c>
      <c r="E200" s="209" t="s">
        <v>3082</v>
      </c>
      <c r="F200" s="209" t="s">
        <v>4076</v>
      </c>
      <c r="G200" s="209" t="s">
        <v>4077</v>
      </c>
      <c r="H200" s="209" t="s">
        <v>4086</v>
      </c>
      <c r="I200" s="209" t="s">
        <v>4087</v>
      </c>
      <c r="J200" s="209" t="s">
        <v>4080</v>
      </c>
      <c r="K200" s="209" t="s">
        <v>4088</v>
      </c>
      <c r="L200" s="209" t="s">
        <v>4089</v>
      </c>
      <c r="M200" s="209" t="s">
        <v>4090</v>
      </c>
      <c r="N200" s="209" t="s">
        <v>4084</v>
      </c>
      <c r="O200" s="209" t="s">
        <v>3086</v>
      </c>
      <c r="P200" s="209" t="s">
        <v>2226</v>
      </c>
      <c r="Q200" s="209" t="s">
        <v>2236</v>
      </c>
      <c r="R200" s="209" t="s">
        <v>2373</v>
      </c>
      <c r="S200" s="209" t="s">
        <v>133</v>
      </c>
      <c r="T200" s="209" t="s">
        <v>133</v>
      </c>
      <c r="U200" s="209" t="s">
        <v>133</v>
      </c>
      <c r="V200" s="209" t="s">
        <v>133</v>
      </c>
      <c r="W200" s="209" t="s">
        <v>133</v>
      </c>
      <c r="X200" s="209" t="s">
        <v>133</v>
      </c>
      <c r="Y200" s="209" t="s">
        <v>133</v>
      </c>
      <c r="Z200" s="209" t="s">
        <v>133</v>
      </c>
      <c r="AA200" s="209" t="s">
        <v>133</v>
      </c>
      <c r="AB200" s="209" t="s">
        <v>133</v>
      </c>
      <c r="AC200" s="209" t="s">
        <v>133</v>
      </c>
      <c r="AD200" s="209" t="s">
        <v>133</v>
      </c>
      <c r="AE200" s="209" t="s">
        <v>2374</v>
      </c>
    </row>
    <row r="201" spans="1:31" x14ac:dyDescent="0.55000000000000004">
      <c r="A201" s="209" t="s">
        <v>4091</v>
      </c>
      <c r="B201" s="209" t="s">
        <v>3088</v>
      </c>
      <c r="C201" s="209" t="s">
        <v>3089</v>
      </c>
      <c r="D201" s="209" t="s">
        <v>3090</v>
      </c>
      <c r="E201" s="209" t="s">
        <v>3091</v>
      </c>
      <c r="F201" s="209" t="s">
        <v>4092</v>
      </c>
      <c r="G201" s="209" t="s">
        <v>4093</v>
      </c>
      <c r="H201" s="209" t="s">
        <v>133</v>
      </c>
      <c r="I201" s="209" t="s">
        <v>133</v>
      </c>
      <c r="J201" s="209" t="s">
        <v>4094</v>
      </c>
      <c r="K201" s="209" t="s">
        <v>4095</v>
      </c>
      <c r="L201" s="209" t="s">
        <v>4096</v>
      </c>
      <c r="M201" s="209" t="s">
        <v>4097</v>
      </c>
      <c r="N201" s="209" t="s">
        <v>4098</v>
      </c>
      <c r="O201" s="209" t="s">
        <v>3099</v>
      </c>
      <c r="P201" s="209" t="s">
        <v>2236</v>
      </c>
      <c r="Q201" s="209" t="s">
        <v>2250</v>
      </c>
      <c r="R201" s="209" t="s">
        <v>2373</v>
      </c>
      <c r="S201" s="209" t="s">
        <v>133</v>
      </c>
      <c r="T201" s="209" t="s">
        <v>133</v>
      </c>
      <c r="U201" s="209" t="s">
        <v>133</v>
      </c>
      <c r="V201" s="209" t="s">
        <v>133</v>
      </c>
      <c r="W201" s="209" t="s">
        <v>133</v>
      </c>
      <c r="X201" s="209" t="s">
        <v>133</v>
      </c>
      <c r="Y201" s="209" t="s">
        <v>133</v>
      </c>
      <c r="Z201" s="209" t="s">
        <v>133</v>
      </c>
      <c r="AA201" s="209" t="s">
        <v>133</v>
      </c>
      <c r="AB201" s="209" t="s">
        <v>133</v>
      </c>
      <c r="AC201" s="209" t="s">
        <v>133</v>
      </c>
      <c r="AD201" s="209" t="s">
        <v>133</v>
      </c>
      <c r="AE201" s="209" t="s">
        <v>2425</v>
      </c>
    </row>
    <row r="202" spans="1:31" x14ac:dyDescent="0.55000000000000004">
      <c r="A202" s="209" t="s">
        <v>4099</v>
      </c>
      <c r="B202" s="209" t="s">
        <v>3103</v>
      </c>
      <c r="C202" s="209" t="s">
        <v>3104</v>
      </c>
      <c r="D202" s="209" t="s">
        <v>3105</v>
      </c>
      <c r="E202" s="209" t="s">
        <v>3106</v>
      </c>
      <c r="F202" s="209" t="s">
        <v>4092</v>
      </c>
      <c r="G202" s="209" t="s">
        <v>4093</v>
      </c>
      <c r="H202" s="209" t="s">
        <v>133</v>
      </c>
      <c r="I202" s="209" t="s">
        <v>133</v>
      </c>
      <c r="J202" s="209" t="s">
        <v>4094</v>
      </c>
      <c r="K202" s="209" t="s">
        <v>4100</v>
      </c>
      <c r="L202" s="209" t="s">
        <v>4101</v>
      </c>
      <c r="M202" s="209" t="s">
        <v>4102</v>
      </c>
      <c r="N202" s="209" t="s">
        <v>4098</v>
      </c>
      <c r="O202" s="209" t="s">
        <v>3110</v>
      </c>
      <c r="P202" s="209" t="s">
        <v>2236</v>
      </c>
      <c r="Q202" s="209" t="s">
        <v>2260</v>
      </c>
      <c r="R202" s="209" t="s">
        <v>2373</v>
      </c>
      <c r="S202" s="209" t="s">
        <v>133</v>
      </c>
      <c r="T202" s="209" t="s">
        <v>133</v>
      </c>
      <c r="U202" s="209" t="s">
        <v>133</v>
      </c>
      <c r="V202" s="209" t="s">
        <v>133</v>
      </c>
      <c r="W202" s="209" t="s">
        <v>133</v>
      </c>
      <c r="X202" s="209" t="s">
        <v>133</v>
      </c>
      <c r="Y202" s="209" t="s">
        <v>133</v>
      </c>
      <c r="Z202" s="209" t="s">
        <v>133</v>
      </c>
      <c r="AA202" s="209" t="s">
        <v>133</v>
      </c>
      <c r="AB202" s="209" t="s">
        <v>133</v>
      </c>
      <c r="AC202" s="209" t="s">
        <v>133</v>
      </c>
      <c r="AD202" s="209" t="s">
        <v>133</v>
      </c>
      <c r="AE202" s="209" t="s">
        <v>2425</v>
      </c>
    </row>
    <row r="203" spans="1:31" x14ac:dyDescent="0.55000000000000004">
      <c r="A203" s="209" t="s">
        <v>4103</v>
      </c>
      <c r="B203" s="209" t="s">
        <v>3112</v>
      </c>
      <c r="C203" s="209" t="s">
        <v>3113</v>
      </c>
      <c r="D203" s="209" t="s">
        <v>3114</v>
      </c>
      <c r="E203" s="209" t="s">
        <v>3115</v>
      </c>
      <c r="F203" s="209" t="s">
        <v>4104</v>
      </c>
      <c r="G203" s="209" t="s">
        <v>4105</v>
      </c>
      <c r="H203" s="209" t="s">
        <v>4106</v>
      </c>
      <c r="I203" s="209" t="s">
        <v>4107</v>
      </c>
      <c r="J203" s="209" t="s">
        <v>4108</v>
      </c>
      <c r="K203" s="209" t="s">
        <v>4109</v>
      </c>
      <c r="L203" s="209" t="s">
        <v>4110</v>
      </c>
      <c r="M203" s="209" t="s">
        <v>4111</v>
      </c>
      <c r="N203" s="209" t="s">
        <v>4112</v>
      </c>
      <c r="O203" s="209" t="s">
        <v>3123</v>
      </c>
      <c r="P203" s="209" t="s">
        <v>2250</v>
      </c>
      <c r="Q203" s="209" t="s">
        <v>2274</v>
      </c>
      <c r="R203" s="209" t="s">
        <v>2373</v>
      </c>
      <c r="S203" s="209" t="s">
        <v>133</v>
      </c>
      <c r="T203" s="209" t="s">
        <v>133</v>
      </c>
      <c r="U203" s="209" t="s">
        <v>133</v>
      </c>
      <c r="V203" s="209" t="s">
        <v>133</v>
      </c>
      <c r="W203" s="209" t="s">
        <v>133</v>
      </c>
      <c r="X203" s="209" t="s">
        <v>133</v>
      </c>
      <c r="Y203" s="209" t="s">
        <v>133</v>
      </c>
      <c r="Z203" s="209" t="s">
        <v>133</v>
      </c>
      <c r="AA203" s="209" t="s">
        <v>133</v>
      </c>
      <c r="AB203" s="209" t="s">
        <v>133</v>
      </c>
      <c r="AC203" s="209" t="s">
        <v>133</v>
      </c>
      <c r="AD203" s="209" t="s">
        <v>133</v>
      </c>
      <c r="AE203" s="209" t="s">
        <v>2374</v>
      </c>
    </row>
    <row r="204" spans="1:31" x14ac:dyDescent="0.55000000000000004">
      <c r="A204" s="209" t="s">
        <v>4113</v>
      </c>
      <c r="B204" s="209" t="s">
        <v>3127</v>
      </c>
      <c r="C204" s="209" t="s">
        <v>3128</v>
      </c>
      <c r="D204" s="209" t="s">
        <v>3129</v>
      </c>
      <c r="E204" s="209" t="s">
        <v>3130</v>
      </c>
      <c r="F204" s="209" t="s">
        <v>4104</v>
      </c>
      <c r="G204" s="209" t="s">
        <v>4105</v>
      </c>
      <c r="H204" s="209" t="s">
        <v>4114</v>
      </c>
      <c r="I204" s="209" t="s">
        <v>4115</v>
      </c>
      <c r="J204" s="209" t="s">
        <v>4108</v>
      </c>
      <c r="K204" s="209" t="s">
        <v>4116</v>
      </c>
      <c r="L204" s="209" t="s">
        <v>4117</v>
      </c>
      <c r="M204" s="209" t="s">
        <v>4118</v>
      </c>
      <c r="N204" s="209" t="s">
        <v>4112</v>
      </c>
      <c r="O204" s="209" t="s">
        <v>3134</v>
      </c>
      <c r="P204" s="209" t="s">
        <v>2250</v>
      </c>
      <c r="Q204" s="209" t="s">
        <v>2284</v>
      </c>
      <c r="R204" s="209" t="s">
        <v>2373</v>
      </c>
      <c r="S204" s="209" t="s">
        <v>133</v>
      </c>
      <c r="T204" s="209" t="s">
        <v>133</v>
      </c>
      <c r="U204" s="209" t="s">
        <v>133</v>
      </c>
      <c r="V204" s="209" t="s">
        <v>133</v>
      </c>
      <c r="W204" s="209" t="s">
        <v>133</v>
      </c>
      <c r="X204" s="209" t="s">
        <v>133</v>
      </c>
      <c r="Y204" s="209" t="s">
        <v>133</v>
      </c>
      <c r="Z204" s="209" t="s">
        <v>133</v>
      </c>
      <c r="AA204" s="209" t="s">
        <v>133</v>
      </c>
      <c r="AB204" s="209" t="s">
        <v>133</v>
      </c>
      <c r="AC204" s="209" t="s">
        <v>133</v>
      </c>
      <c r="AD204" s="209" t="s">
        <v>133</v>
      </c>
      <c r="AE204" s="209" t="s">
        <v>2374</v>
      </c>
    </row>
    <row r="205" spans="1:31" x14ac:dyDescent="0.55000000000000004">
      <c r="A205" s="209" t="s">
        <v>4119</v>
      </c>
      <c r="B205" s="209" t="s">
        <v>4120</v>
      </c>
      <c r="C205" s="209" t="s">
        <v>4121</v>
      </c>
      <c r="D205" s="209" t="s">
        <v>4122</v>
      </c>
      <c r="E205" s="209" t="s">
        <v>4123</v>
      </c>
      <c r="F205" s="209" t="s">
        <v>3044</v>
      </c>
      <c r="G205" s="209" t="s">
        <v>3045</v>
      </c>
      <c r="H205" s="209" t="s">
        <v>133</v>
      </c>
      <c r="I205" s="209" t="s">
        <v>133</v>
      </c>
      <c r="J205" s="209" t="s">
        <v>4124</v>
      </c>
      <c r="K205" s="209" t="s">
        <v>4125</v>
      </c>
      <c r="L205" s="209" t="s">
        <v>4126</v>
      </c>
      <c r="M205" s="209" t="s">
        <v>4127</v>
      </c>
      <c r="N205" s="209" t="s">
        <v>4128</v>
      </c>
      <c r="O205" s="209" t="s">
        <v>4129</v>
      </c>
      <c r="P205" s="209" t="s">
        <v>2179</v>
      </c>
      <c r="Q205" s="209" t="s">
        <v>2180</v>
      </c>
      <c r="R205" s="209" t="s">
        <v>2181</v>
      </c>
      <c r="S205" s="209" t="s">
        <v>133</v>
      </c>
      <c r="T205" s="209" t="s">
        <v>133</v>
      </c>
      <c r="U205" s="209" t="s">
        <v>133</v>
      </c>
      <c r="V205" s="209" t="s">
        <v>133</v>
      </c>
      <c r="W205" s="209" t="s">
        <v>133</v>
      </c>
      <c r="X205" s="209" t="s">
        <v>133</v>
      </c>
      <c r="Y205" s="209" t="s">
        <v>133</v>
      </c>
      <c r="Z205" s="209" t="s">
        <v>3052</v>
      </c>
      <c r="AA205" s="209" t="s">
        <v>133</v>
      </c>
      <c r="AB205" s="209" t="s">
        <v>133</v>
      </c>
      <c r="AC205" s="209" t="s">
        <v>133</v>
      </c>
      <c r="AD205" s="209" t="s">
        <v>133</v>
      </c>
      <c r="AE205" s="209" t="s">
        <v>3053</v>
      </c>
    </row>
    <row r="206" spans="1:31" x14ac:dyDescent="0.55000000000000004">
      <c r="A206" s="209" t="s">
        <v>4130</v>
      </c>
      <c r="B206" s="209" t="s">
        <v>4131</v>
      </c>
      <c r="C206" s="209" t="s">
        <v>4132</v>
      </c>
      <c r="D206" s="209" t="s">
        <v>4133</v>
      </c>
      <c r="E206" s="209" t="s">
        <v>4134</v>
      </c>
      <c r="F206" s="209" t="s">
        <v>3044</v>
      </c>
      <c r="G206" s="209" t="s">
        <v>3045</v>
      </c>
      <c r="H206" s="209" t="s">
        <v>133</v>
      </c>
      <c r="I206" s="209" t="s">
        <v>133</v>
      </c>
      <c r="J206" s="209" t="s">
        <v>4124</v>
      </c>
      <c r="K206" s="209" t="s">
        <v>4135</v>
      </c>
      <c r="L206" s="209" t="s">
        <v>4136</v>
      </c>
      <c r="M206" s="209" t="s">
        <v>4137</v>
      </c>
      <c r="N206" s="209" t="s">
        <v>4128</v>
      </c>
      <c r="O206" s="209" t="s">
        <v>4138</v>
      </c>
      <c r="P206" s="209" t="s">
        <v>2179</v>
      </c>
      <c r="Q206" s="209" t="s">
        <v>2179</v>
      </c>
      <c r="R206" s="209" t="s">
        <v>2181</v>
      </c>
      <c r="S206" s="209" t="s">
        <v>133</v>
      </c>
      <c r="T206" s="209" t="s">
        <v>133</v>
      </c>
      <c r="U206" s="209" t="s">
        <v>133</v>
      </c>
      <c r="V206" s="209" t="s">
        <v>133</v>
      </c>
      <c r="W206" s="209" t="s">
        <v>133</v>
      </c>
      <c r="X206" s="209" t="s">
        <v>133</v>
      </c>
      <c r="Y206" s="209" t="s">
        <v>133</v>
      </c>
      <c r="Z206" s="209" t="s">
        <v>3052</v>
      </c>
      <c r="AA206" s="209" t="s">
        <v>133</v>
      </c>
      <c r="AB206" s="209" t="s">
        <v>133</v>
      </c>
      <c r="AC206" s="209" t="s">
        <v>133</v>
      </c>
      <c r="AD206" s="209" t="s">
        <v>133</v>
      </c>
      <c r="AE206" s="209" t="s">
        <v>3053</v>
      </c>
    </row>
    <row r="207" spans="1:31" x14ac:dyDescent="0.55000000000000004">
      <c r="A207" s="209" t="s">
        <v>4139</v>
      </c>
      <c r="B207" s="209" t="s">
        <v>4140</v>
      </c>
      <c r="C207" s="209" t="s">
        <v>4141</v>
      </c>
      <c r="D207" s="209" t="s">
        <v>4142</v>
      </c>
      <c r="E207" s="209" t="s">
        <v>4143</v>
      </c>
      <c r="F207" s="209" t="s">
        <v>3068</v>
      </c>
      <c r="G207" s="209" t="s">
        <v>3069</v>
      </c>
      <c r="H207" s="209" t="s">
        <v>133</v>
      </c>
      <c r="I207" s="209" t="s">
        <v>133</v>
      </c>
      <c r="J207" s="209" t="s">
        <v>4144</v>
      </c>
      <c r="K207" s="209" t="s">
        <v>4145</v>
      </c>
      <c r="L207" s="209" t="s">
        <v>4146</v>
      </c>
      <c r="M207" s="209" t="s">
        <v>4147</v>
      </c>
      <c r="N207" s="209" t="s">
        <v>4148</v>
      </c>
      <c r="O207" s="209" t="s">
        <v>4149</v>
      </c>
      <c r="P207" s="209" t="s">
        <v>2226</v>
      </c>
      <c r="Q207" s="209" t="s">
        <v>2226</v>
      </c>
      <c r="R207" s="209" t="s">
        <v>2181</v>
      </c>
      <c r="S207" s="209" t="s">
        <v>133</v>
      </c>
      <c r="T207" s="209" t="s">
        <v>133</v>
      </c>
      <c r="U207" s="209" t="s">
        <v>133</v>
      </c>
      <c r="V207" s="209" t="s">
        <v>133</v>
      </c>
      <c r="W207" s="209" t="s">
        <v>133</v>
      </c>
      <c r="X207" s="209" t="s">
        <v>133</v>
      </c>
      <c r="Y207" s="209" t="s">
        <v>133</v>
      </c>
      <c r="Z207" s="209" t="s">
        <v>3076</v>
      </c>
      <c r="AA207" s="209" t="s">
        <v>133</v>
      </c>
      <c r="AB207" s="209" t="s">
        <v>133</v>
      </c>
      <c r="AC207" s="209" t="s">
        <v>133</v>
      </c>
      <c r="AD207" s="209" t="s">
        <v>133</v>
      </c>
      <c r="AE207" s="209" t="s">
        <v>3077</v>
      </c>
    </row>
    <row r="208" spans="1:31" x14ac:dyDescent="0.55000000000000004">
      <c r="A208" s="209" t="s">
        <v>4150</v>
      </c>
      <c r="B208" s="209" t="s">
        <v>4151</v>
      </c>
      <c r="C208" s="209" t="s">
        <v>4152</v>
      </c>
      <c r="D208" s="209" t="s">
        <v>4153</v>
      </c>
      <c r="E208" s="209" t="s">
        <v>4154</v>
      </c>
      <c r="F208" s="209" t="s">
        <v>3068</v>
      </c>
      <c r="G208" s="209" t="s">
        <v>3069</v>
      </c>
      <c r="H208" s="209" t="s">
        <v>133</v>
      </c>
      <c r="I208" s="209" t="s">
        <v>133</v>
      </c>
      <c r="J208" s="209" t="s">
        <v>4144</v>
      </c>
      <c r="K208" s="209" t="s">
        <v>4155</v>
      </c>
      <c r="L208" s="209" t="s">
        <v>4156</v>
      </c>
      <c r="M208" s="209" t="s">
        <v>4157</v>
      </c>
      <c r="N208" s="209" t="s">
        <v>4148</v>
      </c>
      <c r="O208" s="209" t="s">
        <v>4158</v>
      </c>
      <c r="P208" s="209" t="s">
        <v>2226</v>
      </c>
      <c r="Q208" s="209" t="s">
        <v>2236</v>
      </c>
      <c r="R208" s="209" t="s">
        <v>2181</v>
      </c>
      <c r="S208" s="209" t="s">
        <v>133</v>
      </c>
      <c r="T208" s="209" t="s">
        <v>133</v>
      </c>
      <c r="U208" s="209" t="s">
        <v>133</v>
      </c>
      <c r="V208" s="209" t="s">
        <v>133</v>
      </c>
      <c r="W208" s="209" t="s">
        <v>133</v>
      </c>
      <c r="X208" s="209" t="s">
        <v>133</v>
      </c>
      <c r="Y208" s="209" t="s">
        <v>133</v>
      </c>
      <c r="Z208" s="209" t="s">
        <v>3076</v>
      </c>
      <c r="AA208" s="209" t="s">
        <v>133</v>
      </c>
      <c r="AB208" s="209" t="s">
        <v>133</v>
      </c>
      <c r="AC208" s="209" t="s">
        <v>133</v>
      </c>
      <c r="AD208" s="209" t="s">
        <v>133</v>
      </c>
      <c r="AE208" s="209" t="s">
        <v>3077</v>
      </c>
    </row>
    <row r="209" spans="1:31" x14ac:dyDescent="0.55000000000000004">
      <c r="A209" s="209" t="s">
        <v>4159</v>
      </c>
      <c r="B209" s="209" t="s">
        <v>4160</v>
      </c>
      <c r="C209" s="209" t="s">
        <v>4161</v>
      </c>
      <c r="D209" s="209" t="s">
        <v>4162</v>
      </c>
      <c r="E209" s="209" t="s">
        <v>4163</v>
      </c>
      <c r="F209" s="209" t="s">
        <v>3092</v>
      </c>
      <c r="G209" s="209" t="s">
        <v>3093</v>
      </c>
      <c r="H209" s="209" t="s">
        <v>133</v>
      </c>
      <c r="I209" s="209" t="s">
        <v>133</v>
      </c>
      <c r="J209" s="209" t="s">
        <v>4164</v>
      </c>
      <c r="K209" s="209" t="s">
        <v>4165</v>
      </c>
      <c r="L209" s="209" t="s">
        <v>4166</v>
      </c>
      <c r="M209" s="209" t="s">
        <v>4167</v>
      </c>
      <c r="N209" s="209" t="s">
        <v>4168</v>
      </c>
      <c r="O209" s="209" t="s">
        <v>4169</v>
      </c>
      <c r="P209" s="209" t="s">
        <v>2236</v>
      </c>
      <c r="Q209" s="209" t="s">
        <v>2250</v>
      </c>
      <c r="R209" s="209" t="s">
        <v>2181</v>
      </c>
      <c r="S209" s="209" t="s">
        <v>133</v>
      </c>
      <c r="T209" s="209" t="s">
        <v>133</v>
      </c>
      <c r="U209" s="209" t="s">
        <v>133</v>
      </c>
      <c r="V209" s="209" t="s">
        <v>133</v>
      </c>
      <c r="W209" s="209" t="s">
        <v>133</v>
      </c>
      <c r="X209" s="209" t="s">
        <v>133</v>
      </c>
      <c r="Y209" s="209" t="s">
        <v>133</v>
      </c>
      <c r="Z209" s="209" t="s">
        <v>3100</v>
      </c>
      <c r="AA209" s="209" t="s">
        <v>133</v>
      </c>
      <c r="AB209" s="209" t="s">
        <v>133</v>
      </c>
      <c r="AC209" s="209" t="s">
        <v>133</v>
      </c>
      <c r="AD209" s="209" t="s">
        <v>133</v>
      </c>
      <c r="AE209" s="209" t="s">
        <v>3101</v>
      </c>
    </row>
    <row r="210" spans="1:31" x14ac:dyDescent="0.55000000000000004">
      <c r="A210" s="209" t="s">
        <v>4170</v>
      </c>
      <c r="B210" s="209" t="s">
        <v>4171</v>
      </c>
      <c r="C210" s="209" t="s">
        <v>4172</v>
      </c>
      <c r="D210" s="209" t="s">
        <v>4173</v>
      </c>
      <c r="E210" s="209" t="s">
        <v>4174</v>
      </c>
      <c r="F210" s="209" t="s">
        <v>3092</v>
      </c>
      <c r="G210" s="209" t="s">
        <v>3093</v>
      </c>
      <c r="H210" s="209" t="s">
        <v>133</v>
      </c>
      <c r="I210" s="209" t="s">
        <v>133</v>
      </c>
      <c r="J210" s="209" t="s">
        <v>4164</v>
      </c>
      <c r="K210" s="209" t="s">
        <v>4175</v>
      </c>
      <c r="L210" s="209" t="s">
        <v>4176</v>
      </c>
      <c r="M210" s="209" t="s">
        <v>4177</v>
      </c>
      <c r="N210" s="209" t="s">
        <v>4168</v>
      </c>
      <c r="O210" s="209" t="s">
        <v>4178</v>
      </c>
      <c r="P210" s="209" t="s">
        <v>2236</v>
      </c>
      <c r="Q210" s="209" t="s">
        <v>2260</v>
      </c>
      <c r="R210" s="209" t="s">
        <v>2181</v>
      </c>
      <c r="S210" s="209" t="s">
        <v>133</v>
      </c>
      <c r="T210" s="209" t="s">
        <v>133</v>
      </c>
      <c r="U210" s="209" t="s">
        <v>133</v>
      </c>
      <c r="V210" s="209" t="s">
        <v>133</v>
      </c>
      <c r="W210" s="209" t="s">
        <v>133</v>
      </c>
      <c r="X210" s="209" t="s">
        <v>133</v>
      </c>
      <c r="Y210" s="209" t="s">
        <v>133</v>
      </c>
      <c r="Z210" s="209" t="s">
        <v>3100</v>
      </c>
      <c r="AA210" s="209" t="s">
        <v>133</v>
      </c>
      <c r="AB210" s="209" t="s">
        <v>133</v>
      </c>
      <c r="AC210" s="209" t="s">
        <v>133</v>
      </c>
      <c r="AD210" s="209" t="s">
        <v>133</v>
      </c>
      <c r="AE210" s="209" t="s">
        <v>3101</v>
      </c>
    </row>
    <row r="211" spans="1:31" x14ac:dyDescent="0.55000000000000004">
      <c r="A211" s="209" t="s">
        <v>4179</v>
      </c>
      <c r="B211" s="209" t="s">
        <v>4180</v>
      </c>
      <c r="C211" s="209" t="s">
        <v>4181</v>
      </c>
      <c r="D211" s="209" t="s">
        <v>4182</v>
      </c>
      <c r="E211" s="209" t="s">
        <v>4183</v>
      </c>
      <c r="F211" s="209" t="s">
        <v>3116</v>
      </c>
      <c r="G211" s="209" t="s">
        <v>3117</v>
      </c>
      <c r="H211" s="209" t="s">
        <v>133</v>
      </c>
      <c r="I211" s="209" t="s">
        <v>133</v>
      </c>
      <c r="J211" s="209" t="s">
        <v>4184</v>
      </c>
      <c r="K211" s="209" t="s">
        <v>4185</v>
      </c>
      <c r="L211" s="209" t="s">
        <v>4186</v>
      </c>
      <c r="M211" s="209" t="s">
        <v>4187</v>
      </c>
      <c r="N211" s="209" t="s">
        <v>4188</v>
      </c>
      <c r="O211" s="209" t="s">
        <v>4189</v>
      </c>
      <c r="P211" s="209" t="s">
        <v>2250</v>
      </c>
      <c r="Q211" s="209" t="s">
        <v>2274</v>
      </c>
      <c r="R211" s="209" t="s">
        <v>2181</v>
      </c>
      <c r="S211" s="209" t="s">
        <v>133</v>
      </c>
      <c r="T211" s="209" t="s">
        <v>133</v>
      </c>
      <c r="U211" s="209" t="s">
        <v>133</v>
      </c>
      <c r="V211" s="209" t="s">
        <v>133</v>
      </c>
      <c r="W211" s="209" t="s">
        <v>133</v>
      </c>
      <c r="X211" s="209" t="s">
        <v>133</v>
      </c>
      <c r="Y211" s="209" t="s">
        <v>133</v>
      </c>
      <c r="Z211" s="209" t="s">
        <v>3124</v>
      </c>
      <c r="AA211" s="209" t="s">
        <v>133</v>
      </c>
      <c r="AB211" s="209" t="s">
        <v>133</v>
      </c>
      <c r="AC211" s="209" t="s">
        <v>133</v>
      </c>
      <c r="AD211" s="209" t="s">
        <v>133</v>
      </c>
      <c r="AE211" s="209" t="s">
        <v>3125</v>
      </c>
    </row>
    <row r="212" spans="1:31" x14ac:dyDescent="0.55000000000000004">
      <c r="A212" s="209" t="s">
        <v>4190</v>
      </c>
      <c r="B212" s="209" t="s">
        <v>4191</v>
      </c>
      <c r="C212" s="209" t="s">
        <v>4192</v>
      </c>
      <c r="D212" s="209" t="s">
        <v>4193</v>
      </c>
      <c r="E212" s="209" t="s">
        <v>4194</v>
      </c>
      <c r="F212" s="209" t="s">
        <v>3116</v>
      </c>
      <c r="G212" s="209" t="s">
        <v>3117</v>
      </c>
      <c r="H212" s="209" t="s">
        <v>133</v>
      </c>
      <c r="I212" s="209" t="s">
        <v>133</v>
      </c>
      <c r="J212" s="209" t="s">
        <v>4184</v>
      </c>
      <c r="K212" s="209" t="s">
        <v>4195</v>
      </c>
      <c r="L212" s="209" t="s">
        <v>4196</v>
      </c>
      <c r="M212" s="209" t="s">
        <v>4197</v>
      </c>
      <c r="N212" s="209" t="s">
        <v>4188</v>
      </c>
      <c r="O212" s="209" t="s">
        <v>4198</v>
      </c>
      <c r="P212" s="209" t="s">
        <v>2250</v>
      </c>
      <c r="Q212" s="209" t="s">
        <v>2284</v>
      </c>
      <c r="R212" s="209" t="s">
        <v>2181</v>
      </c>
      <c r="S212" s="209" t="s">
        <v>133</v>
      </c>
      <c r="T212" s="209" t="s">
        <v>133</v>
      </c>
      <c r="U212" s="209" t="s">
        <v>133</v>
      </c>
      <c r="V212" s="209" t="s">
        <v>133</v>
      </c>
      <c r="W212" s="209" t="s">
        <v>133</v>
      </c>
      <c r="X212" s="209" t="s">
        <v>133</v>
      </c>
      <c r="Y212" s="209" t="s">
        <v>133</v>
      </c>
      <c r="Z212" s="209" t="s">
        <v>3124</v>
      </c>
      <c r="AA212" s="209" t="s">
        <v>133</v>
      </c>
      <c r="AB212" s="209" t="s">
        <v>133</v>
      </c>
      <c r="AC212" s="209" t="s">
        <v>133</v>
      </c>
      <c r="AD212" s="209" t="s">
        <v>133</v>
      </c>
      <c r="AE212" s="209" t="s">
        <v>3125</v>
      </c>
    </row>
    <row r="213" spans="1:31" x14ac:dyDescent="0.55000000000000004">
      <c r="A213" s="209" t="s">
        <v>4199</v>
      </c>
      <c r="B213" s="209" t="s">
        <v>4200</v>
      </c>
      <c r="C213" s="209" t="s">
        <v>4201</v>
      </c>
      <c r="D213" s="209" t="s">
        <v>4202</v>
      </c>
      <c r="E213" s="209" t="s">
        <v>4203</v>
      </c>
      <c r="F213" s="209" t="s">
        <v>3140</v>
      </c>
      <c r="G213" s="209" t="s">
        <v>3141</v>
      </c>
      <c r="H213" s="209" t="s">
        <v>133</v>
      </c>
      <c r="I213" s="209" t="s">
        <v>133</v>
      </c>
      <c r="J213" s="209" t="s">
        <v>4204</v>
      </c>
      <c r="K213" s="209" t="s">
        <v>4205</v>
      </c>
      <c r="L213" s="209" t="s">
        <v>4206</v>
      </c>
      <c r="M213" s="209" t="s">
        <v>4207</v>
      </c>
      <c r="N213" s="209" t="s">
        <v>4208</v>
      </c>
      <c r="O213" s="209" t="s">
        <v>4209</v>
      </c>
      <c r="P213" s="209" t="s">
        <v>2260</v>
      </c>
      <c r="Q213" s="209" t="s">
        <v>2298</v>
      </c>
      <c r="R213" s="209" t="s">
        <v>2181</v>
      </c>
      <c r="S213" s="209" t="s">
        <v>133</v>
      </c>
      <c r="T213" s="209" t="s">
        <v>133</v>
      </c>
      <c r="U213" s="209" t="s">
        <v>133</v>
      </c>
      <c r="V213" s="209" t="s">
        <v>133</v>
      </c>
      <c r="W213" s="209" t="s">
        <v>133</v>
      </c>
      <c r="X213" s="209" t="s">
        <v>133</v>
      </c>
      <c r="Y213" s="209" t="s">
        <v>133</v>
      </c>
      <c r="Z213" s="209" t="s">
        <v>3148</v>
      </c>
      <c r="AA213" s="209" t="s">
        <v>133</v>
      </c>
      <c r="AB213" s="209" t="s">
        <v>133</v>
      </c>
      <c r="AC213" s="209" t="s">
        <v>133</v>
      </c>
      <c r="AD213" s="209" t="s">
        <v>133</v>
      </c>
      <c r="AE213" s="209" t="s">
        <v>3149</v>
      </c>
    </row>
    <row r="214" spans="1:31" x14ac:dyDescent="0.55000000000000004">
      <c r="A214" s="209" t="s">
        <v>4210</v>
      </c>
      <c r="B214" s="209" t="s">
        <v>4211</v>
      </c>
      <c r="C214" s="209" t="s">
        <v>4212</v>
      </c>
      <c r="D214" s="209" t="s">
        <v>4213</v>
      </c>
      <c r="E214" s="209" t="s">
        <v>4214</v>
      </c>
      <c r="F214" s="209" t="s">
        <v>3140</v>
      </c>
      <c r="G214" s="209" t="s">
        <v>3141</v>
      </c>
      <c r="H214" s="209" t="s">
        <v>133</v>
      </c>
      <c r="I214" s="209" t="s">
        <v>133</v>
      </c>
      <c r="J214" s="209" t="s">
        <v>4204</v>
      </c>
      <c r="K214" s="209" t="s">
        <v>4215</v>
      </c>
      <c r="L214" s="209" t="s">
        <v>4216</v>
      </c>
      <c r="M214" s="209" t="s">
        <v>4217</v>
      </c>
      <c r="N214" s="209" t="s">
        <v>4208</v>
      </c>
      <c r="O214" s="209" t="s">
        <v>4218</v>
      </c>
      <c r="P214" s="209" t="s">
        <v>2260</v>
      </c>
      <c r="Q214" s="209" t="s">
        <v>2309</v>
      </c>
      <c r="R214" s="209" t="s">
        <v>2181</v>
      </c>
      <c r="S214" s="209" t="s">
        <v>133</v>
      </c>
      <c r="T214" s="209" t="s">
        <v>133</v>
      </c>
      <c r="U214" s="209" t="s">
        <v>133</v>
      </c>
      <c r="V214" s="209" t="s">
        <v>133</v>
      </c>
      <c r="W214" s="209" t="s">
        <v>133</v>
      </c>
      <c r="X214" s="209" t="s">
        <v>133</v>
      </c>
      <c r="Y214" s="209" t="s">
        <v>133</v>
      </c>
      <c r="Z214" s="209" t="s">
        <v>3148</v>
      </c>
      <c r="AA214" s="209" t="s">
        <v>133</v>
      </c>
      <c r="AB214" s="209" t="s">
        <v>133</v>
      </c>
      <c r="AC214" s="209" t="s">
        <v>133</v>
      </c>
      <c r="AD214" s="209" t="s">
        <v>133</v>
      </c>
      <c r="AE214" s="209" t="s">
        <v>3149</v>
      </c>
    </row>
    <row r="215" spans="1:31" x14ac:dyDescent="0.55000000000000004">
      <c r="A215" s="209" t="s">
        <v>4219</v>
      </c>
      <c r="B215" s="209" t="s">
        <v>4220</v>
      </c>
      <c r="C215" s="209" t="s">
        <v>4221</v>
      </c>
      <c r="D215" s="209" t="s">
        <v>4222</v>
      </c>
      <c r="E215" s="209" t="s">
        <v>4223</v>
      </c>
      <c r="F215" s="209" t="s">
        <v>4224</v>
      </c>
      <c r="G215" s="209" t="s">
        <v>4225</v>
      </c>
      <c r="H215" s="209" t="s">
        <v>133</v>
      </c>
      <c r="I215" s="209" t="s">
        <v>133</v>
      </c>
      <c r="J215" s="209" t="s">
        <v>4226</v>
      </c>
      <c r="K215" s="209" t="s">
        <v>4227</v>
      </c>
      <c r="L215" s="209" t="s">
        <v>4228</v>
      </c>
      <c r="M215" s="209" t="s">
        <v>4229</v>
      </c>
      <c r="N215" s="209" t="s">
        <v>4230</v>
      </c>
      <c r="O215" s="209" t="s">
        <v>4231</v>
      </c>
      <c r="P215" s="209" t="s">
        <v>2179</v>
      </c>
      <c r="Q215" s="209" t="s">
        <v>2180</v>
      </c>
      <c r="R215" s="209" t="s">
        <v>2181</v>
      </c>
      <c r="S215" s="209" t="s">
        <v>133</v>
      </c>
      <c r="T215" s="209" t="s">
        <v>133</v>
      </c>
      <c r="U215" s="209" t="s">
        <v>133</v>
      </c>
      <c r="V215" s="209" t="s">
        <v>133</v>
      </c>
      <c r="W215" s="209" t="s">
        <v>133</v>
      </c>
      <c r="X215" s="209" t="s">
        <v>133</v>
      </c>
      <c r="Y215" s="209" t="s">
        <v>133</v>
      </c>
      <c r="Z215" s="209" t="s">
        <v>4232</v>
      </c>
      <c r="AA215" s="209" t="s">
        <v>133</v>
      </c>
      <c r="AB215" s="209" t="s">
        <v>133</v>
      </c>
      <c r="AC215" s="209" t="s">
        <v>133</v>
      </c>
      <c r="AD215" s="209" t="s">
        <v>133</v>
      </c>
      <c r="AE215" s="209" t="s">
        <v>133</v>
      </c>
    </row>
    <row r="216" spans="1:31" x14ac:dyDescent="0.55000000000000004">
      <c r="A216" s="209" t="s">
        <v>4233</v>
      </c>
      <c r="B216" s="209" t="s">
        <v>4234</v>
      </c>
      <c r="C216" s="209" t="s">
        <v>4235</v>
      </c>
      <c r="D216" s="209" t="s">
        <v>4236</v>
      </c>
      <c r="E216" s="209" t="s">
        <v>4237</v>
      </c>
      <c r="F216" s="209" t="s">
        <v>4224</v>
      </c>
      <c r="G216" s="209" t="s">
        <v>4225</v>
      </c>
      <c r="H216" s="209" t="s">
        <v>133</v>
      </c>
      <c r="I216" s="209" t="s">
        <v>133</v>
      </c>
      <c r="J216" s="209" t="s">
        <v>4226</v>
      </c>
      <c r="K216" s="209" t="s">
        <v>4238</v>
      </c>
      <c r="L216" s="209" t="s">
        <v>4239</v>
      </c>
      <c r="M216" s="209" t="s">
        <v>4240</v>
      </c>
      <c r="N216" s="209" t="s">
        <v>4230</v>
      </c>
      <c r="O216" s="209" t="s">
        <v>4241</v>
      </c>
      <c r="P216" s="209" t="s">
        <v>2179</v>
      </c>
      <c r="Q216" s="209" t="s">
        <v>2179</v>
      </c>
      <c r="R216" s="209" t="s">
        <v>2181</v>
      </c>
      <c r="S216" s="209" t="s">
        <v>133</v>
      </c>
      <c r="T216" s="209" t="s">
        <v>133</v>
      </c>
      <c r="U216" s="209" t="s">
        <v>133</v>
      </c>
      <c r="V216" s="209" t="s">
        <v>133</v>
      </c>
      <c r="W216" s="209" t="s">
        <v>133</v>
      </c>
      <c r="X216" s="209" t="s">
        <v>133</v>
      </c>
      <c r="Y216" s="209" t="s">
        <v>133</v>
      </c>
      <c r="Z216" s="209" t="s">
        <v>4232</v>
      </c>
      <c r="AA216" s="209" t="s">
        <v>133</v>
      </c>
      <c r="AB216" s="209" t="s">
        <v>133</v>
      </c>
      <c r="AC216" s="209" t="s">
        <v>133</v>
      </c>
      <c r="AD216" s="209" t="s">
        <v>133</v>
      </c>
      <c r="AE216" s="209" t="s">
        <v>133</v>
      </c>
    </row>
    <row r="217" spans="1:31" x14ac:dyDescent="0.55000000000000004">
      <c r="A217" s="209" t="s">
        <v>4242</v>
      </c>
      <c r="B217" s="209" t="s">
        <v>4243</v>
      </c>
      <c r="C217" s="209" t="s">
        <v>4244</v>
      </c>
      <c r="D217" s="209" t="s">
        <v>4245</v>
      </c>
      <c r="E217" s="209" t="s">
        <v>4246</v>
      </c>
      <c r="F217" s="209" t="s">
        <v>4247</v>
      </c>
      <c r="G217" s="209" t="s">
        <v>4248</v>
      </c>
      <c r="H217" s="209" t="s">
        <v>133</v>
      </c>
      <c r="I217" s="209" t="s">
        <v>133</v>
      </c>
      <c r="J217" s="209" t="s">
        <v>4249</v>
      </c>
      <c r="K217" s="209" t="s">
        <v>4250</v>
      </c>
      <c r="L217" s="209" t="s">
        <v>4251</v>
      </c>
      <c r="M217" s="209" t="s">
        <v>4252</v>
      </c>
      <c r="N217" s="209" t="s">
        <v>4253</v>
      </c>
      <c r="O217" s="209" t="s">
        <v>4254</v>
      </c>
      <c r="P217" s="209" t="s">
        <v>2226</v>
      </c>
      <c r="Q217" s="209" t="s">
        <v>2226</v>
      </c>
      <c r="R217" s="209" t="s">
        <v>2299</v>
      </c>
      <c r="S217" s="209" t="s">
        <v>133</v>
      </c>
      <c r="T217" s="209" t="s">
        <v>133</v>
      </c>
      <c r="U217" s="209" t="s">
        <v>133</v>
      </c>
      <c r="V217" s="209" t="s">
        <v>133</v>
      </c>
      <c r="W217" s="209" t="s">
        <v>133</v>
      </c>
      <c r="X217" s="209" t="s">
        <v>133</v>
      </c>
      <c r="Y217" s="209" t="s">
        <v>133</v>
      </c>
      <c r="Z217" s="209" t="s">
        <v>4255</v>
      </c>
      <c r="AA217" s="209" t="s">
        <v>133</v>
      </c>
      <c r="AB217" s="209" t="s">
        <v>133</v>
      </c>
      <c r="AC217" s="209" t="s">
        <v>133</v>
      </c>
      <c r="AD217" s="209" t="s">
        <v>133</v>
      </c>
      <c r="AE217" s="209" t="s">
        <v>4256</v>
      </c>
    </row>
    <row r="218" spans="1:31" x14ac:dyDescent="0.55000000000000004">
      <c r="A218" s="209" t="s">
        <v>4257</v>
      </c>
      <c r="B218" s="209" t="s">
        <v>4258</v>
      </c>
      <c r="C218" s="209" t="s">
        <v>4259</v>
      </c>
      <c r="D218" s="209" t="s">
        <v>4260</v>
      </c>
      <c r="E218" s="209" t="s">
        <v>4261</v>
      </c>
      <c r="F218" s="209" t="s">
        <v>4247</v>
      </c>
      <c r="G218" s="209" t="s">
        <v>4248</v>
      </c>
      <c r="H218" s="209" t="s">
        <v>133</v>
      </c>
      <c r="I218" s="209" t="s">
        <v>133</v>
      </c>
      <c r="J218" s="209" t="s">
        <v>4249</v>
      </c>
      <c r="K218" s="209" t="s">
        <v>4262</v>
      </c>
      <c r="L218" s="209" t="s">
        <v>4263</v>
      </c>
      <c r="M218" s="209" t="s">
        <v>4264</v>
      </c>
      <c r="N218" s="209" t="s">
        <v>4253</v>
      </c>
      <c r="O218" s="209" t="s">
        <v>4265</v>
      </c>
      <c r="P218" s="209" t="s">
        <v>2226</v>
      </c>
      <c r="Q218" s="209" t="s">
        <v>2236</v>
      </c>
      <c r="R218" s="209" t="s">
        <v>2299</v>
      </c>
      <c r="S218" s="209" t="s">
        <v>133</v>
      </c>
      <c r="T218" s="209" t="s">
        <v>133</v>
      </c>
      <c r="U218" s="209" t="s">
        <v>133</v>
      </c>
      <c r="V218" s="209" t="s">
        <v>133</v>
      </c>
      <c r="W218" s="209" t="s">
        <v>133</v>
      </c>
      <c r="X218" s="209" t="s">
        <v>133</v>
      </c>
      <c r="Y218" s="209" t="s">
        <v>133</v>
      </c>
      <c r="Z218" s="209" t="s">
        <v>4255</v>
      </c>
      <c r="AA218" s="209" t="s">
        <v>133</v>
      </c>
      <c r="AB218" s="209" t="s">
        <v>133</v>
      </c>
      <c r="AC218" s="209" t="s">
        <v>133</v>
      </c>
      <c r="AD218" s="209" t="s">
        <v>133</v>
      </c>
      <c r="AE218" s="209" t="s">
        <v>4256</v>
      </c>
    </row>
    <row r="219" spans="1:31" x14ac:dyDescent="0.55000000000000004">
      <c r="A219" s="209" t="s">
        <v>4266</v>
      </c>
      <c r="B219" s="209" t="s">
        <v>4267</v>
      </c>
      <c r="C219" s="209" t="s">
        <v>4268</v>
      </c>
      <c r="D219" s="209" t="s">
        <v>4269</v>
      </c>
      <c r="E219" s="209" t="s">
        <v>4270</v>
      </c>
      <c r="F219" s="209" t="s">
        <v>4271</v>
      </c>
      <c r="G219" s="209" t="s">
        <v>4272</v>
      </c>
      <c r="H219" s="209" t="s">
        <v>133</v>
      </c>
      <c r="I219" s="209" t="s">
        <v>133</v>
      </c>
      <c r="J219" s="209" t="s">
        <v>4273</v>
      </c>
      <c r="K219" s="209" t="s">
        <v>4274</v>
      </c>
      <c r="L219" s="209" t="s">
        <v>4275</v>
      </c>
      <c r="M219" s="209" t="s">
        <v>4276</v>
      </c>
      <c r="N219" s="209" t="s">
        <v>4277</v>
      </c>
      <c r="O219" s="209" t="s">
        <v>4278</v>
      </c>
      <c r="P219" s="209" t="s">
        <v>2236</v>
      </c>
      <c r="Q219" s="209" t="s">
        <v>2250</v>
      </c>
      <c r="R219" s="209" t="s">
        <v>2299</v>
      </c>
      <c r="S219" s="209" t="s">
        <v>133</v>
      </c>
      <c r="T219" s="209" t="s">
        <v>133</v>
      </c>
      <c r="U219" s="209" t="s">
        <v>133</v>
      </c>
      <c r="V219" s="209" t="s">
        <v>133</v>
      </c>
      <c r="W219" s="209" t="s">
        <v>133</v>
      </c>
      <c r="X219" s="209" t="s">
        <v>133</v>
      </c>
      <c r="Y219" s="209" t="s">
        <v>133</v>
      </c>
      <c r="Z219" s="209" t="s">
        <v>4279</v>
      </c>
      <c r="AA219" s="209" t="s">
        <v>133</v>
      </c>
      <c r="AB219" s="209" t="s">
        <v>133</v>
      </c>
      <c r="AC219" s="209" t="s">
        <v>133</v>
      </c>
      <c r="AD219" s="209" t="s">
        <v>133</v>
      </c>
      <c r="AE219" s="209" t="s">
        <v>4280</v>
      </c>
    </row>
    <row r="220" spans="1:31" x14ac:dyDescent="0.55000000000000004">
      <c r="A220" s="209" t="s">
        <v>4281</v>
      </c>
      <c r="B220" s="209" t="s">
        <v>4282</v>
      </c>
      <c r="C220" s="209" t="s">
        <v>4283</v>
      </c>
      <c r="D220" s="209" t="s">
        <v>4284</v>
      </c>
      <c r="E220" s="209" t="s">
        <v>4285</v>
      </c>
      <c r="F220" s="209" t="s">
        <v>4271</v>
      </c>
      <c r="G220" s="209" t="s">
        <v>4272</v>
      </c>
      <c r="H220" s="209" t="s">
        <v>133</v>
      </c>
      <c r="I220" s="209" t="s">
        <v>133</v>
      </c>
      <c r="J220" s="209" t="s">
        <v>4273</v>
      </c>
      <c r="K220" s="209" t="s">
        <v>4286</v>
      </c>
      <c r="L220" s="209" t="s">
        <v>4287</v>
      </c>
      <c r="M220" s="209" t="s">
        <v>4288</v>
      </c>
      <c r="N220" s="209" t="s">
        <v>4277</v>
      </c>
      <c r="O220" s="209" t="s">
        <v>4289</v>
      </c>
      <c r="P220" s="209" t="s">
        <v>2236</v>
      </c>
      <c r="Q220" s="209" t="s">
        <v>2260</v>
      </c>
      <c r="R220" s="209" t="s">
        <v>2299</v>
      </c>
      <c r="S220" s="209" t="s">
        <v>133</v>
      </c>
      <c r="T220" s="209" t="s">
        <v>133</v>
      </c>
      <c r="U220" s="209" t="s">
        <v>133</v>
      </c>
      <c r="V220" s="209" t="s">
        <v>133</v>
      </c>
      <c r="W220" s="209" t="s">
        <v>133</v>
      </c>
      <c r="X220" s="209" t="s">
        <v>133</v>
      </c>
      <c r="Y220" s="209" t="s">
        <v>133</v>
      </c>
      <c r="Z220" s="209" t="s">
        <v>4279</v>
      </c>
      <c r="AA220" s="209" t="s">
        <v>133</v>
      </c>
      <c r="AB220" s="209" t="s">
        <v>133</v>
      </c>
      <c r="AC220" s="209" t="s">
        <v>133</v>
      </c>
      <c r="AD220" s="209" t="s">
        <v>133</v>
      </c>
      <c r="AE220" s="209" t="s">
        <v>4280</v>
      </c>
    </row>
    <row r="221" spans="1:31" x14ac:dyDescent="0.55000000000000004">
      <c r="A221" s="209" t="s">
        <v>4290</v>
      </c>
      <c r="B221" s="209" t="s">
        <v>4291</v>
      </c>
      <c r="C221" s="209" t="s">
        <v>4292</v>
      </c>
      <c r="D221" s="209" t="s">
        <v>4293</v>
      </c>
      <c r="E221" s="209" t="s">
        <v>4294</v>
      </c>
      <c r="F221" s="209" t="s">
        <v>4295</v>
      </c>
      <c r="G221" s="209" t="s">
        <v>4296</v>
      </c>
      <c r="H221" s="209" t="s">
        <v>133</v>
      </c>
      <c r="I221" s="209" t="s">
        <v>133</v>
      </c>
      <c r="J221" s="209" t="s">
        <v>4297</v>
      </c>
      <c r="K221" s="209" t="s">
        <v>4298</v>
      </c>
      <c r="L221" s="209" t="s">
        <v>4299</v>
      </c>
      <c r="M221" s="209" t="s">
        <v>4300</v>
      </c>
      <c r="N221" s="209" t="s">
        <v>4301</v>
      </c>
      <c r="O221" s="209" t="s">
        <v>4302</v>
      </c>
      <c r="P221" s="209" t="s">
        <v>2250</v>
      </c>
      <c r="Q221" s="209" t="s">
        <v>2274</v>
      </c>
      <c r="R221" s="209" t="s">
        <v>2299</v>
      </c>
      <c r="S221" s="209" t="s">
        <v>133</v>
      </c>
      <c r="T221" s="209" t="s">
        <v>133</v>
      </c>
      <c r="U221" s="209" t="s">
        <v>133</v>
      </c>
      <c r="V221" s="209" t="s">
        <v>133</v>
      </c>
      <c r="W221" s="209" t="s">
        <v>133</v>
      </c>
      <c r="X221" s="209" t="s">
        <v>133</v>
      </c>
      <c r="Y221" s="209" t="s">
        <v>133</v>
      </c>
      <c r="Z221" s="209" t="s">
        <v>4303</v>
      </c>
      <c r="AA221" s="209" t="s">
        <v>133</v>
      </c>
      <c r="AB221" s="209" t="s">
        <v>133</v>
      </c>
      <c r="AC221" s="209" t="s">
        <v>133</v>
      </c>
      <c r="AD221" s="209" t="s">
        <v>133</v>
      </c>
      <c r="AE221" s="209" t="s">
        <v>4304</v>
      </c>
    </row>
    <row r="222" spans="1:31" x14ac:dyDescent="0.55000000000000004">
      <c r="A222" s="209" t="s">
        <v>4305</v>
      </c>
      <c r="B222" s="209" t="s">
        <v>4306</v>
      </c>
      <c r="C222" s="209" t="s">
        <v>4307</v>
      </c>
      <c r="D222" s="209" t="s">
        <v>4308</v>
      </c>
      <c r="E222" s="209" t="s">
        <v>4309</v>
      </c>
      <c r="F222" s="209" t="s">
        <v>4295</v>
      </c>
      <c r="G222" s="209" t="s">
        <v>4296</v>
      </c>
      <c r="H222" s="209" t="s">
        <v>133</v>
      </c>
      <c r="I222" s="209" t="s">
        <v>133</v>
      </c>
      <c r="J222" s="209" t="s">
        <v>4297</v>
      </c>
      <c r="K222" s="209" t="s">
        <v>4310</v>
      </c>
      <c r="L222" s="209" t="s">
        <v>4311</v>
      </c>
      <c r="M222" s="209" t="s">
        <v>4312</v>
      </c>
      <c r="N222" s="209" t="s">
        <v>4301</v>
      </c>
      <c r="O222" s="209" t="s">
        <v>4313</v>
      </c>
      <c r="P222" s="209" t="s">
        <v>2250</v>
      </c>
      <c r="Q222" s="209" t="s">
        <v>2284</v>
      </c>
      <c r="R222" s="209" t="s">
        <v>2299</v>
      </c>
      <c r="S222" s="209" t="s">
        <v>133</v>
      </c>
      <c r="T222" s="209" t="s">
        <v>133</v>
      </c>
      <c r="U222" s="209" t="s">
        <v>133</v>
      </c>
      <c r="V222" s="209" t="s">
        <v>133</v>
      </c>
      <c r="W222" s="209" t="s">
        <v>133</v>
      </c>
      <c r="X222" s="209" t="s">
        <v>133</v>
      </c>
      <c r="Y222" s="209" t="s">
        <v>133</v>
      </c>
      <c r="Z222" s="209" t="s">
        <v>4303</v>
      </c>
      <c r="AA222" s="209" t="s">
        <v>133</v>
      </c>
      <c r="AB222" s="209" t="s">
        <v>133</v>
      </c>
      <c r="AC222" s="209" t="s">
        <v>133</v>
      </c>
      <c r="AD222" s="209" t="s">
        <v>133</v>
      </c>
      <c r="AE222" s="209" t="s">
        <v>4304</v>
      </c>
    </row>
    <row r="223" spans="1:31" x14ac:dyDescent="0.55000000000000004">
      <c r="A223" s="209" t="s">
        <v>4314</v>
      </c>
      <c r="B223" s="209" t="s">
        <v>4315</v>
      </c>
      <c r="C223" s="209" t="s">
        <v>4316</v>
      </c>
      <c r="D223" s="209" t="s">
        <v>4317</v>
      </c>
      <c r="E223" s="209" t="s">
        <v>4318</v>
      </c>
      <c r="F223" s="209" t="s">
        <v>4319</v>
      </c>
      <c r="G223" s="209" t="s">
        <v>4320</v>
      </c>
      <c r="H223" s="209" t="s">
        <v>133</v>
      </c>
      <c r="I223" s="209" t="s">
        <v>133</v>
      </c>
      <c r="J223" s="209" t="s">
        <v>4321</v>
      </c>
      <c r="K223" s="209" t="s">
        <v>4322</v>
      </c>
      <c r="L223" s="209" t="s">
        <v>4323</v>
      </c>
      <c r="M223" s="209" t="s">
        <v>4324</v>
      </c>
      <c r="N223" s="209" t="s">
        <v>4325</v>
      </c>
      <c r="O223" s="209" t="s">
        <v>4326</v>
      </c>
      <c r="P223" s="209" t="s">
        <v>2260</v>
      </c>
      <c r="Q223" s="209" t="s">
        <v>2298</v>
      </c>
      <c r="R223" s="209" t="s">
        <v>2299</v>
      </c>
      <c r="S223" s="209" t="s">
        <v>133</v>
      </c>
      <c r="T223" s="209" t="s">
        <v>133</v>
      </c>
      <c r="U223" s="209" t="s">
        <v>133</v>
      </c>
      <c r="V223" s="209" t="s">
        <v>133</v>
      </c>
      <c r="W223" s="209" t="s">
        <v>133</v>
      </c>
      <c r="X223" s="209" t="s">
        <v>133</v>
      </c>
      <c r="Y223" s="209" t="s">
        <v>133</v>
      </c>
      <c r="Z223" s="209" t="s">
        <v>4327</v>
      </c>
      <c r="AA223" s="209" t="s">
        <v>133</v>
      </c>
      <c r="AB223" s="209" t="s">
        <v>133</v>
      </c>
      <c r="AC223" s="209" t="s">
        <v>133</v>
      </c>
      <c r="AD223" s="209" t="s">
        <v>133</v>
      </c>
      <c r="AE223" s="209" t="s">
        <v>4328</v>
      </c>
    </row>
    <row r="224" spans="1:31" x14ac:dyDescent="0.55000000000000004">
      <c r="A224" s="209" t="s">
        <v>4329</v>
      </c>
      <c r="B224" s="209" t="s">
        <v>4330</v>
      </c>
      <c r="C224" s="209" t="s">
        <v>4331</v>
      </c>
      <c r="D224" s="209" t="s">
        <v>4332</v>
      </c>
      <c r="E224" s="209" t="s">
        <v>4333</v>
      </c>
      <c r="F224" s="209" t="s">
        <v>4319</v>
      </c>
      <c r="G224" s="209" t="s">
        <v>4320</v>
      </c>
      <c r="H224" s="209" t="s">
        <v>133</v>
      </c>
      <c r="I224" s="209" t="s">
        <v>133</v>
      </c>
      <c r="J224" s="209" t="s">
        <v>4321</v>
      </c>
      <c r="K224" s="209" t="s">
        <v>4334</v>
      </c>
      <c r="L224" s="209" t="s">
        <v>4335</v>
      </c>
      <c r="M224" s="209" t="s">
        <v>4336</v>
      </c>
      <c r="N224" s="209" t="s">
        <v>4325</v>
      </c>
      <c r="O224" s="209" t="s">
        <v>4337</v>
      </c>
      <c r="P224" s="209" t="s">
        <v>2260</v>
      </c>
      <c r="Q224" s="209" t="s">
        <v>2309</v>
      </c>
      <c r="R224" s="209" t="s">
        <v>2299</v>
      </c>
      <c r="S224" s="209" t="s">
        <v>133</v>
      </c>
      <c r="T224" s="209" t="s">
        <v>133</v>
      </c>
      <c r="U224" s="209" t="s">
        <v>133</v>
      </c>
      <c r="V224" s="209" t="s">
        <v>133</v>
      </c>
      <c r="W224" s="209" t="s">
        <v>133</v>
      </c>
      <c r="X224" s="209" t="s">
        <v>133</v>
      </c>
      <c r="Y224" s="209" t="s">
        <v>133</v>
      </c>
      <c r="Z224" s="209" t="s">
        <v>4327</v>
      </c>
      <c r="AA224" s="209" t="s">
        <v>133</v>
      </c>
      <c r="AB224" s="209" t="s">
        <v>133</v>
      </c>
      <c r="AC224" s="209" t="s">
        <v>133</v>
      </c>
      <c r="AD224" s="209" t="s">
        <v>133</v>
      </c>
      <c r="AE224" s="209" t="s">
        <v>4328</v>
      </c>
    </row>
    <row r="225" spans="1:31" x14ac:dyDescent="0.55000000000000004">
      <c r="A225" s="209" t="s">
        <v>4338</v>
      </c>
      <c r="B225" s="209" t="s">
        <v>4339</v>
      </c>
      <c r="C225" s="209" t="s">
        <v>4340</v>
      </c>
      <c r="D225" s="209" t="s">
        <v>4341</v>
      </c>
      <c r="E225" s="209" t="s">
        <v>4342</v>
      </c>
      <c r="F225" s="209" t="s">
        <v>4343</v>
      </c>
      <c r="G225" s="209" t="s">
        <v>4344</v>
      </c>
      <c r="H225" s="209" t="s">
        <v>133</v>
      </c>
      <c r="I225" s="209" t="s">
        <v>133</v>
      </c>
      <c r="J225" s="209" t="s">
        <v>4345</v>
      </c>
      <c r="K225" s="209" t="s">
        <v>4346</v>
      </c>
      <c r="L225" s="209" t="s">
        <v>4347</v>
      </c>
      <c r="M225" s="209" t="s">
        <v>4348</v>
      </c>
      <c r="N225" s="209" t="s">
        <v>4349</v>
      </c>
      <c r="O225" s="209" t="s">
        <v>4350</v>
      </c>
      <c r="P225" s="209" t="s">
        <v>2179</v>
      </c>
      <c r="Q225" s="209" t="s">
        <v>2180</v>
      </c>
      <c r="R225" s="209" t="s">
        <v>2299</v>
      </c>
      <c r="S225" s="209" t="s">
        <v>3238</v>
      </c>
      <c r="T225" s="209" t="s">
        <v>3239</v>
      </c>
      <c r="U225" s="209" t="s">
        <v>3240</v>
      </c>
      <c r="V225" s="209" t="s">
        <v>3241</v>
      </c>
      <c r="W225" s="209" t="s">
        <v>3242</v>
      </c>
      <c r="X225" s="209" t="s">
        <v>3243</v>
      </c>
      <c r="Y225" s="209" t="s">
        <v>133</v>
      </c>
      <c r="Z225" s="209" t="s">
        <v>133</v>
      </c>
      <c r="AA225" s="209" t="s">
        <v>133</v>
      </c>
      <c r="AB225" s="209" t="s">
        <v>133</v>
      </c>
      <c r="AC225" s="209" t="s">
        <v>4351</v>
      </c>
      <c r="AD225" s="209" t="s">
        <v>133</v>
      </c>
      <c r="AE225" s="209" t="s">
        <v>133</v>
      </c>
    </row>
    <row r="226" spans="1:31" x14ac:dyDescent="0.55000000000000004">
      <c r="A226" s="209" t="s">
        <v>4352</v>
      </c>
      <c r="B226" s="209" t="s">
        <v>4353</v>
      </c>
      <c r="C226" s="209" t="s">
        <v>4354</v>
      </c>
      <c r="D226" s="209" t="s">
        <v>4355</v>
      </c>
      <c r="E226" s="209" t="s">
        <v>4356</v>
      </c>
      <c r="F226" s="209" t="s">
        <v>4343</v>
      </c>
      <c r="G226" s="209" t="s">
        <v>4344</v>
      </c>
      <c r="H226" s="209" t="s">
        <v>133</v>
      </c>
      <c r="I226" s="209" t="s">
        <v>133</v>
      </c>
      <c r="J226" s="209" t="s">
        <v>4345</v>
      </c>
      <c r="K226" s="209" t="s">
        <v>4357</v>
      </c>
      <c r="L226" s="209" t="s">
        <v>4358</v>
      </c>
      <c r="M226" s="209" t="s">
        <v>4359</v>
      </c>
      <c r="N226" s="209" t="s">
        <v>4349</v>
      </c>
      <c r="O226" s="209" t="s">
        <v>4360</v>
      </c>
      <c r="P226" s="209" t="s">
        <v>2179</v>
      </c>
      <c r="Q226" s="209" t="s">
        <v>2179</v>
      </c>
      <c r="R226" s="209" t="s">
        <v>2299</v>
      </c>
      <c r="S226" s="209" t="s">
        <v>3258</v>
      </c>
      <c r="T226" s="209" t="s">
        <v>3259</v>
      </c>
      <c r="U226" s="209" t="s">
        <v>3260</v>
      </c>
      <c r="V226" s="209" t="s">
        <v>3261</v>
      </c>
      <c r="W226" s="209" t="s">
        <v>3262</v>
      </c>
      <c r="X226" s="209" t="s">
        <v>3263</v>
      </c>
      <c r="Y226" s="209" t="s">
        <v>133</v>
      </c>
      <c r="Z226" s="209" t="s">
        <v>133</v>
      </c>
      <c r="AA226" s="209" t="s">
        <v>133</v>
      </c>
      <c r="AB226" s="209" t="s">
        <v>133</v>
      </c>
      <c r="AC226" s="209" t="s">
        <v>4351</v>
      </c>
      <c r="AD226" s="209" t="s">
        <v>133</v>
      </c>
      <c r="AE226" s="209" t="s">
        <v>133</v>
      </c>
    </row>
    <row r="227" spans="1:31" x14ac:dyDescent="0.55000000000000004">
      <c r="A227" s="209" t="s">
        <v>4361</v>
      </c>
      <c r="B227" s="209" t="s">
        <v>4362</v>
      </c>
      <c r="C227" s="209" t="s">
        <v>4363</v>
      </c>
      <c r="D227" s="209" t="s">
        <v>4364</v>
      </c>
      <c r="E227" s="209" t="s">
        <v>4365</v>
      </c>
      <c r="F227" s="209" t="s">
        <v>4366</v>
      </c>
      <c r="G227" s="209" t="s">
        <v>4367</v>
      </c>
      <c r="H227" s="209" t="s">
        <v>133</v>
      </c>
      <c r="I227" s="209" t="s">
        <v>133</v>
      </c>
      <c r="J227" s="209" t="s">
        <v>4368</v>
      </c>
      <c r="K227" s="209" t="s">
        <v>4369</v>
      </c>
      <c r="L227" s="209" t="s">
        <v>4370</v>
      </c>
      <c r="M227" s="209" t="s">
        <v>4371</v>
      </c>
      <c r="N227" s="209" t="s">
        <v>4372</v>
      </c>
      <c r="O227" s="209" t="s">
        <v>4373</v>
      </c>
      <c r="P227" s="209" t="s">
        <v>2226</v>
      </c>
      <c r="Q227" s="209" t="s">
        <v>2226</v>
      </c>
      <c r="R227" s="209" t="s">
        <v>2299</v>
      </c>
      <c r="S227" s="209" t="s">
        <v>3277</v>
      </c>
      <c r="T227" s="209" t="s">
        <v>3278</v>
      </c>
      <c r="U227" s="209" t="s">
        <v>3279</v>
      </c>
      <c r="V227" s="209" t="s">
        <v>3280</v>
      </c>
      <c r="W227" s="209" t="s">
        <v>3281</v>
      </c>
      <c r="X227" s="209" t="s">
        <v>3282</v>
      </c>
      <c r="Y227" s="209" t="s">
        <v>133</v>
      </c>
      <c r="Z227" s="209" t="s">
        <v>133</v>
      </c>
      <c r="AA227" s="209" t="s">
        <v>133</v>
      </c>
      <c r="AB227" s="209" t="s">
        <v>133</v>
      </c>
      <c r="AC227" s="209" t="s">
        <v>4351</v>
      </c>
      <c r="AD227" s="209" t="s">
        <v>133</v>
      </c>
      <c r="AE227" s="209" t="s">
        <v>133</v>
      </c>
    </row>
    <row r="228" spans="1:31" x14ac:dyDescent="0.55000000000000004">
      <c r="A228" s="209" t="s">
        <v>4374</v>
      </c>
      <c r="B228" s="209" t="s">
        <v>4375</v>
      </c>
      <c r="C228" s="209" t="s">
        <v>4376</v>
      </c>
      <c r="D228" s="209" t="s">
        <v>4377</v>
      </c>
      <c r="E228" s="209" t="s">
        <v>4378</v>
      </c>
      <c r="F228" s="209" t="s">
        <v>4366</v>
      </c>
      <c r="G228" s="209" t="s">
        <v>4367</v>
      </c>
      <c r="H228" s="209" t="s">
        <v>133</v>
      </c>
      <c r="I228" s="209" t="s">
        <v>133</v>
      </c>
      <c r="J228" s="209" t="s">
        <v>4368</v>
      </c>
      <c r="K228" s="209" t="s">
        <v>4379</v>
      </c>
      <c r="L228" s="209" t="s">
        <v>4380</v>
      </c>
      <c r="M228" s="209" t="s">
        <v>4381</v>
      </c>
      <c r="N228" s="209" t="s">
        <v>4372</v>
      </c>
      <c r="O228" s="209" t="s">
        <v>4382</v>
      </c>
      <c r="P228" s="209" t="s">
        <v>2226</v>
      </c>
      <c r="Q228" s="209" t="s">
        <v>2236</v>
      </c>
      <c r="R228" s="209" t="s">
        <v>2299</v>
      </c>
      <c r="S228" s="209" t="s">
        <v>3296</v>
      </c>
      <c r="T228" s="209" t="s">
        <v>3297</v>
      </c>
      <c r="U228" s="209" t="s">
        <v>3298</v>
      </c>
      <c r="V228" s="209" t="s">
        <v>3299</v>
      </c>
      <c r="W228" s="209" t="s">
        <v>3300</v>
      </c>
      <c r="X228" s="209" t="s">
        <v>3301</v>
      </c>
      <c r="Y228" s="209" t="s">
        <v>133</v>
      </c>
      <c r="Z228" s="209" t="s">
        <v>133</v>
      </c>
      <c r="AA228" s="209" t="s">
        <v>133</v>
      </c>
      <c r="AB228" s="209" t="s">
        <v>133</v>
      </c>
      <c r="AC228" s="209" t="s">
        <v>4351</v>
      </c>
      <c r="AD228" s="209" t="s">
        <v>133</v>
      </c>
      <c r="AE228" s="209" t="s">
        <v>133</v>
      </c>
    </row>
    <row r="229" spans="1:31" x14ac:dyDescent="0.55000000000000004">
      <c r="A229" s="209" t="s">
        <v>4383</v>
      </c>
      <c r="B229" s="209" t="s">
        <v>4384</v>
      </c>
      <c r="C229" s="209" t="s">
        <v>4385</v>
      </c>
      <c r="D229" s="209" t="s">
        <v>4386</v>
      </c>
      <c r="E229" s="209" t="s">
        <v>4387</v>
      </c>
      <c r="F229" s="209" t="s">
        <v>4388</v>
      </c>
      <c r="G229" s="209" t="s">
        <v>4389</v>
      </c>
      <c r="H229" s="209" t="s">
        <v>133</v>
      </c>
      <c r="I229" s="209" t="s">
        <v>133</v>
      </c>
      <c r="J229" s="209" t="s">
        <v>4390</v>
      </c>
      <c r="K229" s="209" t="s">
        <v>4391</v>
      </c>
      <c r="L229" s="209" t="s">
        <v>4392</v>
      </c>
      <c r="M229" s="209" t="s">
        <v>4393</v>
      </c>
      <c r="N229" s="209" t="s">
        <v>4394</v>
      </c>
      <c r="O229" s="209" t="s">
        <v>4395</v>
      </c>
      <c r="P229" s="209" t="s">
        <v>2236</v>
      </c>
      <c r="Q229" s="209" t="s">
        <v>2250</v>
      </c>
      <c r="R229" s="209" t="s">
        <v>2299</v>
      </c>
      <c r="S229" s="209" t="s">
        <v>3315</v>
      </c>
      <c r="T229" s="209" t="s">
        <v>3316</v>
      </c>
      <c r="U229" s="209" t="s">
        <v>3317</v>
      </c>
      <c r="V229" s="209" t="s">
        <v>3318</v>
      </c>
      <c r="W229" s="209" t="s">
        <v>3319</v>
      </c>
      <c r="X229" s="209" t="s">
        <v>3320</v>
      </c>
      <c r="Y229" s="209" t="s">
        <v>133</v>
      </c>
      <c r="Z229" s="209" t="s">
        <v>133</v>
      </c>
      <c r="AA229" s="209" t="s">
        <v>133</v>
      </c>
      <c r="AB229" s="209" t="s">
        <v>133</v>
      </c>
      <c r="AC229" s="209" t="s">
        <v>4351</v>
      </c>
      <c r="AD229" s="209" t="s">
        <v>133</v>
      </c>
      <c r="AE229" s="209" t="s">
        <v>133</v>
      </c>
    </row>
    <row r="230" spans="1:31" x14ac:dyDescent="0.55000000000000004">
      <c r="A230" s="209" t="s">
        <v>4396</v>
      </c>
      <c r="B230" s="209" t="s">
        <v>4397</v>
      </c>
      <c r="C230" s="209" t="s">
        <v>4398</v>
      </c>
      <c r="D230" s="209" t="s">
        <v>4399</v>
      </c>
      <c r="E230" s="209" t="s">
        <v>4400</v>
      </c>
      <c r="F230" s="209" t="s">
        <v>4388</v>
      </c>
      <c r="G230" s="209" t="s">
        <v>4389</v>
      </c>
      <c r="H230" s="209" t="s">
        <v>133</v>
      </c>
      <c r="I230" s="209" t="s">
        <v>133</v>
      </c>
      <c r="J230" s="209" t="s">
        <v>4390</v>
      </c>
      <c r="K230" s="209" t="s">
        <v>4401</v>
      </c>
      <c r="L230" s="209" t="s">
        <v>4402</v>
      </c>
      <c r="M230" s="209" t="s">
        <v>4403</v>
      </c>
      <c r="N230" s="209" t="s">
        <v>4394</v>
      </c>
      <c r="O230" s="209" t="s">
        <v>4404</v>
      </c>
      <c r="P230" s="209" t="s">
        <v>2236</v>
      </c>
      <c r="Q230" s="209" t="s">
        <v>2260</v>
      </c>
      <c r="R230" s="209" t="s">
        <v>2299</v>
      </c>
      <c r="S230" s="209" t="s">
        <v>3334</v>
      </c>
      <c r="T230" s="209" t="s">
        <v>3335</v>
      </c>
      <c r="U230" s="209" t="s">
        <v>3336</v>
      </c>
      <c r="V230" s="209" t="s">
        <v>3337</v>
      </c>
      <c r="W230" s="209" t="s">
        <v>3338</v>
      </c>
      <c r="X230" s="209" t="s">
        <v>3339</v>
      </c>
      <c r="Y230" s="209" t="s">
        <v>133</v>
      </c>
      <c r="Z230" s="209" t="s">
        <v>133</v>
      </c>
      <c r="AA230" s="209" t="s">
        <v>133</v>
      </c>
      <c r="AB230" s="209" t="s">
        <v>133</v>
      </c>
      <c r="AC230" s="209" t="s">
        <v>4351</v>
      </c>
      <c r="AD230" s="209" t="s">
        <v>133</v>
      </c>
      <c r="AE230" s="209" t="s">
        <v>133</v>
      </c>
    </row>
    <row r="231" spans="1:31" x14ac:dyDescent="0.55000000000000004">
      <c r="A231" s="209" t="s">
        <v>4405</v>
      </c>
      <c r="B231" s="209" t="s">
        <v>4406</v>
      </c>
      <c r="C231" s="209" t="s">
        <v>4407</v>
      </c>
      <c r="D231" s="209" t="s">
        <v>4408</v>
      </c>
      <c r="E231" s="209" t="s">
        <v>4409</v>
      </c>
      <c r="F231" s="209" t="s">
        <v>4410</v>
      </c>
      <c r="G231" s="209" t="s">
        <v>4411</v>
      </c>
      <c r="H231" s="209" t="s">
        <v>133</v>
      </c>
      <c r="I231" s="209" t="s">
        <v>133</v>
      </c>
      <c r="J231" s="209" t="s">
        <v>4412</v>
      </c>
      <c r="K231" s="209" t="s">
        <v>4413</v>
      </c>
      <c r="L231" s="209" t="s">
        <v>4414</v>
      </c>
      <c r="M231" s="209" t="s">
        <v>4415</v>
      </c>
      <c r="N231" s="209" t="s">
        <v>4416</v>
      </c>
      <c r="O231" s="209" t="s">
        <v>4417</v>
      </c>
      <c r="P231" s="209" t="s">
        <v>2250</v>
      </c>
      <c r="Q231" s="209" t="s">
        <v>2274</v>
      </c>
      <c r="R231" s="209" t="s">
        <v>2299</v>
      </c>
      <c r="S231" s="209" t="s">
        <v>3238</v>
      </c>
      <c r="T231" s="209" t="s">
        <v>3239</v>
      </c>
      <c r="U231" s="209" t="s">
        <v>3240</v>
      </c>
      <c r="V231" s="209" t="s">
        <v>3241</v>
      </c>
      <c r="W231" s="209" t="s">
        <v>3242</v>
      </c>
      <c r="X231" s="209" t="s">
        <v>3243</v>
      </c>
      <c r="Y231" s="209" t="s">
        <v>133</v>
      </c>
      <c r="Z231" s="209" t="s">
        <v>133</v>
      </c>
      <c r="AA231" s="209" t="s">
        <v>133</v>
      </c>
      <c r="AB231" s="209" t="s">
        <v>133</v>
      </c>
      <c r="AC231" s="209" t="s">
        <v>4351</v>
      </c>
      <c r="AD231" s="209" t="s">
        <v>133</v>
      </c>
      <c r="AE231" s="209" t="s">
        <v>133</v>
      </c>
    </row>
    <row r="232" spans="1:31" x14ac:dyDescent="0.55000000000000004">
      <c r="A232" s="209" t="s">
        <v>4418</v>
      </c>
      <c r="B232" s="209" t="s">
        <v>4419</v>
      </c>
      <c r="C232" s="209" t="s">
        <v>4420</v>
      </c>
      <c r="D232" s="209" t="s">
        <v>4421</v>
      </c>
      <c r="E232" s="209" t="s">
        <v>4422</v>
      </c>
      <c r="F232" s="209" t="s">
        <v>4410</v>
      </c>
      <c r="G232" s="209" t="s">
        <v>4411</v>
      </c>
      <c r="H232" s="209" t="s">
        <v>133</v>
      </c>
      <c r="I232" s="209" t="s">
        <v>133</v>
      </c>
      <c r="J232" s="209" t="s">
        <v>4412</v>
      </c>
      <c r="K232" s="209" t="s">
        <v>4423</v>
      </c>
      <c r="L232" s="209" t="s">
        <v>4424</v>
      </c>
      <c r="M232" s="209" t="s">
        <v>4425</v>
      </c>
      <c r="N232" s="209" t="s">
        <v>4416</v>
      </c>
      <c r="O232" s="209" t="s">
        <v>4426</v>
      </c>
      <c r="P232" s="209" t="s">
        <v>2250</v>
      </c>
      <c r="Q232" s="209" t="s">
        <v>2284</v>
      </c>
      <c r="R232" s="209" t="s">
        <v>2299</v>
      </c>
      <c r="S232" s="209" t="s">
        <v>3258</v>
      </c>
      <c r="T232" s="209" t="s">
        <v>3259</v>
      </c>
      <c r="U232" s="209" t="s">
        <v>3260</v>
      </c>
      <c r="V232" s="209" t="s">
        <v>3261</v>
      </c>
      <c r="W232" s="209" t="s">
        <v>3262</v>
      </c>
      <c r="X232" s="209" t="s">
        <v>3263</v>
      </c>
      <c r="Y232" s="209" t="s">
        <v>133</v>
      </c>
      <c r="Z232" s="209" t="s">
        <v>133</v>
      </c>
      <c r="AA232" s="209" t="s">
        <v>133</v>
      </c>
      <c r="AB232" s="209" t="s">
        <v>133</v>
      </c>
      <c r="AC232" s="209" t="s">
        <v>4351</v>
      </c>
      <c r="AD232" s="209" t="s">
        <v>133</v>
      </c>
      <c r="AE232" s="209" t="s">
        <v>133</v>
      </c>
    </row>
    <row r="233" spans="1:31" x14ac:dyDescent="0.55000000000000004">
      <c r="A233" s="209" t="s">
        <v>4427</v>
      </c>
      <c r="B233" s="209" t="s">
        <v>4428</v>
      </c>
      <c r="C233" s="209" t="s">
        <v>4429</v>
      </c>
      <c r="D233" s="209" t="s">
        <v>4430</v>
      </c>
      <c r="E233" s="209" t="s">
        <v>4431</v>
      </c>
      <c r="F233" s="209" t="s">
        <v>4432</v>
      </c>
      <c r="G233" s="209" t="s">
        <v>4433</v>
      </c>
      <c r="H233" s="209" t="s">
        <v>133</v>
      </c>
      <c r="I233" s="209" t="s">
        <v>133</v>
      </c>
      <c r="J233" s="209" t="s">
        <v>4434</v>
      </c>
      <c r="K233" s="209" t="s">
        <v>4435</v>
      </c>
      <c r="L233" s="209" t="s">
        <v>4436</v>
      </c>
      <c r="M233" s="209" t="s">
        <v>4437</v>
      </c>
      <c r="N233" s="209" t="s">
        <v>4438</v>
      </c>
      <c r="O233" s="209" t="s">
        <v>4439</v>
      </c>
      <c r="P233" s="209" t="s">
        <v>2260</v>
      </c>
      <c r="Q233" s="209" t="s">
        <v>2298</v>
      </c>
      <c r="R233" s="209" t="s">
        <v>2299</v>
      </c>
      <c r="S233" s="209" t="s">
        <v>3277</v>
      </c>
      <c r="T233" s="209" t="s">
        <v>3278</v>
      </c>
      <c r="U233" s="209" t="s">
        <v>3279</v>
      </c>
      <c r="V233" s="209" t="s">
        <v>3280</v>
      </c>
      <c r="W233" s="209" t="s">
        <v>3281</v>
      </c>
      <c r="X233" s="209" t="s">
        <v>3282</v>
      </c>
      <c r="Y233" s="209" t="s">
        <v>133</v>
      </c>
      <c r="Z233" s="209" t="s">
        <v>133</v>
      </c>
      <c r="AA233" s="209" t="s">
        <v>133</v>
      </c>
      <c r="AB233" s="209" t="s">
        <v>133</v>
      </c>
      <c r="AC233" s="209" t="s">
        <v>4351</v>
      </c>
      <c r="AD233" s="209" t="s">
        <v>133</v>
      </c>
      <c r="AE233" s="209" t="s">
        <v>133</v>
      </c>
    </row>
    <row r="234" spans="1:31" x14ac:dyDescent="0.55000000000000004">
      <c r="A234" s="209" t="s">
        <v>4440</v>
      </c>
      <c r="B234" s="209" t="s">
        <v>4441</v>
      </c>
      <c r="C234" s="209" t="s">
        <v>4442</v>
      </c>
      <c r="D234" s="209" t="s">
        <v>4443</v>
      </c>
      <c r="E234" s="209" t="s">
        <v>4444</v>
      </c>
      <c r="F234" s="209" t="s">
        <v>4432</v>
      </c>
      <c r="G234" s="209" t="s">
        <v>4433</v>
      </c>
      <c r="H234" s="209" t="s">
        <v>133</v>
      </c>
      <c r="I234" s="209" t="s">
        <v>133</v>
      </c>
      <c r="J234" s="209" t="s">
        <v>4434</v>
      </c>
      <c r="K234" s="209" t="s">
        <v>4445</v>
      </c>
      <c r="L234" s="209" t="s">
        <v>4446</v>
      </c>
      <c r="M234" s="209" t="s">
        <v>4447</v>
      </c>
      <c r="N234" s="209" t="s">
        <v>4438</v>
      </c>
      <c r="O234" s="209" t="s">
        <v>4448</v>
      </c>
      <c r="P234" s="209" t="s">
        <v>2260</v>
      </c>
      <c r="Q234" s="209" t="s">
        <v>2309</v>
      </c>
      <c r="R234" s="209" t="s">
        <v>2299</v>
      </c>
      <c r="S234" s="209" t="s">
        <v>3296</v>
      </c>
      <c r="T234" s="209" t="s">
        <v>3297</v>
      </c>
      <c r="U234" s="209" t="s">
        <v>3298</v>
      </c>
      <c r="V234" s="209" t="s">
        <v>3299</v>
      </c>
      <c r="W234" s="209" t="s">
        <v>3300</v>
      </c>
      <c r="X234" s="209" t="s">
        <v>3301</v>
      </c>
      <c r="Y234" s="209" t="s">
        <v>133</v>
      </c>
      <c r="Z234" s="209" t="s">
        <v>133</v>
      </c>
      <c r="AA234" s="209" t="s">
        <v>133</v>
      </c>
      <c r="AB234" s="209" t="s">
        <v>133</v>
      </c>
      <c r="AC234" s="209" t="s">
        <v>4351</v>
      </c>
      <c r="AD234" s="209" t="s">
        <v>133</v>
      </c>
      <c r="AE234" s="209" t="s">
        <v>133</v>
      </c>
    </row>
    <row r="235" spans="1:31" x14ac:dyDescent="0.55000000000000004">
      <c r="A235" s="209" t="s">
        <v>6206</v>
      </c>
      <c r="B235" s="209" t="s">
        <v>6207</v>
      </c>
      <c r="C235" s="209" t="s">
        <v>6208</v>
      </c>
      <c r="D235" s="209" t="s">
        <v>6209</v>
      </c>
      <c r="E235" s="209" t="s">
        <v>6210</v>
      </c>
      <c r="F235" s="209" t="s">
        <v>6211</v>
      </c>
      <c r="G235" s="209" t="s">
        <v>6212</v>
      </c>
      <c r="H235" s="209" t="s">
        <v>133</v>
      </c>
      <c r="I235" s="209" t="s">
        <v>133</v>
      </c>
      <c r="J235" s="209" t="s">
        <v>6213</v>
      </c>
      <c r="K235" s="209" t="s">
        <v>6214</v>
      </c>
      <c r="L235" s="209" t="s">
        <v>6215</v>
      </c>
      <c r="M235" s="209" t="s">
        <v>6216</v>
      </c>
      <c r="N235" s="209" t="s">
        <v>6217</v>
      </c>
      <c r="O235" s="209" t="s">
        <v>6218</v>
      </c>
      <c r="P235" s="209" t="s">
        <v>2179</v>
      </c>
      <c r="Q235" s="209" t="s">
        <v>2180</v>
      </c>
      <c r="R235" s="209" t="s">
        <v>2299</v>
      </c>
      <c r="S235" s="209" t="s">
        <v>3238</v>
      </c>
      <c r="T235" s="209" t="s">
        <v>3239</v>
      </c>
      <c r="U235" s="209" t="s">
        <v>3240</v>
      </c>
      <c r="V235" s="209" t="s">
        <v>3241</v>
      </c>
      <c r="W235" s="209" t="s">
        <v>3242</v>
      </c>
      <c r="X235" s="209" t="s">
        <v>3243</v>
      </c>
      <c r="Y235" s="209" t="s">
        <v>6219</v>
      </c>
      <c r="Z235" s="209" t="s">
        <v>6220</v>
      </c>
      <c r="AA235" s="209" t="s">
        <v>6221</v>
      </c>
      <c r="AB235" s="209" t="s">
        <v>6222</v>
      </c>
      <c r="AC235" s="209" t="s">
        <v>5074</v>
      </c>
      <c r="AD235" s="209" t="s">
        <v>133</v>
      </c>
      <c r="AE235" s="209" t="s">
        <v>133</v>
      </c>
    </row>
    <row r="236" spans="1:31" x14ac:dyDescent="0.55000000000000004">
      <c r="A236" s="209" t="s">
        <v>6223</v>
      </c>
      <c r="B236" s="209" t="s">
        <v>6224</v>
      </c>
      <c r="C236" s="209" t="s">
        <v>6225</v>
      </c>
      <c r="D236" s="209" t="s">
        <v>6226</v>
      </c>
      <c r="E236" s="209" t="s">
        <v>6227</v>
      </c>
      <c r="F236" s="209" t="s">
        <v>6211</v>
      </c>
      <c r="G236" s="209" t="s">
        <v>6212</v>
      </c>
      <c r="H236" s="209" t="s">
        <v>133</v>
      </c>
      <c r="I236" s="209" t="s">
        <v>133</v>
      </c>
      <c r="J236" s="209" t="s">
        <v>6213</v>
      </c>
      <c r="K236" s="209" t="s">
        <v>6228</v>
      </c>
      <c r="L236" s="209" t="s">
        <v>6229</v>
      </c>
      <c r="M236" s="209" t="s">
        <v>6230</v>
      </c>
      <c r="N236" s="209" t="s">
        <v>6217</v>
      </c>
      <c r="O236" s="209" t="s">
        <v>6231</v>
      </c>
      <c r="P236" s="209" t="s">
        <v>2179</v>
      </c>
      <c r="Q236" s="209" t="s">
        <v>2179</v>
      </c>
      <c r="R236" s="209" t="s">
        <v>2299</v>
      </c>
      <c r="S236" s="209" t="s">
        <v>3258</v>
      </c>
      <c r="T236" s="209" t="s">
        <v>3259</v>
      </c>
      <c r="U236" s="209" t="s">
        <v>3260</v>
      </c>
      <c r="V236" s="209" t="s">
        <v>3261</v>
      </c>
      <c r="W236" s="209" t="s">
        <v>3262</v>
      </c>
      <c r="X236" s="209" t="s">
        <v>3263</v>
      </c>
      <c r="Y236" s="209" t="s">
        <v>6219</v>
      </c>
      <c r="Z236" s="209" t="s">
        <v>6220</v>
      </c>
      <c r="AA236" s="209" t="s">
        <v>6221</v>
      </c>
      <c r="AB236" s="209" t="s">
        <v>6222</v>
      </c>
      <c r="AC236" s="209" t="s">
        <v>5074</v>
      </c>
      <c r="AD236" s="209" t="s">
        <v>133</v>
      </c>
      <c r="AE236" s="209" t="s">
        <v>133</v>
      </c>
    </row>
    <row r="237" spans="1:31" x14ac:dyDescent="0.55000000000000004">
      <c r="A237" s="209" t="s">
        <v>6232</v>
      </c>
      <c r="B237" s="209" t="s">
        <v>6233</v>
      </c>
      <c r="C237" s="209" t="s">
        <v>6234</v>
      </c>
      <c r="D237" s="209" t="s">
        <v>6235</v>
      </c>
      <c r="E237" s="209" t="s">
        <v>6236</v>
      </c>
      <c r="F237" s="209" t="s">
        <v>6237</v>
      </c>
      <c r="G237" s="209" t="s">
        <v>6238</v>
      </c>
      <c r="H237" s="209" t="s">
        <v>133</v>
      </c>
      <c r="I237" s="209" t="s">
        <v>133</v>
      </c>
      <c r="J237" s="209" t="s">
        <v>6239</v>
      </c>
      <c r="K237" s="209" t="s">
        <v>6240</v>
      </c>
      <c r="L237" s="209" t="s">
        <v>6241</v>
      </c>
      <c r="M237" s="209" t="s">
        <v>6242</v>
      </c>
      <c r="N237" s="209" t="s">
        <v>6243</v>
      </c>
      <c r="O237" s="209" t="s">
        <v>6244</v>
      </c>
      <c r="P237" s="209" t="s">
        <v>2226</v>
      </c>
      <c r="Q237" s="209" t="s">
        <v>2226</v>
      </c>
      <c r="R237" s="209" t="s">
        <v>2299</v>
      </c>
      <c r="S237" s="209" t="s">
        <v>3277</v>
      </c>
      <c r="T237" s="209" t="s">
        <v>3278</v>
      </c>
      <c r="U237" s="209" t="s">
        <v>3279</v>
      </c>
      <c r="V237" s="209" t="s">
        <v>3280</v>
      </c>
      <c r="W237" s="209" t="s">
        <v>3281</v>
      </c>
      <c r="X237" s="209" t="s">
        <v>3282</v>
      </c>
      <c r="Y237" s="209" t="s">
        <v>6245</v>
      </c>
      <c r="Z237" s="209" t="s">
        <v>6246</v>
      </c>
      <c r="AA237" s="209" t="s">
        <v>6247</v>
      </c>
      <c r="AB237" s="209" t="s">
        <v>6248</v>
      </c>
      <c r="AC237" s="209" t="s">
        <v>5074</v>
      </c>
      <c r="AD237" s="209" t="s">
        <v>133</v>
      </c>
      <c r="AE237" s="209" t="s">
        <v>133</v>
      </c>
    </row>
    <row r="238" spans="1:31" x14ac:dyDescent="0.55000000000000004">
      <c r="A238" s="209" t="s">
        <v>6249</v>
      </c>
      <c r="B238" s="209" t="s">
        <v>6250</v>
      </c>
      <c r="C238" s="209" t="s">
        <v>6251</v>
      </c>
      <c r="D238" s="209" t="s">
        <v>6252</v>
      </c>
      <c r="E238" s="209" t="s">
        <v>6253</v>
      </c>
      <c r="F238" s="209" t="s">
        <v>6237</v>
      </c>
      <c r="G238" s="209" t="s">
        <v>6238</v>
      </c>
      <c r="H238" s="209" t="s">
        <v>133</v>
      </c>
      <c r="I238" s="209" t="s">
        <v>133</v>
      </c>
      <c r="J238" s="209" t="s">
        <v>6239</v>
      </c>
      <c r="K238" s="209" t="s">
        <v>6254</v>
      </c>
      <c r="L238" s="209" t="s">
        <v>6255</v>
      </c>
      <c r="M238" s="209" t="s">
        <v>6256</v>
      </c>
      <c r="N238" s="209" t="s">
        <v>6243</v>
      </c>
      <c r="O238" s="209" t="s">
        <v>6257</v>
      </c>
      <c r="P238" s="209" t="s">
        <v>2226</v>
      </c>
      <c r="Q238" s="209" t="s">
        <v>2236</v>
      </c>
      <c r="R238" s="209" t="s">
        <v>2299</v>
      </c>
      <c r="S238" s="209" t="s">
        <v>3296</v>
      </c>
      <c r="T238" s="209" t="s">
        <v>3297</v>
      </c>
      <c r="U238" s="209" t="s">
        <v>3298</v>
      </c>
      <c r="V238" s="209" t="s">
        <v>3299</v>
      </c>
      <c r="W238" s="209" t="s">
        <v>3300</v>
      </c>
      <c r="X238" s="209" t="s">
        <v>3301</v>
      </c>
      <c r="Y238" s="209" t="s">
        <v>6245</v>
      </c>
      <c r="Z238" s="209" t="s">
        <v>6246</v>
      </c>
      <c r="AA238" s="209" t="s">
        <v>6247</v>
      </c>
      <c r="AB238" s="209" t="s">
        <v>6248</v>
      </c>
      <c r="AC238" s="209" t="s">
        <v>5074</v>
      </c>
      <c r="AD238" s="209" t="s">
        <v>133</v>
      </c>
      <c r="AE238" s="209" t="s">
        <v>133</v>
      </c>
    </row>
    <row r="239" spans="1:31" x14ac:dyDescent="0.55000000000000004">
      <c r="A239" s="209" t="s">
        <v>6258</v>
      </c>
      <c r="B239" s="209" t="s">
        <v>6259</v>
      </c>
      <c r="C239" s="209" t="s">
        <v>6260</v>
      </c>
      <c r="D239" s="209" t="s">
        <v>6261</v>
      </c>
      <c r="E239" s="209" t="s">
        <v>6262</v>
      </c>
      <c r="F239" s="209" t="s">
        <v>6263</v>
      </c>
      <c r="G239" s="209" t="s">
        <v>6264</v>
      </c>
      <c r="H239" s="209" t="s">
        <v>133</v>
      </c>
      <c r="I239" s="209" t="s">
        <v>133</v>
      </c>
      <c r="J239" s="209" t="s">
        <v>6265</v>
      </c>
      <c r="K239" s="209" t="s">
        <v>6266</v>
      </c>
      <c r="L239" s="209" t="s">
        <v>6267</v>
      </c>
      <c r="M239" s="209" t="s">
        <v>6268</v>
      </c>
      <c r="N239" s="209" t="s">
        <v>6269</v>
      </c>
      <c r="O239" s="209" t="s">
        <v>6270</v>
      </c>
      <c r="P239" s="209" t="s">
        <v>2236</v>
      </c>
      <c r="Q239" s="209" t="s">
        <v>2250</v>
      </c>
      <c r="R239" s="209" t="s">
        <v>2299</v>
      </c>
      <c r="S239" s="209" t="s">
        <v>3315</v>
      </c>
      <c r="T239" s="209" t="s">
        <v>3316</v>
      </c>
      <c r="U239" s="209" t="s">
        <v>3317</v>
      </c>
      <c r="V239" s="209" t="s">
        <v>3318</v>
      </c>
      <c r="W239" s="209" t="s">
        <v>3319</v>
      </c>
      <c r="X239" s="209" t="s">
        <v>3320</v>
      </c>
      <c r="Y239" s="209" t="s">
        <v>6271</v>
      </c>
      <c r="Z239" s="209" t="s">
        <v>6272</v>
      </c>
      <c r="AA239" s="209" t="s">
        <v>6273</v>
      </c>
      <c r="AB239" s="209" t="s">
        <v>6274</v>
      </c>
      <c r="AC239" s="209" t="s">
        <v>5074</v>
      </c>
      <c r="AD239" s="209" t="s">
        <v>133</v>
      </c>
      <c r="AE239" s="209" t="s">
        <v>133</v>
      </c>
    </row>
    <row r="240" spans="1:31" x14ac:dyDescent="0.55000000000000004">
      <c r="A240" s="209" t="s">
        <v>6275</v>
      </c>
      <c r="B240" s="209" t="s">
        <v>6276</v>
      </c>
      <c r="C240" s="209" t="s">
        <v>6277</v>
      </c>
      <c r="D240" s="209" t="s">
        <v>6278</v>
      </c>
      <c r="E240" s="209" t="s">
        <v>6279</v>
      </c>
      <c r="F240" s="209" t="s">
        <v>6263</v>
      </c>
      <c r="G240" s="209" t="s">
        <v>6264</v>
      </c>
      <c r="H240" s="209" t="s">
        <v>133</v>
      </c>
      <c r="I240" s="209" t="s">
        <v>133</v>
      </c>
      <c r="J240" s="209" t="s">
        <v>6265</v>
      </c>
      <c r="K240" s="209" t="s">
        <v>6280</v>
      </c>
      <c r="L240" s="209" t="s">
        <v>6281</v>
      </c>
      <c r="M240" s="209" t="s">
        <v>6282</v>
      </c>
      <c r="N240" s="209" t="s">
        <v>6269</v>
      </c>
      <c r="O240" s="209" t="s">
        <v>6283</v>
      </c>
      <c r="P240" s="209" t="s">
        <v>2236</v>
      </c>
      <c r="Q240" s="209" t="s">
        <v>2260</v>
      </c>
      <c r="R240" s="209" t="s">
        <v>2299</v>
      </c>
      <c r="S240" s="209" t="s">
        <v>3334</v>
      </c>
      <c r="T240" s="209" t="s">
        <v>3335</v>
      </c>
      <c r="U240" s="209" t="s">
        <v>3336</v>
      </c>
      <c r="V240" s="209" t="s">
        <v>3337</v>
      </c>
      <c r="W240" s="209" t="s">
        <v>3338</v>
      </c>
      <c r="X240" s="209" t="s">
        <v>3339</v>
      </c>
      <c r="Y240" s="209" t="s">
        <v>6271</v>
      </c>
      <c r="Z240" s="209" t="s">
        <v>6272</v>
      </c>
      <c r="AA240" s="209" t="s">
        <v>6273</v>
      </c>
      <c r="AB240" s="209" t="s">
        <v>6274</v>
      </c>
      <c r="AC240" s="209" t="s">
        <v>5074</v>
      </c>
      <c r="AD240" s="209" t="s">
        <v>133</v>
      </c>
      <c r="AE240" s="209" t="s">
        <v>133</v>
      </c>
    </row>
    <row r="241" spans="1:31" x14ac:dyDescent="0.55000000000000004">
      <c r="A241" s="209" t="s">
        <v>6284</v>
      </c>
      <c r="B241" s="209" t="s">
        <v>6285</v>
      </c>
      <c r="C241" s="209" t="s">
        <v>6286</v>
      </c>
      <c r="D241" s="209" t="s">
        <v>6287</v>
      </c>
      <c r="E241" s="209" t="s">
        <v>6288</v>
      </c>
      <c r="F241" s="209" t="s">
        <v>6289</v>
      </c>
      <c r="G241" s="209" t="s">
        <v>6290</v>
      </c>
      <c r="H241" s="209" t="s">
        <v>133</v>
      </c>
      <c r="I241" s="209" t="s">
        <v>133</v>
      </c>
      <c r="J241" s="209" t="s">
        <v>6291</v>
      </c>
      <c r="K241" s="209" t="s">
        <v>6292</v>
      </c>
      <c r="L241" s="209" t="s">
        <v>6293</v>
      </c>
      <c r="M241" s="209" t="s">
        <v>6294</v>
      </c>
      <c r="N241" s="209" t="s">
        <v>6295</v>
      </c>
      <c r="O241" s="209" t="s">
        <v>6296</v>
      </c>
      <c r="P241" s="209" t="s">
        <v>2250</v>
      </c>
      <c r="Q241" s="209" t="s">
        <v>2274</v>
      </c>
      <c r="R241" s="209" t="s">
        <v>2299</v>
      </c>
      <c r="S241" s="209" t="s">
        <v>3238</v>
      </c>
      <c r="T241" s="209" t="s">
        <v>3239</v>
      </c>
      <c r="U241" s="209" t="s">
        <v>3240</v>
      </c>
      <c r="V241" s="209" t="s">
        <v>3241</v>
      </c>
      <c r="W241" s="209" t="s">
        <v>3242</v>
      </c>
      <c r="X241" s="209" t="s">
        <v>3243</v>
      </c>
      <c r="Y241" s="209" t="s">
        <v>6297</v>
      </c>
      <c r="Z241" s="209" t="s">
        <v>6298</v>
      </c>
      <c r="AA241" s="209" t="s">
        <v>6299</v>
      </c>
      <c r="AB241" s="209" t="s">
        <v>6300</v>
      </c>
      <c r="AC241" s="209" t="s">
        <v>5074</v>
      </c>
      <c r="AD241" s="209" t="s">
        <v>133</v>
      </c>
      <c r="AE241" s="209" t="s">
        <v>133</v>
      </c>
    </row>
    <row r="242" spans="1:31" x14ac:dyDescent="0.55000000000000004">
      <c r="A242" s="209" t="s">
        <v>6301</v>
      </c>
      <c r="B242" s="209" t="s">
        <v>6302</v>
      </c>
      <c r="C242" s="209" t="s">
        <v>6303</v>
      </c>
      <c r="D242" s="209" t="s">
        <v>6304</v>
      </c>
      <c r="E242" s="209" t="s">
        <v>6305</v>
      </c>
      <c r="F242" s="209" t="s">
        <v>6289</v>
      </c>
      <c r="G242" s="209" t="s">
        <v>6290</v>
      </c>
      <c r="H242" s="209" t="s">
        <v>133</v>
      </c>
      <c r="I242" s="209" t="s">
        <v>133</v>
      </c>
      <c r="J242" s="209" t="s">
        <v>6291</v>
      </c>
      <c r="K242" s="209" t="s">
        <v>6306</v>
      </c>
      <c r="L242" s="209" t="s">
        <v>6307</v>
      </c>
      <c r="M242" s="209" t="s">
        <v>6308</v>
      </c>
      <c r="N242" s="209" t="s">
        <v>6295</v>
      </c>
      <c r="O242" s="209" t="s">
        <v>6309</v>
      </c>
      <c r="P242" s="209" t="s">
        <v>2250</v>
      </c>
      <c r="Q242" s="209" t="s">
        <v>2284</v>
      </c>
      <c r="R242" s="209" t="s">
        <v>2299</v>
      </c>
      <c r="S242" s="209" t="s">
        <v>3258</v>
      </c>
      <c r="T242" s="209" t="s">
        <v>3259</v>
      </c>
      <c r="U242" s="209" t="s">
        <v>3260</v>
      </c>
      <c r="V242" s="209" t="s">
        <v>3261</v>
      </c>
      <c r="W242" s="209" t="s">
        <v>3262</v>
      </c>
      <c r="X242" s="209" t="s">
        <v>3263</v>
      </c>
      <c r="Y242" s="209" t="s">
        <v>6297</v>
      </c>
      <c r="Z242" s="209" t="s">
        <v>6298</v>
      </c>
      <c r="AA242" s="209" t="s">
        <v>6299</v>
      </c>
      <c r="AB242" s="209" t="s">
        <v>6300</v>
      </c>
      <c r="AC242" s="209" t="s">
        <v>5074</v>
      </c>
      <c r="AD242" s="209" t="s">
        <v>133</v>
      </c>
      <c r="AE242" s="209" t="s">
        <v>133</v>
      </c>
    </row>
    <row r="243" spans="1:31" x14ac:dyDescent="0.55000000000000004">
      <c r="A243" s="209" t="s">
        <v>6310</v>
      </c>
      <c r="B243" s="209" t="s">
        <v>6311</v>
      </c>
      <c r="C243" s="209" t="s">
        <v>6312</v>
      </c>
      <c r="D243" s="209" t="s">
        <v>6313</v>
      </c>
      <c r="E243" s="209" t="s">
        <v>6314</v>
      </c>
      <c r="F243" s="209" t="s">
        <v>6315</v>
      </c>
      <c r="G243" s="209" t="s">
        <v>6316</v>
      </c>
      <c r="H243" s="209" t="s">
        <v>133</v>
      </c>
      <c r="I243" s="209" t="s">
        <v>133</v>
      </c>
      <c r="J243" s="209" t="s">
        <v>6317</v>
      </c>
      <c r="K243" s="209" t="s">
        <v>6318</v>
      </c>
      <c r="L243" s="209" t="s">
        <v>6319</v>
      </c>
      <c r="M243" s="209" t="s">
        <v>6320</v>
      </c>
      <c r="N243" s="209" t="s">
        <v>6321</v>
      </c>
      <c r="O243" s="209" t="s">
        <v>6322</v>
      </c>
      <c r="P243" s="209" t="s">
        <v>2260</v>
      </c>
      <c r="Q243" s="209" t="s">
        <v>2298</v>
      </c>
      <c r="R243" s="209" t="s">
        <v>2299</v>
      </c>
      <c r="S243" s="209" t="s">
        <v>3277</v>
      </c>
      <c r="T243" s="209" t="s">
        <v>3278</v>
      </c>
      <c r="U243" s="209" t="s">
        <v>3279</v>
      </c>
      <c r="V243" s="209" t="s">
        <v>3280</v>
      </c>
      <c r="W243" s="209" t="s">
        <v>3281</v>
      </c>
      <c r="X243" s="209" t="s">
        <v>3282</v>
      </c>
      <c r="Y243" s="209" t="s">
        <v>6323</v>
      </c>
      <c r="Z243" s="209" t="s">
        <v>6324</v>
      </c>
      <c r="AA243" s="209" t="s">
        <v>6325</v>
      </c>
      <c r="AB243" s="209" t="s">
        <v>6326</v>
      </c>
      <c r="AC243" s="209" t="s">
        <v>5074</v>
      </c>
      <c r="AD243" s="209" t="s">
        <v>133</v>
      </c>
      <c r="AE243" s="209" t="s">
        <v>133</v>
      </c>
    </row>
    <row r="244" spans="1:31" x14ac:dyDescent="0.55000000000000004">
      <c r="A244" s="209" t="s">
        <v>6327</v>
      </c>
      <c r="B244" s="209" t="s">
        <v>6328</v>
      </c>
      <c r="C244" s="209" t="s">
        <v>6329</v>
      </c>
      <c r="D244" s="209" t="s">
        <v>6330</v>
      </c>
      <c r="E244" s="209" t="s">
        <v>6331</v>
      </c>
      <c r="F244" s="209" t="s">
        <v>6315</v>
      </c>
      <c r="G244" s="209" t="s">
        <v>6316</v>
      </c>
      <c r="H244" s="209" t="s">
        <v>133</v>
      </c>
      <c r="I244" s="209" t="s">
        <v>133</v>
      </c>
      <c r="J244" s="209" t="s">
        <v>6317</v>
      </c>
      <c r="K244" s="209" t="s">
        <v>6332</v>
      </c>
      <c r="L244" s="209" t="s">
        <v>6333</v>
      </c>
      <c r="M244" s="209" t="s">
        <v>6334</v>
      </c>
      <c r="N244" s="209" t="s">
        <v>6321</v>
      </c>
      <c r="O244" s="209" t="s">
        <v>6335</v>
      </c>
      <c r="P244" s="209" t="s">
        <v>2260</v>
      </c>
      <c r="Q244" s="209" t="s">
        <v>2309</v>
      </c>
      <c r="R244" s="209" t="s">
        <v>2299</v>
      </c>
      <c r="S244" s="209" t="s">
        <v>3296</v>
      </c>
      <c r="T244" s="209" t="s">
        <v>3297</v>
      </c>
      <c r="U244" s="209" t="s">
        <v>3298</v>
      </c>
      <c r="V244" s="209" t="s">
        <v>3299</v>
      </c>
      <c r="W244" s="209" t="s">
        <v>3300</v>
      </c>
      <c r="X244" s="209" t="s">
        <v>3301</v>
      </c>
      <c r="Y244" s="209" t="s">
        <v>6323</v>
      </c>
      <c r="Z244" s="209" t="s">
        <v>6324</v>
      </c>
      <c r="AA244" s="209" t="s">
        <v>6325</v>
      </c>
      <c r="AB244" s="209" t="s">
        <v>6326</v>
      </c>
      <c r="AC244" s="209" t="s">
        <v>5074</v>
      </c>
      <c r="AD244" s="209" t="s">
        <v>133</v>
      </c>
      <c r="AE244" s="209" t="s">
        <v>133</v>
      </c>
    </row>
    <row r="245" spans="1:31" x14ac:dyDescent="0.55000000000000004">
      <c r="A245" s="209" t="s">
        <v>6336</v>
      </c>
      <c r="B245" s="209" t="s">
        <v>6337</v>
      </c>
      <c r="C245" s="209" t="s">
        <v>6338</v>
      </c>
      <c r="D245" s="209" t="s">
        <v>6339</v>
      </c>
      <c r="E245" s="209" t="s">
        <v>6340</v>
      </c>
      <c r="F245" s="209" t="s">
        <v>6341</v>
      </c>
      <c r="G245" s="209" t="s">
        <v>6342</v>
      </c>
      <c r="H245" s="209" t="s">
        <v>133</v>
      </c>
      <c r="I245" s="209" t="s">
        <v>133</v>
      </c>
      <c r="J245" s="209" t="s">
        <v>6343</v>
      </c>
      <c r="K245" s="209" t="s">
        <v>6344</v>
      </c>
      <c r="L245" s="209" t="s">
        <v>6345</v>
      </c>
      <c r="M245" s="209" t="s">
        <v>6346</v>
      </c>
      <c r="N245" s="209" t="s">
        <v>6347</v>
      </c>
      <c r="O245" s="209" t="s">
        <v>6348</v>
      </c>
      <c r="P245" s="209" t="s">
        <v>2274</v>
      </c>
      <c r="Q245" s="209" t="s">
        <v>2323</v>
      </c>
      <c r="R245" s="209" t="s">
        <v>2299</v>
      </c>
      <c r="S245" s="209" t="s">
        <v>3315</v>
      </c>
      <c r="T245" s="209" t="s">
        <v>3316</v>
      </c>
      <c r="U245" s="209" t="s">
        <v>3317</v>
      </c>
      <c r="V245" s="209" t="s">
        <v>3318</v>
      </c>
      <c r="W245" s="209" t="s">
        <v>3319</v>
      </c>
      <c r="X245" s="209" t="s">
        <v>3320</v>
      </c>
      <c r="Y245" s="209" t="s">
        <v>6349</v>
      </c>
      <c r="Z245" s="209" t="s">
        <v>6350</v>
      </c>
      <c r="AA245" s="209" t="s">
        <v>6351</v>
      </c>
      <c r="AB245" s="209" t="s">
        <v>6352</v>
      </c>
      <c r="AC245" s="209" t="s">
        <v>5074</v>
      </c>
      <c r="AD245" s="209" t="s">
        <v>133</v>
      </c>
      <c r="AE245" s="209" t="s">
        <v>133</v>
      </c>
    </row>
    <row r="246" spans="1:31" x14ac:dyDescent="0.55000000000000004">
      <c r="A246" s="209" t="s">
        <v>6353</v>
      </c>
      <c r="B246" s="209" t="s">
        <v>6354</v>
      </c>
      <c r="C246" s="209" t="s">
        <v>6355</v>
      </c>
      <c r="D246" s="209" t="s">
        <v>6356</v>
      </c>
      <c r="E246" s="209" t="s">
        <v>6357</v>
      </c>
      <c r="F246" s="209" t="s">
        <v>6341</v>
      </c>
      <c r="G246" s="209" t="s">
        <v>6342</v>
      </c>
      <c r="H246" s="209" t="s">
        <v>133</v>
      </c>
      <c r="I246" s="209" t="s">
        <v>133</v>
      </c>
      <c r="J246" s="209" t="s">
        <v>6343</v>
      </c>
      <c r="K246" s="209" t="s">
        <v>6358</v>
      </c>
      <c r="L246" s="209" t="s">
        <v>6359</v>
      </c>
      <c r="M246" s="209" t="s">
        <v>6360</v>
      </c>
      <c r="N246" s="209" t="s">
        <v>6347</v>
      </c>
      <c r="O246" s="209" t="s">
        <v>6361</v>
      </c>
      <c r="P246" s="209" t="s">
        <v>2274</v>
      </c>
      <c r="Q246" s="209" t="s">
        <v>2333</v>
      </c>
      <c r="R246" s="209" t="s">
        <v>2299</v>
      </c>
      <c r="S246" s="209" t="s">
        <v>3334</v>
      </c>
      <c r="T246" s="209" t="s">
        <v>3335</v>
      </c>
      <c r="U246" s="209" t="s">
        <v>3336</v>
      </c>
      <c r="V246" s="209" t="s">
        <v>3337</v>
      </c>
      <c r="W246" s="209" t="s">
        <v>3338</v>
      </c>
      <c r="X246" s="209" t="s">
        <v>3339</v>
      </c>
      <c r="Y246" s="209" t="s">
        <v>6349</v>
      </c>
      <c r="Z246" s="209" t="s">
        <v>6350</v>
      </c>
      <c r="AA246" s="209" t="s">
        <v>6351</v>
      </c>
      <c r="AB246" s="209" t="s">
        <v>6352</v>
      </c>
      <c r="AC246" s="209" t="s">
        <v>5074</v>
      </c>
      <c r="AD246" s="209" t="s">
        <v>133</v>
      </c>
      <c r="AE246" s="209" t="s">
        <v>133</v>
      </c>
    </row>
    <row r="247" spans="1:31" x14ac:dyDescent="0.55000000000000004">
      <c r="A247" s="209" t="s">
        <v>6362</v>
      </c>
      <c r="B247" s="209" t="s">
        <v>6363</v>
      </c>
      <c r="C247" s="209" t="s">
        <v>6364</v>
      </c>
      <c r="D247" s="209" t="s">
        <v>6365</v>
      </c>
      <c r="E247" s="209" t="s">
        <v>6366</v>
      </c>
      <c r="F247" s="209" t="s">
        <v>6367</v>
      </c>
      <c r="G247" s="209" t="s">
        <v>6368</v>
      </c>
      <c r="H247" s="209" t="s">
        <v>133</v>
      </c>
      <c r="I247" s="209" t="s">
        <v>133</v>
      </c>
      <c r="J247" s="209" t="s">
        <v>6369</v>
      </c>
      <c r="K247" s="209" t="s">
        <v>6370</v>
      </c>
      <c r="L247" s="209" t="s">
        <v>6371</v>
      </c>
      <c r="M247" s="209" t="s">
        <v>6372</v>
      </c>
      <c r="N247" s="209" t="s">
        <v>6373</v>
      </c>
      <c r="O247" s="209" t="s">
        <v>6374</v>
      </c>
      <c r="P247" s="209" t="s">
        <v>2179</v>
      </c>
      <c r="Q247" s="209" t="s">
        <v>2180</v>
      </c>
      <c r="R247" s="209" t="s">
        <v>2299</v>
      </c>
      <c r="S247" s="209" t="s">
        <v>3238</v>
      </c>
      <c r="T247" s="209" t="s">
        <v>3239</v>
      </c>
      <c r="U247" s="209" t="s">
        <v>3240</v>
      </c>
      <c r="V247" s="209" t="s">
        <v>3241</v>
      </c>
      <c r="W247" s="209" t="s">
        <v>3281</v>
      </c>
      <c r="X247" s="209" t="s">
        <v>3243</v>
      </c>
      <c r="Y247" s="209" t="s">
        <v>6375</v>
      </c>
      <c r="Z247" s="209" t="s">
        <v>6376</v>
      </c>
      <c r="AA247" s="209" t="s">
        <v>6377</v>
      </c>
      <c r="AB247" s="209" t="s">
        <v>6378</v>
      </c>
      <c r="AC247" s="209" t="s">
        <v>5074</v>
      </c>
      <c r="AD247" s="209" t="s">
        <v>133</v>
      </c>
      <c r="AE247" s="209" t="s">
        <v>133</v>
      </c>
    </row>
    <row r="248" spans="1:31" x14ac:dyDescent="0.55000000000000004">
      <c r="A248" s="209" t="s">
        <v>6379</v>
      </c>
      <c r="B248" s="209" t="s">
        <v>6380</v>
      </c>
      <c r="C248" s="209" t="s">
        <v>6381</v>
      </c>
      <c r="D248" s="209" t="s">
        <v>6382</v>
      </c>
      <c r="E248" s="209" t="s">
        <v>6383</v>
      </c>
      <c r="F248" s="209" t="s">
        <v>6367</v>
      </c>
      <c r="G248" s="209" t="s">
        <v>6368</v>
      </c>
      <c r="H248" s="209" t="s">
        <v>133</v>
      </c>
      <c r="I248" s="209" t="s">
        <v>133</v>
      </c>
      <c r="J248" s="209" t="s">
        <v>6369</v>
      </c>
      <c r="K248" s="209" t="s">
        <v>6384</v>
      </c>
      <c r="L248" s="209" t="s">
        <v>6385</v>
      </c>
      <c r="M248" s="209" t="s">
        <v>6386</v>
      </c>
      <c r="N248" s="209" t="s">
        <v>6373</v>
      </c>
      <c r="O248" s="209" t="s">
        <v>6387</v>
      </c>
      <c r="P248" s="209" t="s">
        <v>2179</v>
      </c>
      <c r="Q248" s="209" t="s">
        <v>2179</v>
      </c>
      <c r="R248" s="209" t="s">
        <v>2299</v>
      </c>
      <c r="S248" s="209" t="s">
        <v>3258</v>
      </c>
      <c r="T248" s="209" t="s">
        <v>3259</v>
      </c>
      <c r="U248" s="209" t="s">
        <v>3260</v>
      </c>
      <c r="V248" s="209" t="s">
        <v>3261</v>
      </c>
      <c r="W248" s="209" t="s">
        <v>3300</v>
      </c>
      <c r="X248" s="209" t="s">
        <v>3263</v>
      </c>
      <c r="Y248" s="209" t="s">
        <v>6375</v>
      </c>
      <c r="Z248" s="209" t="s">
        <v>6376</v>
      </c>
      <c r="AA248" s="209" t="s">
        <v>6377</v>
      </c>
      <c r="AB248" s="209" t="s">
        <v>6378</v>
      </c>
      <c r="AC248" s="209" t="s">
        <v>5074</v>
      </c>
      <c r="AD248" s="209" t="s">
        <v>133</v>
      </c>
      <c r="AE248" s="209" t="s">
        <v>133</v>
      </c>
    </row>
    <row r="249" spans="1:31" x14ac:dyDescent="0.55000000000000004">
      <c r="A249" s="209" t="s">
        <v>4549</v>
      </c>
      <c r="B249" s="209" t="s">
        <v>4550</v>
      </c>
      <c r="C249" s="209" t="s">
        <v>4551</v>
      </c>
      <c r="D249" s="209" t="s">
        <v>4552</v>
      </c>
      <c r="E249" s="209" t="s">
        <v>4553</v>
      </c>
      <c r="F249" s="209" t="s">
        <v>4554</v>
      </c>
      <c r="G249" s="209" t="s">
        <v>4555</v>
      </c>
      <c r="H249" s="209" t="s">
        <v>4556</v>
      </c>
      <c r="I249" s="209" t="s">
        <v>4557</v>
      </c>
      <c r="J249" s="209" t="s">
        <v>4558</v>
      </c>
      <c r="K249" s="209" t="s">
        <v>4559</v>
      </c>
      <c r="L249" s="209" t="s">
        <v>4560</v>
      </c>
      <c r="M249" s="209" t="s">
        <v>4561</v>
      </c>
      <c r="N249" s="209" t="s">
        <v>4562</v>
      </c>
      <c r="O249" s="209" t="s">
        <v>4563</v>
      </c>
      <c r="P249" s="209" t="s">
        <v>2179</v>
      </c>
      <c r="Q249" s="209" t="s">
        <v>2180</v>
      </c>
      <c r="R249" s="209" t="s">
        <v>2373</v>
      </c>
      <c r="S249" s="209" t="s">
        <v>133</v>
      </c>
      <c r="T249" s="209" t="s">
        <v>133</v>
      </c>
      <c r="U249" s="209" t="s">
        <v>133</v>
      </c>
      <c r="V249" s="209" t="s">
        <v>133</v>
      </c>
      <c r="W249" s="209" t="s">
        <v>133</v>
      </c>
      <c r="X249" s="209" t="s">
        <v>133</v>
      </c>
      <c r="Y249" s="209" t="s">
        <v>133</v>
      </c>
      <c r="Z249" s="209" t="s">
        <v>133</v>
      </c>
      <c r="AA249" s="209" t="s">
        <v>133</v>
      </c>
      <c r="AB249" s="209" t="s">
        <v>133</v>
      </c>
      <c r="AC249" s="209" t="s">
        <v>133</v>
      </c>
      <c r="AD249" s="209" t="s">
        <v>133</v>
      </c>
      <c r="AE249" s="209" t="s">
        <v>4564</v>
      </c>
    </row>
    <row r="250" spans="1:31" x14ac:dyDescent="0.55000000000000004">
      <c r="A250" s="209" t="s">
        <v>4565</v>
      </c>
      <c r="B250" s="209" t="s">
        <v>4566</v>
      </c>
      <c r="C250" s="209" t="s">
        <v>4567</v>
      </c>
      <c r="D250" s="209" t="s">
        <v>4568</v>
      </c>
      <c r="E250" s="209" t="s">
        <v>4569</v>
      </c>
      <c r="F250" s="209" t="s">
        <v>4554</v>
      </c>
      <c r="G250" s="209" t="s">
        <v>4555</v>
      </c>
      <c r="H250" s="209" t="s">
        <v>4570</v>
      </c>
      <c r="I250" s="209" t="s">
        <v>4571</v>
      </c>
      <c r="J250" s="209" t="s">
        <v>4558</v>
      </c>
      <c r="K250" s="209" t="s">
        <v>4572</v>
      </c>
      <c r="L250" s="209" t="s">
        <v>4573</v>
      </c>
      <c r="M250" s="209" t="s">
        <v>4574</v>
      </c>
      <c r="N250" s="209" t="s">
        <v>4562</v>
      </c>
      <c r="O250" s="209" t="s">
        <v>4575</v>
      </c>
      <c r="P250" s="209" t="s">
        <v>2179</v>
      </c>
      <c r="Q250" s="209" t="s">
        <v>2179</v>
      </c>
      <c r="R250" s="209" t="s">
        <v>2373</v>
      </c>
      <c r="S250" s="209" t="s">
        <v>133</v>
      </c>
      <c r="T250" s="209" t="s">
        <v>133</v>
      </c>
      <c r="U250" s="209" t="s">
        <v>133</v>
      </c>
      <c r="V250" s="209" t="s">
        <v>133</v>
      </c>
      <c r="W250" s="209" t="s">
        <v>133</v>
      </c>
      <c r="X250" s="209" t="s">
        <v>133</v>
      </c>
      <c r="Y250" s="209" t="s">
        <v>133</v>
      </c>
      <c r="Z250" s="209" t="s">
        <v>133</v>
      </c>
      <c r="AA250" s="209" t="s">
        <v>133</v>
      </c>
      <c r="AB250" s="209" t="s">
        <v>133</v>
      </c>
      <c r="AC250" s="209" t="s">
        <v>133</v>
      </c>
      <c r="AD250" s="209" t="s">
        <v>133</v>
      </c>
      <c r="AE250" s="209" t="s">
        <v>4564</v>
      </c>
    </row>
    <row r="251" spans="1:31" x14ac:dyDescent="0.55000000000000004">
      <c r="A251" s="209" t="s">
        <v>4576</v>
      </c>
      <c r="B251" s="209" t="s">
        <v>4577</v>
      </c>
      <c r="C251" s="209" t="s">
        <v>4578</v>
      </c>
      <c r="D251" s="209" t="s">
        <v>4579</v>
      </c>
      <c r="E251" s="209" t="s">
        <v>4580</v>
      </c>
      <c r="F251" s="209" t="s">
        <v>4581</v>
      </c>
      <c r="G251" s="209" t="s">
        <v>4582</v>
      </c>
      <c r="H251" s="209" t="s">
        <v>4583</v>
      </c>
      <c r="I251" s="209" t="s">
        <v>4584</v>
      </c>
      <c r="J251" s="209" t="s">
        <v>4585</v>
      </c>
      <c r="K251" s="209" t="s">
        <v>4586</v>
      </c>
      <c r="L251" s="209" t="s">
        <v>4587</v>
      </c>
      <c r="M251" s="209" t="s">
        <v>4588</v>
      </c>
      <c r="N251" s="209" t="s">
        <v>4589</v>
      </c>
      <c r="O251" s="209" t="s">
        <v>4590</v>
      </c>
      <c r="P251" s="209" t="s">
        <v>2226</v>
      </c>
      <c r="Q251" s="209" t="s">
        <v>2226</v>
      </c>
      <c r="R251" s="209" t="s">
        <v>2373</v>
      </c>
      <c r="S251" s="209" t="s">
        <v>133</v>
      </c>
      <c r="T251" s="209" t="s">
        <v>133</v>
      </c>
      <c r="U251" s="209" t="s">
        <v>133</v>
      </c>
      <c r="V251" s="209" t="s">
        <v>133</v>
      </c>
      <c r="W251" s="209" t="s">
        <v>133</v>
      </c>
      <c r="X251" s="209" t="s">
        <v>133</v>
      </c>
      <c r="Y251" s="209" t="s">
        <v>133</v>
      </c>
      <c r="Z251" s="209" t="s">
        <v>133</v>
      </c>
      <c r="AA251" s="209" t="s">
        <v>133</v>
      </c>
      <c r="AB251" s="209" t="s">
        <v>133</v>
      </c>
      <c r="AC251" s="209" t="s">
        <v>133</v>
      </c>
      <c r="AD251" s="209" t="s">
        <v>133</v>
      </c>
      <c r="AE251" s="209" t="s">
        <v>4564</v>
      </c>
    </row>
    <row r="252" spans="1:31" x14ac:dyDescent="0.55000000000000004">
      <c r="A252" s="209" t="s">
        <v>4591</v>
      </c>
      <c r="B252" s="209" t="s">
        <v>4592</v>
      </c>
      <c r="C252" s="209" t="s">
        <v>4593</v>
      </c>
      <c r="D252" s="209" t="s">
        <v>4594</v>
      </c>
      <c r="E252" s="209" t="s">
        <v>4595</v>
      </c>
      <c r="F252" s="209" t="s">
        <v>4581</v>
      </c>
      <c r="G252" s="209" t="s">
        <v>4582</v>
      </c>
      <c r="H252" s="209" t="s">
        <v>4596</v>
      </c>
      <c r="I252" s="209" t="s">
        <v>4597</v>
      </c>
      <c r="J252" s="209" t="s">
        <v>4585</v>
      </c>
      <c r="K252" s="209" t="s">
        <v>4598</v>
      </c>
      <c r="L252" s="209" t="s">
        <v>4599</v>
      </c>
      <c r="M252" s="209" t="s">
        <v>4600</v>
      </c>
      <c r="N252" s="209" t="s">
        <v>4589</v>
      </c>
      <c r="O252" s="209" t="s">
        <v>4601</v>
      </c>
      <c r="P252" s="209" t="s">
        <v>2226</v>
      </c>
      <c r="Q252" s="209" t="s">
        <v>2236</v>
      </c>
      <c r="R252" s="209" t="s">
        <v>2373</v>
      </c>
      <c r="S252" s="209" t="s">
        <v>133</v>
      </c>
      <c r="T252" s="209" t="s">
        <v>133</v>
      </c>
      <c r="U252" s="209" t="s">
        <v>133</v>
      </c>
      <c r="V252" s="209" t="s">
        <v>133</v>
      </c>
      <c r="W252" s="209" t="s">
        <v>133</v>
      </c>
      <c r="X252" s="209" t="s">
        <v>133</v>
      </c>
      <c r="Y252" s="209" t="s">
        <v>133</v>
      </c>
      <c r="Z252" s="209" t="s">
        <v>133</v>
      </c>
      <c r="AA252" s="209" t="s">
        <v>133</v>
      </c>
      <c r="AB252" s="209" t="s">
        <v>133</v>
      </c>
      <c r="AC252" s="209" t="s">
        <v>133</v>
      </c>
      <c r="AD252" s="209" t="s">
        <v>133</v>
      </c>
      <c r="AE252" s="209" t="s">
        <v>4564</v>
      </c>
    </row>
    <row r="253" spans="1:31" x14ac:dyDescent="0.55000000000000004">
      <c r="A253" s="209" t="s">
        <v>4602</v>
      </c>
      <c r="B253" s="209" t="s">
        <v>4603</v>
      </c>
      <c r="C253" s="209" t="s">
        <v>4604</v>
      </c>
      <c r="D253" s="209" t="s">
        <v>4605</v>
      </c>
      <c r="E253" s="209" t="s">
        <v>4606</v>
      </c>
      <c r="F253" s="209" t="s">
        <v>4607</v>
      </c>
      <c r="G253" s="209" t="s">
        <v>4608</v>
      </c>
      <c r="H253" s="209" t="s">
        <v>133</v>
      </c>
      <c r="I253" s="209" t="s">
        <v>133</v>
      </c>
      <c r="J253" s="209" t="s">
        <v>4609</v>
      </c>
      <c r="K253" s="209" t="s">
        <v>4610</v>
      </c>
      <c r="L253" s="209" t="s">
        <v>4611</v>
      </c>
      <c r="M253" s="209" t="s">
        <v>4612</v>
      </c>
      <c r="N253" s="209" t="s">
        <v>4613</v>
      </c>
      <c r="O253" s="209" t="s">
        <v>4614</v>
      </c>
      <c r="P253" s="209" t="s">
        <v>2236</v>
      </c>
      <c r="Q253" s="209" t="s">
        <v>2250</v>
      </c>
      <c r="R253" s="209" t="s">
        <v>2373</v>
      </c>
      <c r="S253" s="209" t="s">
        <v>133</v>
      </c>
      <c r="T253" s="209" t="s">
        <v>133</v>
      </c>
      <c r="U253" s="209" t="s">
        <v>133</v>
      </c>
      <c r="V253" s="209" t="s">
        <v>133</v>
      </c>
      <c r="W253" s="209" t="s">
        <v>133</v>
      </c>
      <c r="X253" s="209" t="s">
        <v>133</v>
      </c>
      <c r="Y253" s="209" t="s">
        <v>133</v>
      </c>
      <c r="Z253" s="209" t="s">
        <v>133</v>
      </c>
      <c r="AA253" s="209" t="s">
        <v>133</v>
      </c>
      <c r="AB253" s="209" t="s">
        <v>133</v>
      </c>
      <c r="AC253" s="209" t="s">
        <v>133</v>
      </c>
      <c r="AD253" s="209" t="s">
        <v>133</v>
      </c>
      <c r="AE253" s="209" t="s">
        <v>4615</v>
      </c>
    </row>
    <row r="254" spans="1:31" x14ac:dyDescent="0.55000000000000004">
      <c r="A254" s="209" t="s">
        <v>4616</v>
      </c>
      <c r="B254" s="209" t="s">
        <v>4617</v>
      </c>
      <c r="C254" s="209" t="s">
        <v>4618</v>
      </c>
      <c r="D254" s="209" t="s">
        <v>4619</v>
      </c>
      <c r="E254" s="209" t="s">
        <v>4620</v>
      </c>
      <c r="F254" s="209" t="s">
        <v>4607</v>
      </c>
      <c r="G254" s="209" t="s">
        <v>4608</v>
      </c>
      <c r="H254" s="209" t="s">
        <v>133</v>
      </c>
      <c r="I254" s="209" t="s">
        <v>133</v>
      </c>
      <c r="J254" s="209" t="s">
        <v>4609</v>
      </c>
      <c r="K254" s="209" t="s">
        <v>4621</v>
      </c>
      <c r="L254" s="209" t="s">
        <v>4622</v>
      </c>
      <c r="M254" s="209" t="s">
        <v>4623</v>
      </c>
      <c r="N254" s="209" t="s">
        <v>4613</v>
      </c>
      <c r="O254" s="209" t="s">
        <v>4624</v>
      </c>
      <c r="P254" s="209" t="s">
        <v>2236</v>
      </c>
      <c r="Q254" s="209" t="s">
        <v>2260</v>
      </c>
      <c r="R254" s="209" t="s">
        <v>2373</v>
      </c>
      <c r="S254" s="209" t="s">
        <v>133</v>
      </c>
      <c r="T254" s="209" t="s">
        <v>133</v>
      </c>
      <c r="U254" s="209" t="s">
        <v>133</v>
      </c>
      <c r="V254" s="209" t="s">
        <v>133</v>
      </c>
      <c r="W254" s="209" t="s">
        <v>133</v>
      </c>
      <c r="X254" s="209" t="s">
        <v>133</v>
      </c>
      <c r="Y254" s="209" t="s">
        <v>133</v>
      </c>
      <c r="Z254" s="209" t="s">
        <v>133</v>
      </c>
      <c r="AA254" s="209" t="s">
        <v>133</v>
      </c>
      <c r="AB254" s="209" t="s">
        <v>133</v>
      </c>
      <c r="AC254" s="209" t="s">
        <v>133</v>
      </c>
      <c r="AD254" s="209" t="s">
        <v>133</v>
      </c>
      <c r="AE254" s="209" t="s">
        <v>4615</v>
      </c>
    </row>
    <row r="255" spans="1:31" x14ac:dyDescent="0.55000000000000004">
      <c r="A255" s="209" t="s">
        <v>4625</v>
      </c>
      <c r="B255" s="209" t="s">
        <v>4550</v>
      </c>
      <c r="C255" s="209" t="s">
        <v>4551</v>
      </c>
      <c r="D255" s="209" t="s">
        <v>4552</v>
      </c>
      <c r="E255" s="209" t="s">
        <v>4553</v>
      </c>
      <c r="F255" s="209" t="s">
        <v>4626</v>
      </c>
      <c r="G255" s="209" t="s">
        <v>4627</v>
      </c>
      <c r="H255" s="209" t="s">
        <v>4628</v>
      </c>
      <c r="I255" s="209" t="s">
        <v>4629</v>
      </c>
      <c r="J255" s="209" t="s">
        <v>4630</v>
      </c>
      <c r="K255" s="209" t="s">
        <v>4631</v>
      </c>
      <c r="L255" s="209" t="s">
        <v>4632</v>
      </c>
      <c r="M255" s="209" t="s">
        <v>4633</v>
      </c>
      <c r="N255" s="209" t="s">
        <v>4634</v>
      </c>
      <c r="O255" s="209" t="s">
        <v>4563</v>
      </c>
      <c r="P255" s="209" t="s">
        <v>2179</v>
      </c>
      <c r="Q255" s="209" t="s">
        <v>2180</v>
      </c>
      <c r="R255" s="209" t="s">
        <v>2373</v>
      </c>
      <c r="S255" s="209" t="s">
        <v>133</v>
      </c>
      <c r="T255" s="209" t="s">
        <v>133</v>
      </c>
      <c r="U255" s="209" t="s">
        <v>133</v>
      </c>
      <c r="V255" s="209" t="s">
        <v>133</v>
      </c>
      <c r="W255" s="209" t="s">
        <v>133</v>
      </c>
      <c r="X255" s="209" t="s">
        <v>133</v>
      </c>
      <c r="Y255" s="209" t="s">
        <v>133</v>
      </c>
      <c r="Z255" s="209" t="s">
        <v>133</v>
      </c>
      <c r="AA255" s="209" t="s">
        <v>133</v>
      </c>
      <c r="AB255" s="209" t="s">
        <v>133</v>
      </c>
      <c r="AC255" s="209" t="s">
        <v>133</v>
      </c>
      <c r="AD255" s="209" t="s">
        <v>133</v>
      </c>
      <c r="AE255" s="209" t="s">
        <v>4635</v>
      </c>
    </row>
    <row r="256" spans="1:31" x14ac:dyDescent="0.55000000000000004">
      <c r="A256" s="209" t="s">
        <v>4636</v>
      </c>
      <c r="B256" s="209" t="s">
        <v>4566</v>
      </c>
      <c r="C256" s="209" t="s">
        <v>4567</v>
      </c>
      <c r="D256" s="209" t="s">
        <v>4568</v>
      </c>
      <c r="E256" s="209" t="s">
        <v>4569</v>
      </c>
      <c r="F256" s="209" t="s">
        <v>4626</v>
      </c>
      <c r="G256" s="209" t="s">
        <v>4627</v>
      </c>
      <c r="H256" s="209" t="s">
        <v>4637</v>
      </c>
      <c r="I256" s="209" t="s">
        <v>4638</v>
      </c>
      <c r="J256" s="209" t="s">
        <v>4630</v>
      </c>
      <c r="K256" s="209" t="s">
        <v>4639</v>
      </c>
      <c r="L256" s="209" t="s">
        <v>4640</v>
      </c>
      <c r="M256" s="209" t="s">
        <v>4641</v>
      </c>
      <c r="N256" s="209" t="s">
        <v>4634</v>
      </c>
      <c r="O256" s="209" t="s">
        <v>4575</v>
      </c>
      <c r="P256" s="209" t="s">
        <v>2179</v>
      </c>
      <c r="Q256" s="209" t="s">
        <v>2179</v>
      </c>
      <c r="R256" s="209" t="s">
        <v>2373</v>
      </c>
      <c r="S256" s="209" t="s">
        <v>133</v>
      </c>
      <c r="T256" s="209" t="s">
        <v>133</v>
      </c>
      <c r="U256" s="209" t="s">
        <v>133</v>
      </c>
      <c r="V256" s="209" t="s">
        <v>133</v>
      </c>
      <c r="W256" s="209" t="s">
        <v>133</v>
      </c>
      <c r="X256" s="209" t="s">
        <v>133</v>
      </c>
      <c r="Y256" s="209" t="s">
        <v>133</v>
      </c>
      <c r="Z256" s="209" t="s">
        <v>133</v>
      </c>
      <c r="AA256" s="209" t="s">
        <v>133</v>
      </c>
      <c r="AB256" s="209" t="s">
        <v>133</v>
      </c>
      <c r="AC256" s="209" t="s">
        <v>133</v>
      </c>
      <c r="AD256" s="209" t="s">
        <v>133</v>
      </c>
      <c r="AE256" s="209" t="s">
        <v>4635</v>
      </c>
    </row>
    <row r="257" spans="1:31" x14ac:dyDescent="0.55000000000000004">
      <c r="A257" s="209" t="s">
        <v>4642</v>
      </c>
      <c r="B257" s="209" t="s">
        <v>4577</v>
      </c>
      <c r="C257" s="209" t="s">
        <v>4578</v>
      </c>
      <c r="D257" s="209" t="s">
        <v>4579</v>
      </c>
      <c r="E257" s="209" t="s">
        <v>4580</v>
      </c>
      <c r="F257" s="209" t="s">
        <v>4643</v>
      </c>
      <c r="G257" s="209" t="s">
        <v>4644</v>
      </c>
      <c r="H257" s="209" t="s">
        <v>4645</v>
      </c>
      <c r="I257" s="209" t="s">
        <v>4646</v>
      </c>
      <c r="J257" s="209" t="s">
        <v>4647</v>
      </c>
      <c r="K257" s="209" t="s">
        <v>4648</v>
      </c>
      <c r="L257" s="209" t="s">
        <v>4649</v>
      </c>
      <c r="M257" s="209" t="s">
        <v>4650</v>
      </c>
      <c r="N257" s="209" t="s">
        <v>4651</v>
      </c>
      <c r="O257" s="209" t="s">
        <v>4590</v>
      </c>
      <c r="P257" s="209" t="s">
        <v>2226</v>
      </c>
      <c r="Q257" s="209" t="s">
        <v>2226</v>
      </c>
      <c r="R257" s="209" t="s">
        <v>2373</v>
      </c>
      <c r="S257" s="209" t="s">
        <v>133</v>
      </c>
      <c r="T257" s="209" t="s">
        <v>133</v>
      </c>
      <c r="U257" s="209" t="s">
        <v>133</v>
      </c>
      <c r="V257" s="209" t="s">
        <v>133</v>
      </c>
      <c r="W257" s="209" t="s">
        <v>133</v>
      </c>
      <c r="X257" s="209" t="s">
        <v>133</v>
      </c>
      <c r="Y257" s="209" t="s">
        <v>133</v>
      </c>
      <c r="Z257" s="209" t="s">
        <v>133</v>
      </c>
      <c r="AA257" s="209" t="s">
        <v>133</v>
      </c>
      <c r="AB257" s="209" t="s">
        <v>133</v>
      </c>
      <c r="AC257" s="209" t="s">
        <v>133</v>
      </c>
      <c r="AD257" s="209" t="s">
        <v>133</v>
      </c>
      <c r="AE257" s="209" t="s">
        <v>4635</v>
      </c>
    </row>
    <row r="258" spans="1:31" x14ac:dyDescent="0.55000000000000004">
      <c r="A258" s="209" t="s">
        <v>4652</v>
      </c>
      <c r="B258" s="209" t="s">
        <v>4592</v>
      </c>
      <c r="C258" s="209" t="s">
        <v>4593</v>
      </c>
      <c r="D258" s="209" t="s">
        <v>4594</v>
      </c>
      <c r="E258" s="209" t="s">
        <v>4595</v>
      </c>
      <c r="F258" s="209" t="s">
        <v>4643</v>
      </c>
      <c r="G258" s="209" t="s">
        <v>4644</v>
      </c>
      <c r="H258" s="209" t="s">
        <v>4653</v>
      </c>
      <c r="I258" s="209" t="s">
        <v>4654</v>
      </c>
      <c r="J258" s="209" t="s">
        <v>4647</v>
      </c>
      <c r="K258" s="209" t="s">
        <v>4655</v>
      </c>
      <c r="L258" s="209" t="s">
        <v>4656</v>
      </c>
      <c r="M258" s="209" t="s">
        <v>4657</v>
      </c>
      <c r="N258" s="209" t="s">
        <v>4651</v>
      </c>
      <c r="O258" s="209" t="s">
        <v>4601</v>
      </c>
      <c r="P258" s="209" t="s">
        <v>2226</v>
      </c>
      <c r="Q258" s="209" t="s">
        <v>2236</v>
      </c>
      <c r="R258" s="209" t="s">
        <v>2373</v>
      </c>
      <c r="S258" s="209" t="s">
        <v>133</v>
      </c>
      <c r="T258" s="209" t="s">
        <v>133</v>
      </c>
      <c r="U258" s="209" t="s">
        <v>133</v>
      </c>
      <c r="V258" s="209" t="s">
        <v>133</v>
      </c>
      <c r="W258" s="209" t="s">
        <v>133</v>
      </c>
      <c r="X258" s="209" t="s">
        <v>133</v>
      </c>
      <c r="Y258" s="209" t="s">
        <v>133</v>
      </c>
      <c r="Z258" s="209" t="s">
        <v>133</v>
      </c>
      <c r="AA258" s="209" t="s">
        <v>133</v>
      </c>
      <c r="AB258" s="209" t="s">
        <v>133</v>
      </c>
      <c r="AC258" s="209" t="s">
        <v>133</v>
      </c>
      <c r="AD258" s="209" t="s">
        <v>133</v>
      </c>
      <c r="AE258" s="209" t="s">
        <v>4635</v>
      </c>
    </row>
    <row r="259" spans="1:31" x14ac:dyDescent="0.55000000000000004">
      <c r="A259" s="209" t="s">
        <v>4658</v>
      </c>
      <c r="B259" s="209" t="s">
        <v>4603</v>
      </c>
      <c r="C259" s="209" t="s">
        <v>4604</v>
      </c>
      <c r="D259" s="209" t="s">
        <v>4605</v>
      </c>
      <c r="E259" s="209" t="s">
        <v>4606</v>
      </c>
      <c r="F259" s="209" t="s">
        <v>4659</v>
      </c>
      <c r="G259" s="209" t="s">
        <v>4660</v>
      </c>
      <c r="H259" s="209" t="s">
        <v>133</v>
      </c>
      <c r="I259" s="209" t="s">
        <v>133</v>
      </c>
      <c r="J259" s="209" t="s">
        <v>4661</v>
      </c>
      <c r="K259" s="209" t="s">
        <v>4662</v>
      </c>
      <c r="L259" s="209" t="s">
        <v>4663</v>
      </c>
      <c r="M259" s="209" t="s">
        <v>4664</v>
      </c>
      <c r="N259" s="209" t="s">
        <v>4665</v>
      </c>
      <c r="O259" s="209" t="s">
        <v>4614</v>
      </c>
      <c r="P259" s="209" t="s">
        <v>2236</v>
      </c>
      <c r="Q259" s="209" t="s">
        <v>2250</v>
      </c>
      <c r="R259" s="209" t="s">
        <v>2373</v>
      </c>
      <c r="S259" s="209" t="s">
        <v>133</v>
      </c>
      <c r="T259" s="209" t="s">
        <v>133</v>
      </c>
      <c r="U259" s="209" t="s">
        <v>133</v>
      </c>
      <c r="V259" s="209" t="s">
        <v>133</v>
      </c>
      <c r="W259" s="209" t="s">
        <v>133</v>
      </c>
      <c r="X259" s="209" t="s">
        <v>133</v>
      </c>
      <c r="Y259" s="209" t="s">
        <v>133</v>
      </c>
      <c r="Z259" s="209" t="s">
        <v>133</v>
      </c>
      <c r="AA259" s="209" t="s">
        <v>133</v>
      </c>
      <c r="AB259" s="209" t="s">
        <v>133</v>
      </c>
      <c r="AC259" s="209" t="s">
        <v>133</v>
      </c>
      <c r="AD259" s="209" t="s">
        <v>133</v>
      </c>
      <c r="AE259" s="209" t="s">
        <v>4666</v>
      </c>
    </row>
    <row r="260" spans="1:31" x14ac:dyDescent="0.55000000000000004">
      <c r="A260" s="209" t="s">
        <v>4667</v>
      </c>
      <c r="B260" s="209" t="s">
        <v>4617</v>
      </c>
      <c r="C260" s="209" t="s">
        <v>4618</v>
      </c>
      <c r="D260" s="209" t="s">
        <v>4619</v>
      </c>
      <c r="E260" s="209" t="s">
        <v>4620</v>
      </c>
      <c r="F260" s="209" t="s">
        <v>4659</v>
      </c>
      <c r="G260" s="209" t="s">
        <v>4660</v>
      </c>
      <c r="H260" s="209" t="s">
        <v>133</v>
      </c>
      <c r="I260" s="209" t="s">
        <v>133</v>
      </c>
      <c r="J260" s="209" t="s">
        <v>4661</v>
      </c>
      <c r="K260" s="209" t="s">
        <v>4668</v>
      </c>
      <c r="L260" s="209" t="s">
        <v>4669</v>
      </c>
      <c r="M260" s="209" t="s">
        <v>4670</v>
      </c>
      <c r="N260" s="209" t="s">
        <v>4665</v>
      </c>
      <c r="O260" s="209" t="s">
        <v>4624</v>
      </c>
      <c r="P260" s="209" t="s">
        <v>2236</v>
      </c>
      <c r="Q260" s="209" t="s">
        <v>2260</v>
      </c>
      <c r="R260" s="209" t="s">
        <v>2373</v>
      </c>
      <c r="S260" s="209" t="s">
        <v>133</v>
      </c>
      <c r="T260" s="209" t="s">
        <v>133</v>
      </c>
      <c r="U260" s="209" t="s">
        <v>133</v>
      </c>
      <c r="V260" s="209" t="s">
        <v>133</v>
      </c>
      <c r="W260" s="209" t="s">
        <v>133</v>
      </c>
      <c r="X260" s="209" t="s">
        <v>133</v>
      </c>
      <c r="Y260" s="209" t="s">
        <v>133</v>
      </c>
      <c r="Z260" s="209" t="s">
        <v>133</v>
      </c>
      <c r="AA260" s="209" t="s">
        <v>133</v>
      </c>
      <c r="AB260" s="209" t="s">
        <v>133</v>
      </c>
      <c r="AC260" s="209" t="s">
        <v>133</v>
      </c>
      <c r="AD260" s="209" t="s">
        <v>133</v>
      </c>
      <c r="AE260" s="209" t="s">
        <v>4666</v>
      </c>
    </row>
    <row r="261" spans="1:31" x14ac:dyDescent="0.55000000000000004">
      <c r="A261" s="209" t="s">
        <v>4671</v>
      </c>
      <c r="B261" s="209" t="s">
        <v>4672</v>
      </c>
      <c r="C261" s="209" t="s">
        <v>4673</v>
      </c>
      <c r="D261" s="209" t="s">
        <v>4674</v>
      </c>
      <c r="E261" s="209" t="s">
        <v>4675</v>
      </c>
      <c r="F261" s="209" t="s">
        <v>4676</v>
      </c>
      <c r="G261" s="209" t="s">
        <v>4677</v>
      </c>
      <c r="H261" s="209" t="s">
        <v>4678</v>
      </c>
      <c r="I261" s="209" t="s">
        <v>4679</v>
      </c>
      <c r="J261" s="209" t="s">
        <v>4680</v>
      </c>
      <c r="K261" s="209" t="s">
        <v>4681</v>
      </c>
      <c r="L261" s="209" t="s">
        <v>4682</v>
      </c>
      <c r="M261" s="209" t="s">
        <v>4683</v>
      </c>
      <c r="N261" s="209" t="s">
        <v>4684</v>
      </c>
      <c r="O261" s="209" t="s">
        <v>4685</v>
      </c>
      <c r="P261" s="209" t="s">
        <v>2250</v>
      </c>
      <c r="Q261" s="209" t="s">
        <v>2274</v>
      </c>
      <c r="R261" s="209" t="s">
        <v>2373</v>
      </c>
      <c r="S261" s="209" t="s">
        <v>133</v>
      </c>
      <c r="T261" s="209" t="s">
        <v>133</v>
      </c>
      <c r="U261" s="209" t="s">
        <v>133</v>
      </c>
      <c r="V261" s="209" t="s">
        <v>133</v>
      </c>
      <c r="W261" s="209" t="s">
        <v>133</v>
      </c>
      <c r="X261" s="209" t="s">
        <v>133</v>
      </c>
      <c r="Y261" s="209" t="s">
        <v>133</v>
      </c>
      <c r="Z261" s="209" t="s">
        <v>133</v>
      </c>
      <c r="AA261" s="209" t="s">
        <v>133</v>
      </c>
      <c r="AB261" s="209" t="s">
        <v>133</v>
      </c>
      <c r="AC261" s="209" t="s">
        <v>133</v>
      </c>
      <c r="AD261" s="209" t="s">
        <v>133</v>
      </c>
      <c r="AE261" s="209" t="s">
        <v>4635</v>
      </c>
    </row>
    <row r="262" spans="1:31" x14ac:dyDescent="0.55000000000000004">
      <c r="A262" s="209" t="s">
        <v>4686</v>
      </c>
      <c r="B262" s="209" t="s">
        <v>4687</v>
      </c>
      <c r="C262" s="209" t="s">
        <v>4688</v>
      </c>
      <c r="D262" s="209" t="s">
        <v>4689</v>
      </c>
      <c r="E262" s="209" t="s">
        <v>4690</v>
      </c>
      <c r="F262" s="209" t="s">
        <v>4676</v>
      </c>
      <c r="G262" s="209" t="s">
        <v>4677</v>
      </c>
      <c r="H262" s="209" t="s">
        <v>4691</v>
      </c>
      <c r="I262" s="209" t="s">
        <v>4692</v>
      </c>
      <c r="J262" s="209" t="s">
        <v>4680</v>
      </c>
      <c r="K262" s="209" t="s">
        <v>4693</v>
      </c>
      <c r="L262" s="209" t="s">
        <v>4694</v>
      </c>
      <c r="M262" s="209" t="s">
        <v>4695</v>
      </c>
      <c r="N262" s="209" t="s">
        <v>4684</v>
      </c>
      <c r="O262" s="209" t="s">
        <v>4696</v>
      </c>
      <c r="P262" s="209" t="s">
        <v>2250</v>
      </c>
      <c r="Q262" s="209" t="s">
        <v>2284</v>
      </c>
      <c r="R262" s="209" t="s">
        <v>2373</v>
      </c>
      <c r="S262" s="209" t="s">
        <v>133</v>
      </c>
      <c r="T262" s="209" t="s">
        <v>133</v>
      </c>
      <c r="U262" s="209" t="s">
        <v>133</v>
      </c>
      <c r="V262" s="209" t="s">
        <v>133</v>
      </c>
      <c r="W262" s="209" t="s">
        <v>133</v>
      </c>
      <c r="X262" s="209" t="s">
        <v>133</v>
      </c>
      <c r="Y262" s="209" t="s">
        <v>133</v>
      </c>
      <c r="Z262" s="209" t="s">
        <v>133</v>
      </c>
      <c r="AA262" s="209" t="s">
        <v>133</v>
      </c>
      <c r="AB262" s="209" t="s">
        <v>133</v>
      </c>
      <c r="AC262" s="209" t="s">
        <v>133</v>
      </c>
      <c r="AD262" s="209" t="s">
        <v>133</v>
      </c>
      <c r="AE262" s="209" t="s">
        <v>4635</v>
      </c>
    </row>
    <row r="263" spans="1:31" x14ac:dyDescent="0.55000000000000004">
      <c r="A263" s="209" t="s">
        <v>4697</v>
      </c>
      <c r="B263" s="209" t="s">
        <v>4698</v>
      </c>
      <c r="C263" s="209" t="s">
        <v>4699</v>
      </c>
      <c r="D263" s="209" t="s">
        <v>4700</v>
      </c>
      <c r="E263" s="209" t="s">
        <v>4701</v>
      </c>
      <c r="F263" s="209" t="s">
        <v>4702</v>
      </c>
      <c r="G263" s="209" t="s">
        <v>4703</v>
      </c>
      <c r="H263" s="209" t="s">
        <v>133</v>
      </c>
      <c r="I263" s="209" t="s">
        <v>133</v>
      </c>
      <c r="J263" s="209" t="s">
        <v>4704</v>
      </c>
      <c r="K263" s="209" t="s">
        <v>4705</v>
      </c>
      <c r="L263" s="209" t="s">
        <v>4706</v>
      </c>
      <c r="M263" s="209" t="s">
        <v>4707</v>
      </c>
      <c r="N263" s="209" t="s">
        <v>4708</v>
      </c>
      <c r="O263" s="209" t="s">
        <v>4709</v>
      </c>
      <c r="P263" s="209" t="s">
        <v>2179</v>
      </c>
      <c r="Q263" s="209" t="s">
        <v>2180</v>
      </c>
      <c r="R263" s="209" t="s">
        <v>2181</v>
      </c>
      <c r="S263" s="209" t="s">
        <v>133</v>
      </c>
      <c r="T263" s="209" t="s">
        <v>133</v>
      </c>
      <c r="U263" s="209" t="s">
        <v>133</v>
      </c>
      <c r="V263" s="209" t="s">
        <v>133</v>
      </c>
      <c r="W263" s="209" t="s">
        <v>133</v>
      </c>
      <c r="X263" s="209" t="s">
        <v>133</v>
      </c>
      <c r="Y263" s="209" t="s">
        <v>133</v>
      </c>
      <c r="Z263" s="209" t="s">
        <v>4710</v>
      </c>
      <c r="AA263" s="209" t="s">
        <v>133</v>
      </c>
      <c r="AB263" s="209" t="s">
        <v>133</v>
      </c>
      <c r="AC263" s="209" t="s">
        <v>133</v>
      </c>
      <c r="AD263" s="209" t="s">
        <v>133</v>
      </c>
      <c r="AE263" s="209" t="s">
        <v>4711</v>
      </c>
    </row>
    <row r="264" spans="1:31" x14ac:dyDescent="0.55000000000000004">
      <c r="A264" s="209" t="s">
        <v>4712</v>
      </c>
      <c r="B264" s="209" t="s">
        <v>4713</v>
      </c>
      <c r="C264" s="209" t="s">
        <v>4714</v>
      </c>
      <c r="D264" s="209" t="s">
        <v>4715</v>
      </c>
      <c r="E264" s="209" t="s">
        <v>4716</v>
      </c>
      <c r="F264" s="209" t="s">
        <v>4702</v>
      </c>
      <c r="G264" s="209" t="s">
        <v>4703</v>
      </c>
      <c r="H264" s="209" t="s">
        <v>133</v>
      </c>
      <c r="I264" s="209" t="s">
        <v>133</v>
      </c>
      <c r="J264" s="209" t="s">
        <v>4704</v>
      </c>
      <c r="K264" s="209" t="s">
        <v>4717</v>
      </c>
      <c r="L264" s="209" t="s">
        <v>4718</v>
      </c>
      <c r="M264" s="209" t="s">
        <v>4719</v>
      </c>
      <c r="N264" s="209" t="s">
        <v>4708</v>
      </c>
      <c r="O264" s="209" t="s">
        <v>4720</v>
      </c>
      <c r="P264" s="209" t="s">
        <v>2179</v>
      </c>
      <c r="Q264" s="209" t="s">
        <v>2179</v>
      </c>
      <c r="R264" s="209" t="s">
        <v>2181</v>
      </c>
      <c r="S264" s="209" t="s">
        <v>133</v>
      </c>
      <c r="T264" s="209" t="s">
        <v>133</v>
      </c>
      <c r="U264" s="209" t="s">
        <v>133</v>
      </c>
      <c r="V264" s="209" t="s">
        <v>133</v>
      </c>
      <c r="W264" s="209" t="s">
        <v>133</v>
      </c>
      <c r="X264" s="209" t="s">
        <v>133</v>
      </c>
      <c r="Y264" s="209" t="s">
        <v>133</v>
      </c>
      <c r="Z264" s="209" t="s">
        <v>4710</v>
      </c>
      <c r="AA264" s="209" t="s">
        <v>133</v>
      </c>
      <c r="AB264" s="209" t="s">
        <v>133</v>
      </c>
      <c r="AC264" s="209" t="s">
        <v>133</v>
      </c>
      <c r="AD264" s="209" t="s">
        <v>133</v>
      </c>
      <c r="AE264" s="209" t="s">
        <v>4711</v>
      </c>
    </row>
    <row r="265" spans="1:31" x14ac:dyDescent="0.55000000000000004">
      <c r="A265" s="209" t="s">
        <v>4721</v>
      </c>
      <c r="B265" s="209" t="s">
        <v>4722</v>
      </c>
      <c r="C265" s="209" t="s">
        <v>4723</v>
      </c>
      <c r="D265" s="209" t="s">
        <v>4724</v>
      </c>
      <c r="E265" s="209" t="s">
        <v>4725</v>
      </c>
      <c r="F265" s="209" t="s">
        <v>4726</v>
      </c>
      <c r="G265" s="209" t="s">
        <v>4727</v>
      </c>
      <c r="H265" s="209" t="s">
        <v>133</v>
      </c>
      <c r="I265" s="209" t="s">
        <v>133</v>
      </c>
      <c r="J265" s="209" t="s">
        <v>4728</v>
      </c>
      <c r="K265" s="209" t="s">
        <v>4729</v>
      </c>
      <c r="L265" s="209" t="s">
        <v>4730</v>
      </c>
      <c r="M265" s="209" t="s">
        <v>4731</v>
      </c>
      <c r="N265" s="209" t="s">
        <v>4732</v>
      </c>
      <c r="O265" s="209" t="s">
        <v>4733</v>
      </c>
      <c r="P265" s="209" t="s">
        <v>2226</v>
      </c>
      <c r="Q265" s="209" t="s">
        <v>2226</v>
      </c>
      <c r="R265" s="209" t="s">
        <v>2181</v>
      </c>
      <c r="S265" s="209" t="s">
        <v>133</v>
      </c>
      <c r="T265" s="209" t="s">
        <v>133</v>
      </c>
      <c r="U265" s="209" t="s">
        <v>133</v>
      </c>
      <c r="V265" s="209" t="s">
        <v>133</v>
      </c>
      <c r="W265" s="209" t="s">
        <v>133</v>
      </c>
      <c r="X265" s="209" t="s">
        <v>133</v>
      </c>
      <c r="Y265" s="209" t="s">
        <v>133</v>
      </c>
      <c r="Z265" s="209" t="s">
        <v>4734</v>
      </c>
      <c r="AA265" s="209" t="s">
        <v>133</v>
      </c>
      <c r="AB265" s="209" t="s">
        <v>133</v>
      </c>
      <c r="AC265" s="209" t="s">
        <v>133</v>
      </c>
      <c r="AD265" s="209" t="s">
        <v>133</v>
      </c>
      <c r="AE265" s="209" t="s">
        <v>4735</v>
      </c>
    </row>
    <row r="266" spans="1:31" x14ac:dyDescent="0.55000000000000004">
      <c r="A266" s="209" t="s">
        <v>4736</v>
      </c>
      <c r="B266" s="209" t="s">
        <v>4737</v>
      </c>
      <c r="C266" s="209" t="s">
        <v>4738</v>
      </c>
      <c r="D266" s="209" t="s">
        <v>4739</v>
      </c>
      <c r="E266" s="209" t="s">
        <v>4740</v>
      </c>
      <c r="F266" s="209" t="s">
        <v>4726</v>
      </c>
      <c r="G266" s="209" t="s">
        <v>4727</v>
      </c>
      <c r="H266" s="209" t="s">
        <v>133</v>
      </c>
      <c r="I266" s="209" t="s">
        <v>133</v>
      </c>
      <c r="J266" s="209" t="s">
        <v>4728</v>
      </c>
      <c r="K266" s="209" t="s">
        <v>4741</v>
      </c>
      <c r="L266" s="209" t="s">
        <v>4742</v>
      </c>
      <c r="M266" s="209" t="s">
        <v>4743</v>
      </c>
      <c r="N266" s="209" t="s">
        <v>4732</v>
      </c>
      <c r="O266" s="209" t="s">
        <v>4744</v>
      </c>
      <c r="P266" s="209" t="s">
        <v>2226</v>
      </c>
      <c r="Q266" s="209" t="s">
        <v>2236</v>
      </c>
      <c r="R266" s="209" t="s">
        <v>2181</v>
      </c>
      <c r="S266" s="209" t="s">
        <v>133</v>
      </c>
      <c r="T266" s="209" t="s">
        <v>133</v>
      </c>
      <c r="U266" s="209" t="s">
        <v>133</v>
      </c>
      <c r="V266" s="209" t="s">
        <v>133</v>
      </c>
      <c r="W266" s="209" t="s">
        <v>133</v>
      </c>
      <c r="X266" s="209" t="s">
        <v>133</v>
      </c>
      <c r="Y266" s="209" t="s">
        <v>133</v>
      </c>
      <c r="Z266" s="209" t="s">
        <v>4734</v>
      </c>
      <c r="AA266" s="209" t="s">
        <v>133</v>
      </c>
      <c r="AB266" s="209" t="s">
        <v>133</v>
      </c>
      <c r="AC266" s="209" t="s">
        <v>133</v>
      </c>
      <c r="AD266" s="209" t="s">
        <v>133</v>
      </c>
      <c r="AE266" s="209" t="s">
        <v>4735</v>
      </c>
    </row>
    <row r="267" spans="1:31" x14ac:dyDescent="0.55000000000000004">
      <c r="A267" s="209" t="s">
        <v>4745</v>
      </c>
      <c r="B267" s="209" t="s">
        <v>4746</v>
      </c>
      <c r="C267" s="209" t="s">
        <v>4747</v>
      </c>
      <c r="D267" s="209" t="s">
        <v>4748</v>
      </c>
      <c r="E267" s="209" t="s">
        <v>4749</v>
      </c>
      <c r="F267" s="209" t="s">
        <v>4750</v>
      </c>
      <c r="G267" s="209" t="s">
        <v>4751</v>
      </c>
      <c r="H267" s="209" t="s">
        <v>133</v>
      </c>
      <c r="I267" s="209" t="s">
        <v>133</v>
      </c>
      <c r="J267" s="209" t="s">
        <v>4752</v>
      </c>
      <c r="K267" s="209" t="s">
        <v>4753</v>
      </c>
      <c r="L267" s="209" t="s">
        <v>4754</v>
      </c>
      <c r="M267" s="209" t="s">
        <v>4755</v>
      </c>
      <c r="N267" s="209" t="s">
        <v>4756</v>
      </c>
      <c r="O267" s="209" t="s">
        <v>4757</v>
      </c>
      <c r="P267" s="209" t="s">
        <v>2236</v>
      </c>
      <c r="Q267" s="209" t="s">
        <v>2250</v>
      </c>
      <c r="R267" s="209" t="s">
        <v>2181</v>
      </c>
      <c r="S267" s="209" t="s">
        <v>133</v>
      </c>
      <c r="T267" s="209" t="s">
        <v>133</v>
      </c>
      <c r="U267" s="209" t="s">
        <v>133</v>
      </c>
      <c r="V267" s="209" t="s">
        <v>133</v>
      </c>
      <c r="W267" s="209" t="s">
        <v>133</v>
      </c>
      <c r="X267" s="209" t="s">
        <v>133</v>
      </c>
      <c r="Y267" s="209" t="s">
        <v>133</v>
      </c>
      <c r="Z267" s="209" t="s">
        <v>4758</v>
      </c>
      <c r="AA267" s="209" t="s">
        <v>133</v>
      </c>
      <c r="AB267" s="209" t="s">
        <v>133</v>
      </c>
      <c r="AC267" s="209" t="s">
        <v>133</v>
      </c>
      <c r="AD267" s="209" t="s">
        <v>133</v>
      </c>
      <c r="AE267" s="209" t="s">
        <v>4759</v>
      </c>
    </row>
    <row r="268" spans="1:31" x14ac:dyDescent="0.55000000000000004">
      <c r="A268" s="209" t="s">
        <v>4760</v>
      </c>
      <c r="B268" s="209" t="s">
        <v>4761</v>
      </c>
      <c r="C268" s="209" t="s">
        <v>4762</v>
      </c>
      <c r="D268" s="209" t="s">
        <v>4763</v>
      </c>
      <c r="E268" s="209" t="s">
        <v>4764</v>
      </c>
      <c r="F268" s="209" t="s">
        <v>4750</v>
      </c>
      <c r="G268" s="209" t="s">
        <v>4751</v>
      </c>
      <c r="H268" s="209" t="s">
        <v>133</v>
      </c>
      <c r="I268" s="209" t="s">
        <v>133</v>
      </c>
      <c r="J268" s="209" t="s">
        <v>4752</v>
      </c>
      <c r="K268" s="209" t="s">
        <v>4765</v>
      </c>
      <c r="L268" s="209" t="s">
        <v>4766</v>
      </c>
      <c r="M268" s="209" t="s">
        <v>4767</v>
      </c>
      <c r="N268" s="209" t="s">
        <v>4756</v>
      </c>
      <c r="O268" s="209" t="s">
        <v>4768</v>
      </c>
      <c r="P268" s="209" t="s">
        <v>2236</v>
      </c>
      <c r="Q268" s="209" t="s">
        <v>2260</v>
      </c>
      <c r="R268" s="209" t="s">
        <v>2181</v>
      </c>
      <c r="S268" s="209" t="s">
        <v>133</v>
      </c>
      <c r="T268" s="209" t="s">
        <v>133</v>
      </c>
      <c r="U268" s="209" t="s">
        <v>133</v>
      </c>
      <c r="V268" s="209" t="s">
        <v>133</v>
      </c>
      <c r="W268" s="209" t="s">
        <v>133</v>
      </c>
      <c r="X268" s="209" t="s">
        <v>133</v>
      </c>
      <c r="Y268" s="209" t="s">
        <v>133</v>
      </c>
      <c r="Z268" s="209" t="s">
        <v>4758</v>
      </c>
      <c r="AA268" s="209" t="s">
        <v>133</v>
      </c>
      <c r="AB268" s="209" t="s">
        <v>133</v>
      </c>
      <c r="AC268" s="209" t="s">
        <v>133</v>
      </c>
      <c r="AD268" s="209" t="s">
        <v>133</v>
      </c>
      <c r="AE268" s="209" t="s">
        <v>4759</v>
      </c>
    </row>
    <row r="269" spans="1:31" x14ac:dyDescent="0.55000000000000004">
      <c r="A269" s="209" t="s">
        <v>4769</v>
      </c>
      <c r="B269" s="209" t="s">
        <v>4770</v>
      </c>
      <c r="C269" s="209" t="s">
        <v>4771</v>
      </c>
      <c r="D269" s="209" t="s">
        <v>4772</v>
      </c>
      <c r="E269" s="209" t="s">
        <v>4773</v>
      </c>
      <c r="F269" s="209" t="s">
        <v>4774</v>
      </c>
      <c r="G269" s="209" t="s">
        <v>4775</v>
      </c>
      <c r="H269" s="209" t="s">
        <v>133</v>
      </c>
      <c r="I269" s="209" t="s">
        <v>133</v>
      </c>
      <c r="J269" s="209" t="s">
        <v>4776</v>
      </c>
      <c r="K269" s="209" t="s">
        <v>4777</v>
      </c>
      <c r="L269" s="209" t="s">
        <v>4778</v>
      </c>
      <c r="M269" s="209" t="s">
        <v>4779</v>
      </c>
      <c r="N269" s="209" t="s">
        <v>4780</v>
      </c>
      <c r="O269" s="209" t="s">
        <v>4781</v>
      </c>
      <c r="P269" s="209" t="s">
        <v>2250</v>
      </c>
      <c r="Q269" s="209" t="s">
        <v>2274</v>
      </c>
      <c r="R269" s="209" t="s">
        <v>2181</v>
      </c>
      <c r="S269" s="209" t="s">
        <v>133</v>
      </c>
      <c r="T269" s="209" t="s">
        <v>133</v>
      </c>
      <c r="U269" s="209" t="s">
        <v>133</v>
      </c>
      <c r="V269" s="209" t="s">
        <v>133</v>
      </c>
      <c r="W269" s="209" t="s">
        <v>133</v>
      </c>
      <c r="X269" s="209" t="s">
        <v>133</v>
      </c>
      <c r="Y269" s="209" t="s">
        <v>133</v>
      </c>
      <c r="Z269" s="209" t="s">
        <v>4782</v>
      </c>
      <c r="AA269" s="209" t="s">
        <v>133</v>
      </c>
      <c r="AB269" s="209" t="s">
        <v>133</v>
      </c>
      <c r="AC269" s="209" t="s">
        <v>133</v>
      </c>
      <c r="AD269" s="209" t="s">
        <v>133</v>
      </c>
      <c r="AE269" s="209" t="s">
        <v>4783</v>
      </c>
    </row>
    <row r="270" spans="1:31" x14ac:dyDescent="0.55000000000000004">
      <c r="A270" s="209" t="s">
        <v>4784</v>
      </c>
      <c r="B270" s="209" t="s">
        <v>4785</v>
      </c>
      <c r="C270" s="209" t="s">
        <v>4786</v>
      </c>
      <c r="D270" s="209" t="s">
        <v>4787</v>
      </c>
      <c r="E270" s="209" t="s">
        <v>4788</v>
      </c>
      <c r="F270" s="209" t="s">
        <v>4774</v>
      </c>
      <c r="G270" s="209" t="s">
        <v>4775</v>
      </c>
      <c r="H270" s="209" t="s">
        <v>133</v>
      </c>
      <c r="I270" s="209" t="s">
        <v>133</v>
      </c>
      <c r="J270" s="209" t="s">
        <v>4776</v>
      </c>
      <c r="K270" s="209" t="s">
        <v>4789</v>
      </c>
      <c r="L270" s="209" t="s">
        <v>4790</v>
      </c>
      <c r="M270" s="209" t="s">
        <v>4791</v>
      </c>
      <c r="N270" s="209" t="s">
        <v>4780</v>
      </c>
      <c r="O270" s="209" t="s">
        <v>4792</v>
      </c>
      <c r="P270" s="209" t="s">
        <v>2250</v>
      </c>
      <c r="Q270" s="209" t="s">
        <v>2284</v>
      </c>
      <c r="R270" s="209" t="s">
        <v>2181</v>
      </c>
      <c r="S270" s="209" t="s">
        <v>133</v>
      </c>
      <c r="T270" s="209" t="s">
        <v>133</v>
      </c>
      <c r="U270" s="209" t="s">
        <v>133</v>
      </c>
      <c r="V270" s="209" t="s">
        <v>133</v>
      </c>
      <c r="W270" s="209" t="s">
        <v>133</v>
      </c>
      <c r="X270" s="209" t="s">
        <v>133</v>
      </c>
      <c r="Y270" s="209" t="s">
        <v>133</v>
      </c>
      <c r="Z270" s="209" t="s">
        <v>4782</v>
      </c>
      <c r="AA270" s="209" t="s">
        <v>133</v>
      </c>
      <c r="AB270" s="209" t="s">
        <v>133</v>
      </c>
      <c r="AC270" s="209" t="s">
        <v>133</v>
      </c>
      <c r="AD270" s="209" t="s">
        <v>133</v>
      </c>
      <c r="AE270" s="209" t="s">
        <v>4783</v>
      </c>
    </row>
    <row r="271" spans="1:31" x14ac:dyDescent="0.55000000000000004">
      <c r="A271" s="209" t="s">
        <v>4793</v>
      </c>
      <c r="B271" s="209" t="s">
        <v>4794</v>
      </c>
      <c r="C271" s="209" t="s">
        <v>4795</v>
      </c>
      <c r="D271" s="209" t="s">
        <v>4796</v>
      </c>
      <c r="E271" s="209" t="s">
        <v>4797</v>
      </c>
      <c r="F271" s="209" t="s">
        <v>4798</v>
      </c>
      <c r="G271" s="209" t="s">
        <v>4799</v>
      </c>
      <c r="H271" s="209" t="s">
        <v>133</v>
      </c>
      <c r="I271" s="209" t="s">
        <v>133</v>
      </c>
      <c r="J271" s="209" t="s">
        <v>4800</v>
      </c>
      <c r="K271" s="209" t="s">
        <v>4801</v>
      </c>
      <c r="L271" s="209" t="s">
        <v>4802</v>
      </c>
      <c r="M271" s="209" t="s">
        <v>4803</v>
      </c>
      <c r="N271" s="209" t="s">
        <v>4804</v>
      </c>
      <c r="O271" s="209" t="s">
        <v>4805</v>
      </c>
      <c r="P271" s="209" t="s">
        <v>2179</v>
      </c>
      <c r="Q271" s="209" t="s">
        <v>2180</v>
      </c>
      <c r="R271" s="209" t="s">
        <v>2181</v>
      </c>
      <c r="S271" s="209" t="s">
        <v>133</v>
      </c>
      <c r="T271" s="209" t="s">
        <v>133</v>
      </c>
      <c r="U271" s="209" t="s">
        <v>133</v>
      </c>
      <c r="V271" s="209" t="s">
        <v>133</v>
      </c>
      <c r="W271" s="209" t="s">
        <v>133</v>
      </c>
      <c r="X271" s="209" t="s">
        <v>133</v>
      </c>
      <c r="Y271" s="209" t="s">
        <v>133</v>
      </c>
      <c r="Z271" s="209" t="s">
        <v>4806</v>
      </c>
      <c r="AA271" s="209" t="s">
        <v>133</v>
      </c>
      <c r="AB271" s="209" t="s">
        <v>133</v>
      </c>
      <c r="AC271" s="209" t="s">
        <v>133</v>
      </c>
      <c r="AD271" s="209" t="s">
        <v>133</v>
      </c>
      <c r="AE271" s="209" t="s">
        <v>4807</v>
      </c>
    </row>
    <row r="272" spans="1:31" x14ac:dyDescent="0.55000000000000004">
      <c r="A272" s="209" t="s">
        <v>4808</v>
      </c>
      <c r="B272" s="209" t="s">
        <v>4809</v>
      </c>
      <c r="C272" s="209" t="s">
        <v>4810</v>
      </c>
      <c r="D272" s="209" t="s">
        <v>4811</v>
      </c>
      <c r="E272" s="209" t="s">
        <v>4812</v>
      </c>
      <c r="F272" s="209" t="s">
        <v>4798</v>
      </c>
      <c r="G272" s="209" t="s">
        <v>4799</v>
      </c>
      <c r="H272" s="209" t="s">
        <v>133</v>
      </c>
      <c r="I272" s="209" t="s">
        <v>133</v>
      </c>
      <c r="J272" s="209" t="s">
        <v>4800</v>
      </c>
      <c r="K272" s="209" t="s">
        <v>4813</v>
      </c>
      <c r="L272" s="209" t="s">
        <v>4814</v>
      </c>
      <c r="M272" s="209" t="s">
        <v>4815</v>
      </c>
      <c r="N272" s="209" t="s">
        <v>4804</v>
      </c>
      <c r="O272" s="209" t="s">
        <v>4816</v>
      </c>
      <c r="P272" s="209" t="s">
        <v>2179</v>
      </c>
      <c r="Q272" s="209" t="s">
        <v>2179</v>
      </c>
      <c r="R272" s="209" t="s">
        <v>2181</v>
      </c>
      <c r="S272" s="209" t="s">
        <v>133</v>
      </c>
      <c r="T272" s="209" t="s">
        <v>133</v>
      </c>
      <c r="U272" s="209" t="s">
        <v>133</v>
      </c>
      <c r="V272" s="209" t="s">
        <v>133</v>
      </c>
      <c r="W272" s="209" t="s">
        <v>133</v>
      </c>
      <c r="X272" s="209" t="s">
        <v>133</v>
      </c>
      <c r="Y272" s="209" t="s">
        <v>133</v>
      </c>
      <c r="Z272" s="209" t="s">
        <v>4806</v>
      </c>
      <c r="AA272" s="209" t="s">
        <v>133</v>
      </c>
      <c r="AB272" s="209" t="s">
        <v>133</v>
      </c>
      <c r="AC272" s="209" t="s">
        <v>133</v>
      </c>
      <c r="AD272" s="209" t="s">
        <v>133</v>
      </c>
      <c r="AE272" s="209" t="s">
        <v>4807</v>
      </c>
    </row>
    <row r="273" spans="1:31" x14ac:dyDescent="0.55000000000000004">
      <c r="A273" s="209" t="s">
        <v>4817</v>
      </c>
      <c r="B273" s="209" t="s">
        <v>4818</v>
      </c>
      <c r="C273" s="209" t="s">
        <v>4819</v>
      </c>
      <c r="D273" s="209" t="s">
        <v>4820</v>
      </c>
      <c r="E273" s="209" t="s">
        <v>4821</v>
      </c>
      <c r="F273" s="209" t="s">
        <v>4822</v>
      </c>
      <c r="G273" s="209" t="s">
        <v>4823</v>
      </c>
      <c r="H273" s="209" t="s">
        <v>133</v>
      </c>
      <c r="I273" s="209" t="s">
        <v>133</v>
      </c>
      <c r="J273" s="209" t="s">
        <v>4824</v>
      </c>
      <c r="K273" s="209" t="s">
        <v>4825</v>
      </c>
      <c r="L273" s="209" t="s">
        <v>4826</v>
      </c>
      <c r="M273" s="209" t="s">
        <v>4827</v>
      </c>
      <c r="N273" s="209" t="s">
        <v>4828</v>
      </c>
      <c r="O273" s="209" t="s">
        <v>4829</v>
      </c>
      <c r="P273" s="209" t="s">
        <v>2226</v>
      </c>
      <c r="Q273" s="209" t="s">
        <v>2226</v>
      </c>
      <c r="R273" s="209" t="s">
        <v>2181</v>
      </c>
      <c r="S273" s="209" t="s">
        <v>133</v>
      </c>
      <c r="T273" s="209" t="s">
        <v>133</v>
      </c>
      <c r="U273" s="209" t="s">
        <v>133</v>
      </c>
      <c r="V273" s="209" t="s">
        <v>133</v>
      </c>
      <c r="W273" s="209" t="s">
        <v>133</v>
      </c>
      <c r="X273" s="209" t="s">
        <v>133</v>
      </c>
      <c r="Y273" s="209" t="s">
        <v>133</v>
      </c>
      <c r="Z273" s="209" t="s">
        <v>4830</v>
      </c>
      <c r="AA273" s="209" t="s">
        <v>133</v>
      </c>
      <c r="AB273" s="209" t="s">
        <v>133</v>
      </c>
      <c r="AC273" s="209" t="s">
        <v>133</v>
      </c>
      <c r="AD273" s="209" t="s">
        <v>133</v>
      </c>
      <c r="AE273" s="209" t="s">
        <v>4831</v>
      </c>
    </row>
    <row r="274" spans="1:31" x14ac:dyDescent="0.55000000000000004">
      <c r="A274" s="209" t="s">
        <v>4832</v>
      </c>
      <c r="B274" s="209" t="s">
        <v>4833</v>
      </c>
      <c r="C274" s="209" t="s">
        <v>4834</v>
      </c>
      <c r="D274" s="209" t="s">
        <v>4835</v>
      </c>
      <c r="E274" s="209" t="s">
        <v>4836</v>
      </c>
      <c r="F274" s="209" t="s">
        <v>4822</v>
      </c>
      <c r="G274" s="209" t="s">
        <v>4823</v>
      </c>
      <c r="H274" s="209" t="s">
        <v>133</v>
      </c>
      <c r="I274" s="209" t="s">
        <v>133</v>
      </c>
      <c r="J274" s="209" t="s">
        <v>4824</v>
      </c>
      <c r="K274" s="209" t="s">
        <v>4837</v>
      </c>
      <c r="L274" s="209" t="s">
        <v>4838</v>
      </c>
      <c r="M274" s="209" t="s">
        <v>4839</v>
      </c>
      <c r="N274" s="209" t="s">
        <v>4828</v>
      </c>
      <c r="O274" s="209" t="s">
        <v>4840</v>
      </c>
      <c r="P274" s="209" t="s">
        <v>2226</v>
      </c>
      <c r="Q274" s="209" t="s">
        <v>2236</v>
      </c>
      <c r="R274" s="209" t="s">
        <v>2181</v>
      </c>
      <c r="S274" s="209" t="s">
        <v>133</v>
      </c>
      <c r="T274" s="209" t="s">
        <v>133</v>
      </c>
      <c r="U274" s="209" t="s">
        <v>133</v>
      </c>
      <c r="V274" s="209" t="s">
        <v>133</v>
      </c>
      <c r="W274" s="209" t="s">
        <v>133</v>
      </c>
      <c r="X274" s="209" t="s">
        <v>133</v>
      </c>
      <c r="Y274" s="209" t="s">
        <v>133</v>
      </c>
      <c r="Z274" s="209" t="s">
        <v>4830</v>
      </c>
      <c r="AA274" s="209" t="s">
        <v>133</v>
      </c>
      <c r="AB274" s="209" t="s">
        <v>133</v>
      </c>
      <c r="AC274" s="209" t="s">
        <v>133</v>
      </c>
      <c r="AD274" s="209" t="s">
        <v>133</v>
      </c>
      <c r="AE274" s="209" t="s">
        <v>4831</v>
      </c>
    </row>
    <row r="275" spans="1:31" x14ac:dyDescent="0.55000000000000004">
      <c r="A275" s="209" t="s">
        <v>4841</v>
      </c>
      <c r="B275" s="209" t="s">
        <v>4842</v>
      </c>
      <c r="C275" s="209" t="s">
        <v>4843</v>
      </c>
      <c r="D275" s="209" t="s">
        <v>4844</v>
      </c>
      <c r="E275" s="209" t="s">
        <v>4845</v>
      </c>
      <c r="F275" s="209" t="s">
        <v>4846</v>
      </c>
      <c r="G275" s="209" t="s">
        <v>4847</v>
      </c>
      <c r="H275" s="209" t="s">
        <v>133</v>
      </c>
      <c r="I275" s="209" t="s">
        <v>133</v>
      </c>
      <c r="J275" s="209" t="s">
        <v>4848</v>
      </c>
      <c r="K275" s="209" t="s">
        <v>4849</v>
      </c>
      <c r="L275" s="209" t="s">
        <v>4850</v>
      </c>
      <c r="M275" s="209" t="s">
        <v>4851</v>
      </c>
      <c r="N275" s="209" t="s">
        <v>4852</v>
      </c>
      <c r="O275" s="209" t="s">
        <v>4853</v>
      </c>
      <c r="P275" s="209" t="s">
        <v>2236</v>
      </c>
      <c r="Q275" s="209" t="s">
        <v>2250</v>
      </c>
      <c r="R275" s="209" t="s">
        <v>2181</v>
      </c>
      <c r="S275" s="209" t="s">
        <v>133</v>
      </c>
      <c r="T275" s="209" t="s">
        <v>133</v>
      </c>
      <c r="U275" s="209" t="s">
        <v>133</v>
      </c>
      <c r="V275" s="209" t="s">
        <v>133</v>
      </c>
      <c r="W275" s="209" t="s">
        <v>133</v>
      </c>
      <c r="X275" s="209" t="s">
        <v>133</v>
      </c>
      <c r="Y275" s="209" t="s">
        <v>133</v>
      </c>
      <c r="Z275" s="209" t="s">
        <v>4854</v>
      </c>
      <c r="AA275" s="209" t="s">
        <v>133</v>
      </c>
      <c r="AB275" s="209" t="s">
        <v>133</v>
      </c>
      <c r="AC275" s="209" t="s">
        <v>133</v>
      </c>
      <c r="AD275" s="209" t="s">
        <v>133</v>
      </c>
      <c r="AE275" s="209" t="s">
        <v>4855</v>
      </c>
    </row>
    <row r="276" spans="1:31" x14ac:dyDescent="0.55000000000000004">
      <c r="A276" s="209" t="s">
        <v>4856</v>
      </c>
      <c r="B276" s="209" t="s">
        <v>4857</v>
      </c>
      <c r="C276" s="209" t="s">
        <v>4858</v>
      </c>
      <c r="D276" s="209" t="s">
        <v>4859</v>
      </c>
      <c r="E276" s="209" t="s">
        <v>4860</v>
      </c>
      <c r="F276" s="209" t="s">
        <v>4846</v>
      </c>
      <c r="G276" s="209" t="s">
        <v>4847</v>
      </c>
      <c r="H276" s="209" t="s">
        <v>133</v>
      </c>
      <c r="I276" s="209" t="s">
        <v>133</v>
      </c>
      <c r="J276" s="209" t="s">
        <v>4848</v>
      </c>
      <c r="K276" s="209" t="s">
        <v>4861</v>
      </c>
      <c r="L276" s="209" t="s">
        <v>4862</v>
      </c>
      <c r="M276" s="209" t="s">
        <v>4863</v>
      </c>
      <c r="N276" s="209" t="s">
        <v>4852</v>
      </c>
      <c r="O276" s="209" t="s">
        <v>4864</v>
      </c>
      <c r="P276" s="209" t="s">
        <v>2236</v>
      </c>
      <c r="Q276" s="209" t="s">
        <v>2260</v>
      </c>
      <c r="R276" s="209" t="s">
        <v>2181</v>
      </c>
      <c r="S276" s="209" t="s">
        <v>133</v>
      </c>
      <c r="T276" s="209" t="s">
        <v>133</v>
      </c>
      <c r="U276" s="209" t="s">
        <v>133</v>
      </c>
      <c r="V276" s="209" t="s">
        <v>133</v>
      </c>
      <c r="W276" s="209" t="s">
        <v>133</v>
      </c>
      <c r="X276" s="209" t="s">
        <v>133</v>
      </c>
      <c r="Y276" s="209" t="s">
        <v>133</v>
      </c>
      <c r="Z276" s="209" t="s">
        <v>4854</v>
      </c>
      <c r="AA276" s="209" t="s">
        <v>133</v>
      </c>
      <c r="AB276" s="209" t="s">
        <v>133</v>
      </c>
      <c r="AC276" s="209" t="s">
        <v>133</v>
      </c>
      <c r="AD276" s="209" t="s">
        <v>133</v>
      </c>
      <c r="AE276" s="209" t="s">
        <v>4855</v>
      </c>
    </row>
    <row r="277" spans="1:31" x14ac:dyDescent="0.55000000000000004">
      <c r="A277" s="209" t="s">
        <v>4865</v>
      </c>
      <c r="B277" s="209" t="s">
        <v>4866</v>
      </c>
      <c r="C277" s="209" t="s">
        <v>4867</v>
      </c>
      <c r="D277" s="209" t="s">
        <v>4868</v>
      </c>
      <c r="E277" s="209" t="s">
        <v>4869</v>
      </c>
      <c r="F277" s="209" t="s">
        <v>4870</v>
      </c>
      <c r="G277" s="209" t="s">
        <v>4871</v>
      </c>
      <c r="H277" s="209" t="s">
        <v>133</v>
      </c>
      <c r="I277" s="209" t="s">
        <v>133</v>
      </c>
      <c r="J277" s="209" t="s">
        <v>4872</v>
      </c>
      <c r="K277" s="209" t="s">
        <v>4873</v>
      </c>
      <c r="L277" s="209" t="s">
        <v>4874</v>
      </c>
      <c r="M277" s="209" t="s">
        <v>4875</v>
      </c>
      <c r="N277" s="209" t="s">
        <v>4876</v>
      </c>
      <c r="O277" s="209" t="s">
        <v>4877</v>
      </c>
      <c r="P277" s="209" t="s">
        <v>2179</v>
      </c>
      <c r="Q277" s="209" t="s">
        <v>2180</v>
      </c>
      <c r="R277" s="209" t="s">
        <v>2181</v>
      </c>
      <c r="S277" s="209" t="s">
        <v>133</v>
      </c>
      <c r="T277" s="209" t="s">
        <v>133</v>
      </c>
      <c r="U277" s="209" t="s">
        <v>133</v>
      </c>
      <c r="V277" s="209" t="s">
        <v>133</v>
      </c>
      <c r="W277" s="209" t="s">
        <v>133</v>
      </c>
      <c r="X277" s="209" t="s">
        <v>133</v>
      </c>
      <c r="Y277" s="209" t="s">
        <v>133</v>
      </c>
      <c r="Z277" s="209" t="s">
        <v>4878</v>
      </c>
      <c r="AA277" s="209" t="s">
        <v>133</v>
      </c>
      <c r="AB277" s="209" t="s">
        <v>133</v>
      </c>
      <c r="AC277" s="209" t="s">
        <v>133</v>
      </c>
      <c r="AD277" s="209" t="s">
        <v>133</v>
      </c>
      <c r="AE277" s="209" t="s">
        <v>4879</v>
      </c>
    </row>
    <row r="278" spans="1:31" x14ac:dyDescent="0.55000000000000004">
      <c r="A278" s="209" t="s">
        <v>4880</v>
      </c>
      <c r="B278" s="209" t="s">
        <v>4881</v>
      </c>
      <c r="C278" s="209" t="s">
        <v>4882</v>
      </c>
      <c r="D278" s="209" t="s">
        <v>4883</v>
      </c>
      <c r="E278" s="209" t="s">
        <v>4884</v>
      </c>
      <c r="F278" s="209" t="s">
        <v>4870</v>
      </c>
      <c r="G278" s="209" t="s">
        <v>4871</v>
      </c>
      <c r="H278" s="209" t="s">
        <v>133</v>
      </c>
      <c r="I278" s="209" t="s">
        <v>133</v>
      </c>
      <c r="J278" s="209" t="s">
        <v>4872</v>
      </c>
      <c r="K278" s="209" t="s">
        <v>4885</v>
      </c>
      <c r="L278" s="209" t="s">
        <v>4886</v>
      </c>
      <c r="M278" s="209" t="s">
        <v>4887</v>
      </c>
      <c r="N278" s="209" t="s">
        <v>4876</v>
      </c>
      <c r="O278" s="209" t="s">
        <v>4888</v>
      </c>
      <c r="P278" s="209" t="s">
        <v>2179</v>
      </c>
      <c r="Q278" s="209" t="s">
        <v>2179</v>
      </c>
      <c r="R278" s="209" t="s">
        <v>2181</v>
      </c>
      <c r="S278" s="209" t="s">
        <v>133</v>
      </c>
      <c r="T278" s="209" t="s">
        <v>133</v>
      </c>
      <c r="U278" s="209" t="s">
        <v>133</v>
      </c>
      <c r="V278" s="209" t="s">
        <v>133</v>
      </c>
      <c r="W278" s="209" t="s">
        <v>133</v>
      </c>
      <c r="X278" s="209" t="s">
        <v>133</v>
      </c>
      <c r="Y278" s="209" t="s">
        <v>133</v>
      </c>
      <c r="Z278" s="209" t="s">
        <v>4878</v>
      </c>
      <c r="AA278" s="209" t="s">
        <v>133</v>
      </c>
      <c r="AB278" s="209" t="s">
        <v>133</v>
      </c>
      <c r="AC278" s="209" t="s">
        <v>133</v>
      </c>
      <c r="AD278" s="209" t="s">
        <v>133</v>
      </c>
      <c r="AE278" s="209" t="s">
        <v>4879</v>
      </c>
    </row>
    <row r="279" spans="1:31" x14ac:dyDescent="0.55000000000000004">
      <c r="A279" s="209" t="s">
        <v>4889</v>
      </c>
      <c r="B279" s="209" t="s">
        <v>4890</v>
      </c>
      <c r="C279" s="209" t="s">
        <v>4891</v>
      </c>
      <c r="D279" s="209" t="s">
        <v>4892</v>
      </c>
      <c r="E279" s="209" t="s">
        <v>4893</v>
      </c>
      <c r="F279" s="209" t="s">
        <v>4894</v>
      </c>
      <c r="G279" s="209" t="s">
        <v>4895</v>
      </c>
      <c r="H279" s="209" t="s">
        <v>133</v>
      </c>
      <c r="I279" s="209" t="s">
        <v>133</v>
      </c>
      <c r="J279" s="209" t="s">
        <v>4896</v>
      </c>
      <c r="K279" s="209" t="s">
        <v>4897</v>
      </c>
      <c r="L279" s="209" t="s">
        <v>4898</v>
      </c>
      <c r="M279" s="209" t="s">
        <v>4899</v>
      </c>
      <c r="N279" s="209" t="s">
        <v>4900</v>
      </c>
      <c r="O279" s="209" t="s">
        <v>4901</v>
      </c>
      <c r="P279" s="209" t="s">
        <v>2226</v>
      </c>
      <c r="Q279" s="209" t="s">
        <v>2226</v>
      </c>
      <c r="R279" s="209" t="s">
        <v>2181</v>
      </c>
      <c r="S279" s="209" t="s">
        <v>133</v>
      </c>
      <c r="T279" s="209" t="s">
        <v>133</v>
      </c>
      <c r="U279" s="209" t="s">
        <v>133</v>
      </c>
      <c r="V279" s="209" t="s">
        <v>133</v>
      </c>
      <c r="W279" s="209" t="s">
        <v>133</v>
      </c>
      <c r="X279" s="209" t="s">
        <v>133</v>
      </c>
      <c r="Y279" s="209" t="s">
        <v>133</v>
      </c>
      <c r="Z279" s="209" t="s">
        <v>4902</v>
      </c>
      <c r="AA279" s="209" t="s">
        <v>133</v>
      </c>
      <c r="AB279" s="209" t="s">
        <v>133</v>
      </c>
      <c r="AC279" s="209" t="s">
        <v>133</v>
      </c>
      <c r="AD279" s="209" t="s">
        <v>133</v>
      </c>
      <c r="AE279" s="209" t="s">
        <v>4903</v>
      </c>
    </row>
    <row r="280" spans="1:31" x14ac:dyDescent="0.55000000000000004">
      <c r="A280" s="209" t="s">
        <v>4904</v>
      </c>
      <c r="B280" s="209" t="s">
        <v>4905</v>
      </c>
      <c r="C280" s="209" t="s">
        <v>4906</v>
      </c>
      <c r="D280" s="209" t="s">
        <v>4907</v>
      </c>
      <c r="E280" s="209" t="s">
        <v>4908</v>
      </c>
      <c r="F280" s="209" t="s">
        <v>4894</v>
      </c>
      <c r="G280" s="209" t="s">
        <v>4895</v>
      </c>
      <c r="H280" s="209" t="s">
        <v>133</v>
      </c>
      <c r="I280" s="209" t="s">
        <v>133</v>
      </c>
      <c r="J280" s="209" t="s">
        <v>4896</v>
      </c>
      <c r="K280" s="209" t="s">
        <v>4909</v>
      </c>
      <c r="L280" s="209" t="s">
        <v>4910</v>
      </c>
      <c r="M280" s="209" t="s">
        <v>4911</v>
      </c>
      <c r="N280" s="209" t="s">
        <v>4900</v>
      </c>
      <c r="O280" s="209" t="s">
        <v>4912</v>
      </c>
      <c r="P280" s="209" t="s">
        <v>2226</v>
      </c>
      <c r="Q280" s="209" t="s">
        <v>2236</v>
      </c>
      <c r="R280" s="209" t="s">
        <v>2181</v>
      </c>
      <c r="S280" s="209" t="s">
        <v>133</v>
      </c>
      <c r="T280" s="209" t="s">
        <v>133</v>
      </c>
      <c r="U280" s="209" t="s">
        <v>133</v>
      </c>
      <c r="V280" s="209" t="s">
        <v>133</v>
      </c>
      <c r="W280" s="209" t="s">
        <v>133</v>
      </c>
      <c r="X280" s="209" t="s">
        <v>133</v>
      </c>
      <c r="Y280" s="209" t="s">
        <v>133</v>
      </c>
      <c r="Z280" s="209" t="s">
        <v>4902</v>
      </c>
      <c r="AA280" s="209" t="s">
        <v>133</v>
      </c>
      <c r="AB280" s="209" t="s">
        <v>133</v>
      </c>
      <c r="AC280" s="209" t="s">
        <v>133</v>
      </c>
      <c r="AD280" s="209" t="s">
        <v>133</v>
      </c>
      <c r="AE280" s="209" t="s">
        <v>4903</v>
      </c>
    </row>
    <row r="281" spans="1:31" x14ac:dyDescent="0.55000000000000004">
      <c r="A281" s="209" t="s">
        <v>4913</v>
      </c>
      <c r="B281" s="209" t="s">
        <v>4914</v>
      </c>
      <c r="C281" s="209" t="s">
        <v>4915</v>
      </c>
      <c r="D281" s="209" t="s">
        <v>4916</v>
      </c>
      <c r="E281" s="209" t="s">
        <v>4917</v>
      </c>
      <c r="F281" s="209" t="s">
        <v>4918</v>
      </c>
      <c r="G281" s="209" t="s">
        <v>4919</v>
      </c>
      <c r="H281" s="209" t="s">
        <v>133</v>
      </c>
      <c r="I281" s="209" t="s">
        <v>133</v>
      </c>
      <c r="J281" s="209" t="s">
        <v>4920</v>
      </c>
      <c r="K281" s="209" t="s">
        <v>4921</v>
      </c>
      <c r="L281" s="209" t="s">
        <v>4922</v>
      </c>
      <c r="M281" s="209" t="s">
        <v>4923</v>
      </c>
      <c r="N281" s="209" t="s">
        <v>4924</v>
      </c>
      <c r="O281" s="209" t="s">
        <v>4925</v>
      </c>
      <c r="P281" s="209" t="s">
        <v>2236</v>
      </c>
      <c r="Q281" s="209" t="s">
        <v>2250</v>
      </c>
      <c r="R281" s="209" t="s">
        <v>2181</v>
      </c>
      <c r="S281" s="209" t="s">
        <v>133</v>
      </c>
      <c r="T281" s="209" t="s">
        <v>133</v>
      </c>
      <c r="U281" s="209" t="s">
        <v>133</v>
      </c>
      <c r="V281" s="209" t="s">
        <v>133</v>
      </c>
      <c r="W281" s="209" t="s">
        <v>133</v>
      </c>
      <c r="X281" s="209" t="s">
        <v>133</v>
      </c>
      <c r="Y281" s="209" t="s">
        <v>133</v>
      </c>
      <c r="Z281" s="209" t="s">
        <v>4926</v>
      </c>
      <c r="AA281" s="209" t="s">
        <v>133</v>
      </c>
      <c r="AB281" s="209" t="s">
        <v>133</v>
      </c>
      <c r="AC281" s="209" t="s">
        <v>133</v>
      </c>
      <c r="AD281" s="209" t="s">
        <v>133</v>
      </c>
      <c r="AE281" s="209" t="s">
        <v>4927</v>
      </c>
    </row>
    <row r="282" spans="1:31" x14ac:dyDescent="0.55000000000000004">
      <c r="A282" s="209" t="s">
        <v>4928</v>
      </c>
      <c r="B282" s="209" t="s">
        <v>4929</v>
      </c>
      <c r="C282" s="209" t="s">
        <v>4930</v>
      </c>
      <c r="D282" s="209" t="s">
        <v>4931</v>
      </c>
      <c r="E282" s="209" t="s">
        <v>4932</v>
      </c>
      <c r="F282" s="209" t="s">
        <v>4918</v>
      </c>
      <c r="G282" s="209" t="s">
        <v>4919</v>
      </c>
      <c r="H282" s="209" t="s">
        <v>133</v>
      </c>
      <c r="I282" s="209" t="s">
        <v>133</v>
      </c>
      <c r="J282" s="209" t="s">
        <v>4920</v>
      </c>
      <c r="K282" s="209" t="s">
        <v>4933</v>
      </c>
      <c r="L282" s="209" t="s">
        <v>4934</v>
      </c>
      <c r="M282" s="209" t="s">
        <v>4935</v>
      </c>
      <c r="N282" s="209" t="s">
        <v>4924</v>
      </c>
      <c r="O282" s="209" t="s">
        <v>4936</v>
      </c>
      <c r="P282" s="209" t="s">
        <v>2236</v>
      </c>
      <c r="Q282" s="209" t="s">
        <v>2260</v>
      </c>
      <c r="R282" s="209" t="s">
        <v>2181</v>
      </c>
      <c r="S282" s="209" t="s">
        <v>133</v>
      </c>
      <c r="T282" s="209" t="s">
        <v>133</v>
      </c>
      <c r="U282" s="209" t="s">
        <v>133</v>
      </c>
      <c r="V282" s="209" t="s">
        <v>133</v>
      </c>
      <c r="W282" s="209" t="s">
        <v>133</v>
      </c>
      <c r="X282" s="209" t="s">
        <v>133</v>
      </c>
      <c r="Y282" s="209" t="s">
        <v>133</v>
      </c>
      <c r="Z282" s="209" t="s">
        <v>4926</v>
      </c>
      <c r="AA282" s="209" t="s">
        <v>133</v>
      </c>
      <c r="AB282" s="209" t="s">
        <v>133</v>
      </c>
      <c r="AC282" s="209" t="s">
        <v>133</v>
      </c>
      <c r="AD282" s="209" t="s">
        <v>133</v>
      </c>
      <c r="AE282" s="209" t="s">
        <v>4927</v>
      </c>
    </row>
    <row r="283" spans="1:31" x14ac:dyDescent="0.55000000000000004">
      <c r="A283" s="209" t="s">
        <v>4937</v>
      </c>
      <c r="B283" s="209" t="s">
        <v>4938</v>
      </c>
      <c r="C283" s="209" t="s">
        <v>4939</v>
      </c>
      <c r="D283" s="209" t="s">
        <v>4940</v>
      </c>
      <c r="E283" s="209" t="s">
        <v>4941</v>
      </c>
      <c r="F283" s="209" t="s">
        <v>4942</v>
      </c>
      <c r="G283" s="209" t="s">
        <v>4943</v>
      </c>
      <c r="H283" s="209" t="s">
        <v>133</v>
      </c>
      <c r="I283" s="209" t="s">
        <v>133</v>
      </c>
      <c r="J283" s="209" t="s">
        <v>4944</v>
      </c>
      <c r="K283" s="209" t="s">
        <v>4945</v>
      </c>
      <c r="L283" s="209" t="s">
        <v>4946</v>
      </c>
      <c r="M283" s="209" t="s">
        <v>4947</v>
      </c>
      <c r="N283" s="209" t="s">
        <v>4948</v>
      </c>
      <c r="O283" s="209" t="s">
        <v>4949</v>
      </c>
      <c r="P283" s="209" t="s">
        <v>2250</v>
      </c>
      <c r="Q283" s="209" t="s">
        <v>2274</v>
      </c>
      <c r="R283" s="209" t="s">
        <v>2181</v>
      </c>
      <c r="S283" s="209" t="s">
        <v>133</v>
      </c>
      <c r="T283" s="209" t="s">
        <v>133</v>
      </c>
      <c r="U283" s="209" t="s">
        <v>133</v>
      </c>
      <c r="V283" s="209" t="s">
        <v>133</v>
      </c>
      <c r="W283" s="209" t="s">
        <v>133</v>
      </c>
      <c r="X283" s="209" t="s">
        <v>133</v>
      </c>
      <c r="Y283" s="209" t="s">
        <v>133</v>
      </c>
      <c r="Z283" s="209" t="s">
        <v>4950</v>
      </c>
      <c r="AA283" s="209" t="s">
        <v>133</v>
      </c>
      <c r="AB283" s="209" t="s">
        <v>133</v>
      </c>
      <c r="AC283" s="209" t="s">
        <v>133</v>
      </c>
      <c r="AD283" s="209" t="s">
        <v>133</v>
      </c>
      <c r="AE283" s="209" t="s">
        <v>4951</v>
      </c>
    </row>
    <row r="284" spans="1:31" x14ac:dyDescent="0.55000000000000004">
      <c r="A284" s="209" t="s">
        <v>4952</v>
      </c>
      <c r="B284" s="209" t="s">
        <v>4953</v>
      </c>
      <c r="C284" s="209" t="s">
        <v>4954</v>
      </c>
      <c r="D284" s="209" t="s">
        <v>4955</v>
      </c>
      <c r="E284" s="209" t="s">
        <v>4956</v>
      </c>
      <c r="F284" s="209" t="s">
        <v>4942</v>
      </c>
      <c r="G284" s="209" t="s">
        <v>4943</v>
      </c>
      <c r="H284" s="209" t="s">
        <v>133</v>
      </c>
      <c r="I284" s="209" t="s">
        <v>133</v>
      </c>
      <c r="J284" s="209" t="s">
        <v>4944</v>
      </c>
      <c r="K284" s="209" t="s">
        <v>4957</v>
      </c>
      <c r="L284" s="209" t="s">
        <v>4958</v>
      </c>
      <c r="M284" s="209" t="s">
        <v>4959</v>
      </c>
      <c r="N284" s="209" t="s">
        <v>4948</v>
      </c>
      <c r="O284" s="209" t="s">
        <v>4960</v>
      </c>
      <c r="P284" s="209" t="s">
        <v>2250</v>
      </c>
      <c r="Q284" s="209" t="s">
        <v>2284</v>
      </c>
      <c r="R284" s="209" t="s">
        <v>2181</v>
      </c>
      <c r="S284" s="209" t="s">
        <v>133</v>
      </c>
      <c r="T284" s="209" t="s">
        <v>133</v>
      </c>
      <c r="U284" s="209" t="s">
        <v>133</v>
      </c>
      <c r="V284" s="209" t="s">
        <v>133</v>
      </c>
      <c r="W284" s="209" t="s">
        <v>133</v>
      </c>
      <c r="X284" s="209" t="s">
        <v>133</v>
      </c>
      <c r="Y284" s="209" t="s">
        <v>133</v>
      </c>
      <c r="Z284" s="209" t="s">
        <v>4950</v>
      </c>
      <c r="AA284" s="209" t="s">
        <v>133</v>
      </c>
      <c r="AB284" s="209" t="s">
        <v>133</v>
      </c>
      <c r="AC284" s="209" t="s">
        <v>133</v>
      </c>
      <c r="AD284" s="209" t="s">
        <v>133</v>
      </c>
      <c r="AE284" s="209" t="s">
        <v>4951</v>
      </c>
    </row>
    <row r="285" spans="1:31" x14ac:dyDescent="0.55000000000000004">
      <c r="A285" s="209" t="s">
        <v>4961</v>
      </c>
      <c r="B285" s="209" t="s">
        <v>4962</v>
      </c>
      <c r="C285" s="209" t="s">
        <v>4963</v>
      </c>
      <c r="D285" s="209" t="s">
        <v>4964</v>
      </c>
      <c r="E285" s="209" t="s">
        <v>4965</v>
      </c>
      <c r="F285" s="209" t="s">
        <v>4966</v>
      </c>
      <c r="G285" s="209" t="s">
        <v>4967</v>
      </c>
      <c r="H285" s="209" t="s">
        <v>133</v>
      </c>
      <c r="I285" s="209" t="s">
        <v>133</v>
      </c>
      <c r="J285" s="209" t="s">
        <v>4968</v>
      </c>
      <c r="K285" s="209" t="s">
        <v>4969</v>
      </c>
      <c r="L285" s="209" t="s">
        <v>4970</v>
      </c>
      <c r="M285" s="209" t="s">
        <v>4971</v>
      </c>
      <c r="N285" s="209" t="s">
        <v>4972</v>
      </c>
      <c r="O285" s="209" t="s">
        <v>4973</v>
      </c>
      <c r="P285" s="209" t="s">
        <v>2260</v>
      </c>
      <c r="Q285" s="209" t="s">
        <v>2298</v>
      </c>
      <c r="R285" s="209" t="s">
        <v>2181</v>
      </c>
      <c r="S285" s="209" t="s">
        <v>133</v>
      </c>
      <c r="T285" s="209" t="s">
        <v>133</v>
      </c>
      <c r="U285" s="209" t="s">
        <v>133</v>
      </c>
      <c r="V285" s="209" t="s">
        <v>133</v>
      </c>
      <c r="W285" s="209" t="s">
        <v>133</v>
      </c>
      <c r="X285" s="209" t="s">
        <v>133</v>
      </c>
      <c r="Y285" s="209" t="s">
        <v>133</v>
      </c>
      <c r="Z285" s="209" t="s">
        <v>4974</v>
      </c>
      <c r="AA285" s="209" t="s">
        <v>133</v>
      </c>
      <c r="AB285" s="209" t="s">
        <v>133</v>
      </c>
      <c r="AC285" s="209" t="s">
        <v>133</v>
      </c>
      <c r="AD285" s="209" t="s">
        <v>133</v>
      </c>
      <c r="AE285" s="209" t="s">
        <v>4975</v>
      </c>
    </row>
    <row r="286" spans="1:31" x14ac:dyDescent="0.55000000000000004">
      <c r="A286" s="209" t="s">
        <v>4976</v>
      </c>
      <c r="B286" s="209" t="s">
        <v>4977</v>
      </c>
      <c r="C286" s="209" t="s">
        <v>4978</v>
      </c>
      <c r="D286" s="209" t="s">
        <v>4979</v>
      </c>
      <c r="E286" s="209" t="s">
        <v>4980</v>
      </c>
      <c r="F286" s="209" t="s">
        <v>4966</v>
      </c>
      <c r="G286" s="209" t="s">
        <v>4967</v>
      </c>
      <c r="H286" s="209" t="s">
        <v>133</v>
      </c>
      <c r="I286" s="209" t="s">
        <v>133</v>
      </c>
      <c r="J286" s="209" t="s">
        <v>4968</v>
      </c>
      <c r="K286" s="209" t="s">
        <v>4981</v>
      </c>
      <c r="L286" s="209" t="s">
        <v>4982</v>
      </c>
      <c r="M286" s="209" t="s">
        <v>4983</v>
      </c>
      <c r="N286" s="209" t="s">
        <v>4972</v>
      </c>
      <c r="O286" s="209" t="s">
        <v>4984</v>
      </c>
      <c r="P286" s="209" t="s">
        <v>2260</v>
      </c>
      <c r="Q286" s="209" t="s">
        <v>2309</v>
      </c>
      <c r="R286" s="209" t="s">
        <v>2181</v>
      </c>
      <c r="S286" s="209" t="s">
        <v>133</v>
      </c>
      <c r="T286" s="209" t="s">
        <v>133</v>
      </c>
      <c r="U286" s="209" t="s">
        <v>133</v>
      </c>
      <c r="V286" s="209" t="s">
        <v>133</v>
      </c>
      <c r="W286" s="209" t="s">
        <v>133</v>
      </c>
      <c r="X286" s="209" t="s">
        <v>133</v>
      </c>
      <c r="Y286" s="209" t="s">
        <v>133</v>
      </c>
      <c r="Z286" s="209" t="s">
        <v>4974</v>
      </c>
      <c r="AA286" s="209" t="s">
        <v>133</v>
      </c>
      <c r="AB286" s="209" t="s">
        <v>133</v>
      </c>
      <c r="AC286" s="209" t="s">
        <v>133</v>
      </c>
      <c r="AD286" s="209" t="s">
        <v>133</v>
      </c>
      <c r="AE286" s="209" t="s">
        <v>4975</v>
      </c>
    </row>
    <row r="287" spans="1:31" x14ac:dyDescent="0.55000000000000004">
      <c r="A287" s="209" t="s">
        <v>4985</v>
      </c>
      <c r="B287" s="209" t="s">
        <v>4986</v>
      </c>
      <c r="C287" s="209" t="s">
        <v>4987</v>
      </c>
      <c r="D287" s="209" t="s">
        <v>4988</v>
      </c>
      <c r="E287" s="209" t="s">
        <v>4989</v>
      </c>
      <c r="F287" s="209" t="s">
        <v>4990</v>
      </c>
      <c r="G287" s="209" t="s">
        <v>4991</v>
      </c>
      <c r="H287" s="209" t="s">
        <v>133</v>
      </c>
      <c r="I287" s="209" t="s">
        <v>133</v>
      </c>
      <c r="J287" s="209" t="s">
        <v>4992</v>
      </c>
      <c r="K287" s="209" t="s">
        <v>4993</v>
      </c>
      <c r="L287" s="209" t="s">
        <v>4994</v>
      </c>
      <c r="M287" s="209" t="s">
        <v>4995</v>
      </c>
      <c r="N287" s="209" t="s">
        <v>4996</v>
      </c>
      <c r="O287" s="209" t="s">
        <v>4997</v>
      </c>
      <c r="P287" s="209" t="s">
        <v>2179</v>
      </c>
      <c r="Q287" s="209" t="s">
        <v>2180</v>
      </c>
      <c r="R287" s="209" t="s">
        <v>2181</v>
      </c>
      <c r="S287" s="209" t="s">
        <v>133</v>
      </c>
      <c r="T287" s="209" t="s">
        <v>133</v>
      </c>
      <c r="U287" s="209" t="s">
        <v>133</v>
      </c>
      <c r="V287" s="209" t="s">
        <v>133</v>
      </c>
      <c r="W287" s="209" t="s">
        <v>133</v>
      </c>
      <c r="X287" s="209" t="s">
        <v>133</v>
      </c>
      <c r="Y287" s="209" t="s">
        <v>133</v>
      </c>
      <c r="Z287" s="209" t="s">
        <v>4998</v>
      </c>
      <c r="AA287" s="209" t="s">
        <v>133</v>
      </c>
      <c r="AB287" s="209" t="s">
        <v>133</v>
      </c>
      <c r="AC287" s="209" t="s">
        <v>133</v>
      </c>
      <c r="AD287" s="209" t="s">
        <v>133</v>
      </c>
      <c r="AE287" s="209" t="s">
        <v>4999</v>
      </c>
    </row>
    <row r="288" spans="1:31" x14ac:dyDescent="0.55000000000000004">
      <c r="A288" s="209" t="s">
        <v>5000</v>
      </c>
      <c r="B288" s="209" t="s">
        <v>5001</v>
      </c>
      <c r="C288" s="209" t="s">
        <v>5002</v>
      </c>
      <c r="D288" s="209" t="s">
        <v>5003</v>
      </c>
      <c r="E288" s="209" t="s">
        <v>5004</v>
      </c>
      <c r="F288" s="209" t="s">
        <v>4990</v>
      </c>
      <c r="G288" s="209" t="s">
        <v>4991</v>
      </c>
      <c r="H288" s="209" t="s">
        <v>133</v>
      </c>
      <c r="I288" s="209" t="s">
        <v>133</v>
      </c>
      <c r="J288" s="209" t="s">
        <v>4992</v>
      </c>
      <c r="K288" s="209" t="s">
        <v>5005</v>
      </c>
      <c r="L288" s="209" t="s">
        <v>5006</v>
      </c>
      <c r="M288" s="209" t="s">
        <v>5007</v>
      </c>
      <c r="N288" s="209" t="s">
        <v>4996</v>
      </c>
      <c r="O288" s="209" t="s">
        <v>5008</v>
      </c>
      <c r="P288" s="209" t="s">
        <v>2179</v>
      </c>
      <c r="Q288" s="209" t="s">
        <v>2179</v>
      </c>
      <c r="R288" s="209" t="s">
        <v>2181</v>
      </c>
      <c r="S288" s="209" t="s">
        <v>133</v>
      </c>
      <c r="T288" s="209" t="s">
        <v>133</v>
      </c>
      <c r="U288" s="209" t="s">
        <v>133</v>
      </c>
      <c r="V288" s="209" t="s">
        <v>133</v>
      </c>
      <c r="W288" s="209" t="s">
        <v>133</v>
      </c>
      <c r="X288" s="209" t="s">
        <v>133</v>
      </c>
      <c r="Y288" s="209" t="s">
        <v>133</v>
      </c>
      <c r="Z288" s="209" t="s">
        <v>4998</v>
      </c>
      <c r="AA288" s="209" t="s">
        <v>133</v>
      </c>
      <c r="AB288" s="209" t="s">
        <v>133</v>
      </c>
      <c r="AC288" s="209" t="s">
        <v>133</v>
      </c>
      <c r="AD288" s="209" t="s">
        <v>133</v>
      </c>
      <c r="AE288" s="209" t="s">
        <v>4999</v>
      </c>
    </row>
    <row r="289" spans="1:31" x14ac:dyDescent="0.55000000000000004">
      <c r="A289" s="209" t="s">
        <v>5009</v>
      </c>
      <c r="B289" s="209" t="s">
        <v>5010</v>
      </c>
      <c r="C289" s="209" t="s">
        <v>5011</v>
      </c>
      <c r="D289" s="209" t="s">
        <v>5012</v>
      </c>
      <c r="E289" s="209" t="s">
        <v>5013</v>
      </c>
      <c r="F289" s="209" t="s">
        <v>5014</v>
      </c>
      <c r="G289" s="209" t="s">
        <v>5015</v>
      </c>
      <c r="H289" s="209" t="s">
        <v>133</v>
      </c>
      <c r="I289" s="209" t="s">
        <v>133</v>
      </c>
      <c r="J289" s="209" t="s">
        <v>5016</v>
      </c>
      <c r="K289" s="209" t="s">
        <v>5017</v>
      </c>
      <c r="L289" s="209" t="s">
        <v>5018</v>
      </c>
      <c r="M289" s="209" t="s">
        <v>5019</v>
      </c>
      <c r="N289" s="209" t="s">
        <v>5020</v>
      </c>
      <c r="O289" s="209" t="s">
        <v>5021</v>
      </c>
      <c r="P289" s="209" t="s">
        <v>2226</v>
      </c>
      <c r="Q289" s="209" t="s">
        <v>2226</v>
      </c>
      <c r="R289" s="209" t="s">
        <v>2181</v>
      </c>
      <c r="S289" s="209" t="s">
        <v>133</v>
      </c>
      <c r="T289" s="209" t="s">
        <v>133</v>
      </c>
      <c r="U289" s="209" t="s">
        <v>133</v>
      </c>
      <c r="V289" s="209" t="s">
        <v>133</v>
      </c>
      <c r="W289" s="209" t="s">
        <v>133</v>
      </c>
      <c r="X289" s="209" t="s">
        <v>133</v>
      </c>
      <c r="Y289" s="209" t="s">
        <v>133</v>
      </c>
      <c r="Z289" s="209" t="s">
        <v>5022</v>
      </c>
      <c r="AA289" s="209" t="s">
        <v>133</v>
      </c>
      <c r="AB289" s="209" t="s">
        <v>133</v>
      </c>
      <c r="AC289" s="209" t="s">
        <v>133</v>
      </c>
      <c r="AD289" s="209" t="s">
        <v>133</v>
      </c>
      <c r="AE289" s="209" t="s">
        <v>5023</v>
      </c>
    </row>
    <row r="290" spans="1:31" x14ac:dyDescent="0.55000000000000004">
      <c r="A290" s="209" t="s">
        <v>5024</v>
      </c>
      <c r="B290" s="209" t="s">
        <v>5025</v>
      </c>
      <c r="C290" s="209" t="s">
        <v>5026</v>
      </c>
      <c r="D290" s="209" t="s">
        <v>5027</v>
      </c>
      <c r="E290" s="209" t="s">
        <v>5028</v>
      </c>
      <c r="F290" s="209" t="s">
        <v>5014</v>
      </c>
      <c r="G290" s="209" t="s">
        <v>5015</v>
      </c>
      <c r="H290" s="209" t="s">
        <v>133</v>
      </c>
      <c r="I290" s="209" t="s">
        <v>133</v>
      </c>
      <c r="J290" s="209" t="s">
        <v>5016</v>
      </c>
      <c r="K290" s="209" t="s">
        <v>5029</v>
      </c>
      <c r="L290" s="209" t="s">
        <v>5030</v>
      </c>
      <c r="M290" s="209" t="s">
        <v>5031</v>
      </c>
      <c r="N290" s="209" t="s">
        <v>5020</v>
      </c>
      <c r="O290" s="209" t="s">
        <v>5032</v>
      </c>
      <c r="P290" s="209" t="s">
        <v>2226</v>
      </c>
      <c r="Q290" s="209" t="s">
        <v>2236</v>
      </c>
      <c r="R290" s="209" t="s">
        <v>2181</v>
      </c>
      <c r="S290" s="209" t="s">
        <v>133</v>
      </c>
      <c r="T290" s="209" t="s">
        <v>133</v>
      </c>
      <c r="U290" s="209" t="s">
        <v>133</v>
      </c>
      <c r="V290" s="209" t="s">
        <v>133</v>
      </c>
      <c r="W290" s="209" t="s">
        <v>133</v>
      </c>
      <c r="X290" s="209" t="s">
        <v>133</v>
      </c>
      <c r="Y290" s="209" t="s">
        <v>133</v>
      </c>
      <c r="Z290" s="209" t="s">
        <v>5022</v>
      </c>
      <c r="AA290" s="209" t="s">
        <v>133</v>
      </c>
      <c r="AB290" s="209" t="s">
        <v>133</v>
      </c>
      <c r="AC290" s="209" t="s">
        <v>133</v>
      </c>
      <c r="AD290" s="209" t="s">
        <v>133</v>
      </c>
      <c r="AE290" s="209" t="s">
        <v>5023</v>
      </c>
    </row>
    <row r="291" spans="1:31" x14ac:dyDescent="0.55000000000000004">
      <c r="A291" s="209" t="s">
        <v>5033</v>
      </c>
      <c r="B291" s="209" t="s">
        <v>5034</v>
      </c>
      <c r="C291" s="209" t="s">
        <v>5035</v>
      </c>
      <c r="D291" s="209" t="s">
        <v>5036</v>
      </c>
      <c r="E291" s="209" t="s">
        <v>5037</v>
      </c>
      <c r="F291" s="209" t="s">
        <v>5038</v>
      </c>
      <c r="G291" s="209" t="s">
        <v>5039</v>
      </c>
      <c r="H291" s="209" t="s">
        <v>133</v>
      </c>
      <c r="I291" s="209" t="s">
        <v>133</v>
      </c>
      <c r="J291" s="209" t="s">
        <v>5040</v>
      </c>
      <c r="K291" s="209" t="s">
        <v>5041</v>
      </c>
      <c r="L291" s="209" t="s">
        <v>5042</v>
      </c>
      <c r="M291" s="209" t="s">
        <v>5043</v>
      </c>
      <c r="N291" s="209" t="s">
        <v>5044</v>
      </c>
      <c r="O291" s="209" t="s">
        <v>5045</v>
      </c>
      <c r="P291" s="209" t="s">
        <v>2236</v>
      </c>
      <c r="Q291" s="209" t="s">
        <v>2250</v>
      </c>
      <c r="R291" s="209" t="s">
        <v>2181</v>
      </c>
      <c r="S291" s="209" t="s">
        <v>133</v>
      </c>
      <c r="T291" s="209" t="s">
        <v>133</v>
      </c>
      <c r="U291" s="209" t="s">
        <v>133</v>
      </c>
      <c r="V291" s="209" t="s">
        <v>133</v>
      </c>
      <c r="W291" s="209" t="s">
        <v>133</v>
      </c>
      <c r="X291" s="209" t="s">
        <v>133</v>
      </c>
      <c r="Y291" s="209" t="s">
        <v>133</v>
      </c>
      <c r="Z291" s="209" t="s">
        <v>5046</v>
      </c>
      <c r="AA291" s="209" t="s">
        <v>133</v>
      </c>
      <c r="AB291" s="209" t="s">
        <v>133</v>
      </c>
      <c r="AC291" s="209" t="s">
        <v>133</v>
      </c>
      <c r="AD291" s="209" t="s">
        <v>133</v>
      </c>
      <c r="AE291" s="209" t="s">
        <v>5047</v>
      </c>
    </row>
    <row r="292" spans="1:31" x14ac:dyDescent="0.55000000000000004">
      <c r="A292" s="209" t="s">
        <v>5048</v>
      </c>
      <c r="B292" s="209" t="s">
        <v>5049</v>
      </c>
      <c r="C292" s="209" t="s">
        <v>5050</v>
      </c>
      <c r="D292" s="209" t="s">
        <v>5051</v>
      </c>
      <c r="E292" s="209" t="s">
        <v>5052</v>
      </c>
      <c r="F292" s="209" t="s">
        <v>5038</v>
      </c>
      <c r="G292" s="209" t="s">
        <v>5039</v>
      </c>
      <c r="H292" s="209" t="s">
        <v>133</v>
      </c>
      <c r="I292" s="209" t="s">
        <v>133</v>
      </c>
      <c r="J292" s="209" t="s">
        <v>5040</v>
      </c>
      <c r="K292" s="209" t="s">
        <v>5053</v>
      </c>
      <c r="L292" s="209" t="s">
        <v>5054</v>
      </c>
      <c r="M292" s="209" t="s">
        <v>5055</v>
      </c>
      <c r="N292" s="209" t="s">
        <v>5044</v>
      </c>
      <c r="O292" s="209" t="s">
        <v>5056</v>
      </c>
      <c r="P292" s="209" t="s">
        <v>2236</v>
      </c>
      <c r="Q292" s="209" t="s">
        <v>2260</v>
      </c>
      <c r="R292" s="209" t="s">
        <v>2181</v>
      </c>
      <c r="S292" s="209" t="s">
        <v>133</v>
      </c>
      <c r="T292" s="209" t="s">
        <v>133</v>
      </c>
      <c r="U292" s="209" t="s">
        <v>133</v>
      </c>
      <c r="V292" s="209" t="s">
        <v>133</v>
      </c>
      <c r="W292" s="209" t="s">
        <v>133</v>
      </c>
      <c r="X292" s="209" t="s">
        <v>133</v>
      </c>
      <c r="Y292" s="209" t="s">
        <v>133</v>
      </c>
      <c r="Z292" s="209" t="s">
        <v>5046</v>
      </c>
      <c r="AA292" s="209" t="s">
        <v>133</v>
      </c>
      <c r="AB292" s="209" t="s">
        <v>133</v>
      </c>
      <c r="AC292" s="209" t="s">
        <v>133</v>
      </c>
      <c r="AD292" s="209" t="s">
        <v>133</v>
      </c>
      <c r="AE292" s="209" t="s">
        <v>5047</v>
      </c>
    </row>
    <row r="293" spans="1:31" x14ac:dyDescent="0.55000000000000004">
      <c r="A293" s="209" t="s">
        <v>5057</v>
      </c>
      <c r="B293" s="209" t="s">
        <v>5058</v>
      </c>
      <c r="C293" s="209" t="s">
        <v>5059</v>
      </c>
      <c r="D293" s="209" t="s">
        <v>5060</v>
      </c>
      <c r="E293" s="209" t="s">
        <v>5061</v>
      </c>
      <c r="F293" s="209" t="s">
        <v>5062</v>
      </c>
      <c r="G293" s="209" t="s">
        <v>5063</v>
      </c>
      <c r="H293" s="209" t="s">
        <v>133</v>
      </c>
      <c r="I293" s="209" t="s">
        <v>133</v>
      </c>
      <c r="J293" s="209" t="s">
        <v>5064</v>
      </c>
      <c r="K293" s="209" t="s">
        <v>5065</v>
      </c>
      <c r="L293" s="209" t="s">
        <v>5066</v>
      </c>
      <c r="M293" s="209" t="s">
        <v>5067</v>
      </c>
      <c r="N293" s="209" t="s">
        <v>5068</v>
      </c>
      <c r="O293" s="209" t="s">
        <v>5069</v>
      </c>
      <c r="P293" s="209" t="s">
        <v>2179</v>
      </c>
      <c r="Q293" s="209" t="s">
        <v>2180</v>
      </c>
      <c r="R293" s="209" t="s">
        <v>2299</v>
      </c>
      <c r="S293" s="209" t="s">
        <v>3238</v>
      </c>
      <c r="T293" s="209" t="s">
        <v>3239</v>
      </c>
      <c r="U293" s="209" t="s">
        <v>3240</v>
      </c>
      <c r="V293" s="209" t="s">
        <v>3241</v>
      </c>
      <c r="W293" s="209" t="s">
        <v>3242</v>
      </c>
      <c r="X293" s="209" t="s">
        <v>3243</v>
      </c>
      <c r="Y293" s="209" t="s">
        <v>5070</v>
      </c>
      <c r="Z293" s="209" t="s">
        <v>5071</v>
      </c>
      <c r="AA293" s="209" t="s">
        <v>5072</v>
      </c>
      <c r="AB293" s="209" t="s">
        <v>5073</v>
      </c>
      <c r="AC293" s="209" t="s">
        <v>5074</v>
      </c>
      <c r="AD293" s="209" t="s">
        <v>5075</v>
      </c>
      <c r="AE293" s="209" t="s">
        <v>5076</v>
      </c>
    </row>
    <row r="294" spans="1:31" x14ac:dyDescent="0.55000000000000004">
      <c r="A294" s="209" t="s">
        <v>5077</v>
      </c>
      <c r="B294" s="209" t="s">
        <v>5078</v>
      </c>
      <c r="C294" s="209" t="s">
        <v>5079</v>
      </c>
      <c r="D294" s="209" t="s">
        <v>5080</v>
      </c>
      <c r="E294" s="209" t="s">
        <v>5081</v>
      </c>
      <c r="F294" s="209" t="s">
        <v>5062</v>
      </c>
      <c r="G294" s="209" t="s">
        <v>5063</v>
      </c>
      <c r="H294" s="209" t="s">
        <v>133</v>
      </c>
      <c r="I294" s="209" t="s">
        <v>133</v>
      </c>
      <c r="J294" s="209" t="s">
        <v>5064</v>
      </c>
      <c r="K294" s="209" t="s">
        <v>5082</v>
      </c>
      <c r="L294" s="209" t="s">
        <v>5083</v>
      </c>
      <c r="M294" s="209" t="s">
        <v>5084</v>
      </c>
      <c r="N294" s="209" t="s">
        <v>5068</v>
      </c>
      <c r="O294" s="209" t="s">
        <v>5085</v>
      </c>
      <c r="P294" s="209" t="s">
        <v>2179</v>
      </c>
      <c r="Q294" s="209" t="s">
        <v>2179</v>
      </c>
      <c r="R294" s="209" t="s">
        <v>2299</v>
      </c>
      <c r="S294" s="209" t="s">
        <v>3258</v>
      </c>
      <c r="T294" s="209" t="s">
        <v>3259</v>
      </c>
      <c r="U294" s="209" t="s">
        <v>3260</v>
      </c>
      <c r="V294" s="209" t="s">
        <v>3261</v>
      </c>
      <c r="W294" s="209" t="s">
        <v>3262</v>
      </c>
      <c r="X294" s="209" t="s">
        <v>3263</v>
      </c>
      <c r="Y294" s="209" t="s">
        <v>5070</v>
      </c>
      <c r="Z294" s="209" t="s">
        <v>5071</v>
      </c>
      <c r="AA294" s="209" t="s">
        <v>5072</v>
      </c>
      <c r="AB294" s="209" t="s">
        <v>5073</v>
      </c>
      <c r="AC294" s="209" t="s">
        <v>5074</v>
      </c>
      <c r="AD294" s="209" t="s">
        <v>5075</v>
      </c>
      <c r="AE294" s="209" t="s">
        <v>5076</v>
      </c>
    </row>
    <row r="295" spans="1:31" x14ac:dyDescent="0.55000000000000004">
      <c r="A295" s="209" t="s">
        <v>5086</v>
      </c>
      <c r="B295" s="209" t="s">
        <v>5087</v>
      </c>
      <c r="C295" s="209" t="s">
        <v>5088</v>
      </c>
      <c r="D295" s="209" t="s">
        <v>5089</v>
      </c>
      <c r="E295" s="209" t="s">
        <v>5090</v>
      </c>
      <c r="F295" s="209" t="s">
        <v>5091</v>
      </c>
      <c r="G295" s="209" t="s">
        <v>5092</v>
      </c>
      <c r="H295" s="209" t="s">
        <v>133</v>
      </c>
      <c r="I295" s="209" t="s">
        <v>133</v>
      </c>
      <c r="J295" s="209" t="s">
        <v>5093</v>
      </c>
      <c r="K295" s="209" t="s">
        <v>5094</v>
      </c>
      <c r="L295" s="209" t="s">
        <v>5095</v>
      </c>
      <c r="M295" s="209" t="s">
        <v>5096</v>
      </c>
      <c r="N295" s="209" t="s">
        <v>5097</v>
      </c>
      <c r="O295" s="209" t="s">
        <v>5098</v>
      </c>
      <c r="P295" s="209" t="s">
        <v>2226</v>
      </c>
      <c r="Q295" s="209" t="s">
        <v>2226</v>
      </c>
      <c r="R295" s="209" t="s">
        <v>2299</v>
      </c>
      <c r="S295" s="209" t="s">
        <v>3277</v>
      </c>
      <c r="T295" s="209" t="s">
        <v>3278</v>
      </c>
      <c r="U295" s="209" t="s">
        <v>3279</v>
      </c>
      <c r="V295" s="209" t="s">
        <v>3280</v>
      </c>
      <c r="W295" s="209" t="s">
        <v>3281</v>
      </c>
      <c r="X295" s="209" t="s">
        <v>3282</v>
      </c>
      <c r="Y295" s="209" t="s">
        <v>5099</v>
      </c>
      <c r="Z295" s="209" t="s">
        <v>5100</v>
      </c>
      <c r="AA295" s="209" t="s">
        <v>5101</v>
      </c>
      <c r="AB295" s="209" t="s">
        <v>5102</v>
      </c>
      <c r="AC295" s="209" t="s">
        <v>5074</v>
      </c>
      <c r="AD295" s="209" t="s">
        <v>5103</v>
      </c>
      <c r="AE295" s="209" t="s">
        <v>5104</v>
      </c>
    </row>
    <row r="296" spans="1:31" x14ac:dyDescent="0.55000000000000004">
      <c r="A296" s="209" t="s">
        <v>5105</v>
      </c>
      <c r="B296" s="209" t="s">
        <v>5106</v>
      </c>
      <c r="C296" s="209" t="s">
        <v>5107</v>
      </c>
      <c r="D296" s="209" t="s">
        <v>5108</v>
      </c>
      <c r="E296" s="209" t="s">
        <v>5109</v>
      </c>
      <c r="F296" s="209" t="s">
        <v>5091</v>
      </c>
      <c r="G296" s="209" t="s">
        <v>5092</v>
      </c>
      <c r="H296" s="209" t="s">
        <v>133</v>
      </c>
      <c r="I296" s="209" t="s">
        <v>133</v>
      </c>
      <c r="J296" s="209" t="s">
        <v>5093</v>
      </c>
      <c r="K296" s="209" t="s">
        <v>5110</v>
      </c>
      <c r="L296" s="209" t="s">
        <v>5111</v>
      </c>
      <c r="M296" s="209" t="s">
        <v>5112</v>
      </c>
      <c r="N296" s="209" t="s">
        <v>5097</v>
      </c>
      <c r="O296" s="209" t="s">
        <v>5113</v>
      </c>
      <c r="P296" s="209" t="s">
        <v>2226</v>
      </c>
      <c r="Q296" s="209" t="s">
        <v>2236</v>
      </c>
      <c r="R296" s="209" t="s">
        <v>2299</v>
      </c>
      <c r="S296" s="209" t="s">
        <v>3296</v>
      </c>
      <c r="T296" s="209" t="s">
        <v>3297</v>
      </c>
      <c r="U296" s="209" t="s">
        <v>3298</v>
      </c>
      <c r="V296" s="209" t="s">
        <v>3299</v>
      </c>
      <c r="W296" s="209" t="s">
        <v>3300</v>
      </c>
      <c r="X296" s="209" t="s">
        <v>3301</v>
      </c>
      <c r="Y296" s="209" t="s">
        <v>5099</v>
      </c>
      <c r="Z296" s="209" t="s">
        <v>5100</v>
      </c>
      <c r="AA296" s="209" t="s">
        <v>5101</v>
      </c>
      <c r="AB296" s="209" t="s">
        <v>5102</v>
      </c>
      <c r="AC296" s="209" t="s">
        <v>5074</v>
      </c>
      <c r="AD296" s="209" t="s">
        <v>5103</v>
      </c>
      <c r="AE296" s="209" t="s">
        <v>5104</v>
      </c>
    </row>
    <row r="297" spans="1:31" x14ac:dyDescent="0.55000000000000004">
      <c r="A297" s="209" t="s">
        <v>5114</v>
      </c>
      <c r="B297" s="209" t="s">
        <v>5115</v>
      </c>
      <c r="C297" s="209" t="s">
        <v>5116</v>
      </c>
      <c r="D297" s="209" t="s">
        <v>5117</v>
      </c>
      <c r="E297" s="209" t="s">
        <v>5118</v>
      </c>
      <c r="F297" s="209" t="s">
        <v>5119</v>
      </c>
      <c r="G297" s="209" t="s">
        <v>5120</v>
      </c>
      <c r="H297" s="209" t="s">
        <v>133</v>
      </c>
      <c r="I297" s="209" t="s">
        <v>133</v>
      </c>
      <c r="J297" s="209" t="s">
        <v>5121</v>
      </c>
      <c r="K297" s="209" t="s">
        <v>5122</v>
      </c>
      <c r="L297" s="209" t="s">
        <v>5123</v>
      </c>
      <c r="M297" s="209" t="s">
        <v>5124</v>
      </c>
      <c r="N297" s="209" t="s">
        <v>5125</v>
      </c>
      <c r="O297" s="209" t="s">
        <v>5126</v>
      </c>
      <c r="P297" s="209" t="s">
        <v>2236</v>
      </c>
      <c r="Q297" s="209" t="s">
        <v>2250</v>
      </c>
      <c r="R297" s="209" t="s">
        <v>2299</v>
      </c>
      <c r="S297" s="209" t="s">
        <v>3315</v>
      </c>
      <c r="T297" s="209" t="s">
        <v>3316</v>
      </c>
      <c r="U297" s="209" t="s">
        <v>3317</v>
      </c>
      <c r="V297" s="209" t="s">
        <v>3318</v>
      </c>
      <c r="W297" s="209" t="s">
        <v>3319</v>
      </c>
      <c r="X297" s="209" t="s">
        <v>3320</v>
      </c>
      <c r="Y297" s="209" t="s">
        <v>5127</v>
      </c>
      <c r="Z297" s="209" t="s">
        <v>5128</v>
      </c>
      <c r="AA297" s="209" t="s">
        <v>5129</v>
      </c>
      <c r="AB297" s="209" t="s">
        <v>5130</v>
      </c>
      <c r="AC297" s="209" t="s">
        <v>5074</v>
      </c>
      <c r="AD297" s="209" t="s">
        <v>5131</v>
      </c>
      <c r="AE297" s="209" t="s">
        <v>5132</v>
      </c>
    </row>
    <row r="298" spans="1:31" x14ac:dyDescent="0.55000000000000004">
      <c r="A298" s="209" t="s">
        <v>5133</v>
      </c>
      <c r="B298" s="209" t="s">
        <v>5134</v>
      </c>
      <c r="C298" s="209" t="s">
        <v>5135</v>
      </c>
      <c r="D298" s="209" t="s">
        <v>5136</v>
      </c>
      <c r="E298" s="209" t="s">
        <v>5137</v>
      </c>
      <c r="F298" s="209" t="s">
        <v>5119</v>
      </c>
      <c r="G298" s="209" t="s">
        <v>5120</v>
      </c>
      <c r="H298" s="209" t="s">
        <v>133</v>
      </c>
      <c r="I298" s="209" t="s">
        <v>133</v>
      </c>
      <c r="J298" s="209" t="s">
        <v>5121</v>
      </c>
      <c r="K298" s="209" t="s">
        <v>5138</v>
      </c>
      <c r="L298" s="209" t="s">
        <v>5139</v>
      </c>
      <c r="M298" s="209" t="s">
        <v>5140</v>
      </c>
      <c r="N298" s="209" t="s">
        <v>5125</v>
      </c>
      <c r="O298" s="209" t="s">
        <v>5141</v>
      </c>
      <c r="P298" s="209" t="s">
        <v>2236</v>
      </c>
      <c r="Q298" s="209" t="s">
        <v>2260</v>
      </c>
      <c r="R298" s="209" t="s">
        <v>2299</v>
      </c>
      <c r="S298" s="209" t="s">
        <v>3334</v>
      </c>
      <c r="T298" s="209" t="s">
        <v>3335</v>
      </c>
      <c r="U298" s="209" t="s">
        <v>3336</v>
      </c>
      <c r="V298" s="209" t="s">
        <v>3337</v>
      </c>
      <c r="W298" s="209" t="s">
        <v>3338</v>
      </c>
      <c r="X298" s="209" t="s">
        <v>3339</v>
      </c>
      <c r="Y298" s="209" t="s">
        <v>5127</v>
      </c>
      <c r="Z298" s="209" t="s">
        <v>5128</v>
      </c>
      <c r="AA298" s="209" t="s">
        <v>5129</v>
      </c>
      <c r="AB298" s="209" t="s">
        <v>5130</v>
      </c>
      <c r="AC298" s="209" t="s">
        <v>5074</v>
      </c>
      <c r="AD298" s="209" t="s">
        <v>5131</v>
      </c>
      <c r="AE298" s="209" t="s">
        <v>5132</v>
      </c>
    </row>
    <row r="299" spans="1:31" x14ac:dyDescent="0.55000000000000004">
      <c r="A299" s="209" t="s">
        <v>5142</v>
      </c>
      <c r="B299" s="209" t="s">
        <v>5143</v>
      </c>
      <c r="C299" s="209" t="s">
        <v>5144</v>
      </c>
      <c r="D299" s="209" t="s">
        <v>5145</v>
      </c>
      <c r="E299" s="209" t="s">
        <v>5146</v>
      </c>
      <c r="F299" s="209" t="s">
        <v>5147</v>
      </c>
      <c r="G299" s="209" t="s">
        <v>5148</v>
      </c>
      <c r="H299" s="209" t="s">
        <v>133</v>
      </c>
      <c r="I299" s="209" t="s">
        <v>133</v>
      </c>
      <c r="J299" s="209" t="s">
        <v>5149</v>
      </c>
      <c r="K299" s="209" t="s">
        <v>5150</v>
      </c>
      <c r="L299" s="209" t="s">
        <v>5151</v>
      </c>
      <c r="M299" s="209" t="s">
        <v>5152</v>
      </c>
      <c r="N299" s="209" t="s">
        <v>5153</v>
      </c>
      <c r="O299" s="209" t="s">
        <v>5154</v>
      </c>
      <c r="P299" s="209" t="s">
        <v>2250</v>
      </c>
      <c r="Q299" s="209" t="s">
        <v>2274</v>
      </c>
      <c r="R299" s="209" t="s">
        <v>2299</v>
      </c>
      <c r="S299" s="209" t="s">
        <v>3238</v>
      </c>
      <c r="T299" s="209" t="s">
        <v>3239</v>
      </c>
      <c r="U299" s="209" t="s">
        <v>3240</v>
      </c>
      <c r="V299" s="209" t="s">
        <v>3241</v>
      </c>
      <c r="W299" s="209" t="s">
        <v>3242</v>
      </c>
      <c r="X299" s="209" t="s">
        <v>3243</v>
      </c>
      <c r="Y299" s="209" t="s">
        <v>5155</v>
      </c>
      <c r="Z299" s="209" t="s">
        <v>5156</v>
      </c>
      <c r="AA299" s="209" t="s">
        <v>5157</v>
      </c>
      <c r="AB299" s="209" t="s">
        <v>5158</v>
      </c>
      <c r="AC299" s="209" t="s">
        <v>5074</v>
      </c>
      <c r="AD299" s="209" t="s">
        <v>5159</v>
      </c>
      <c r="AE299" s="209" t="s">
        <v>5160</v>
      </c>
    </row>
    <row r="300" spans="1:31" x14ac:dyDescent="0.55000000000000004">
      <c r="A300" s="209" t="s">
        <v>5161</v>
      </c>
      <c r="B300" s="209" t="s">
        <v>5162</v>
      </c>
      <c r="C300" s="209" t="s">
        <v>5163</v>
      </c>
      <c r="D300" s="209" t="s">
        <v>5164</v>
      </c>
      <c r="E300" s="209" t="s">
        <v>5165</v>
      </c>
      <c r="F300" s="209" t="s">
        <v>5147</v>
      </c>
      <c r="G300" s="209" t="s">
        <v>5148</v>
      </c>
      <c r="H300" s="209" t="s">
        <v>133</v>
      </c>
      <c r="I300" s="209" t="s">
        <v>133</v>
      </c>
      <c r="J300" s="209" t="s">
        <v>5149</v>
      </c>
      <c r="K300" s="209" t="s">
        <v>5166</v>
      </c>
      <c r="L300" s="209" t="s">
        <v>5167</v>
      </c>
      <c r="M300" s="209" t="s">
        <v>5168</v>
      </c>
      <c r="N300" s="209" t="s">
        <v>5153</v>
      </c>
      <c r="O300" s="209" t="s">
        <v>5169</v>
      </c>
      <c r="P300" s="209" t="s">
        <v>2250</v>
      </c>
      <c r="Q300" s="209" t="s">
        <v>2284</v>
      </c>
      <c r="R300" s="209" t="s">
        <v>2299</v>
      </c>
      <c r="S300" s="209" t="s">
        <v>3258</v>
      </c>
      <c r="T300" s="209" t="s">
        <v>3259</v>
      </c>
      <c r="U300" s="209" t="s">
        <v>3260</v>
      </c>
      <c r="V300" s="209" t="s">
        <v>3261</v>
      </c>
      <c r="W300" s="209" t="s">
        <v>3262</v>
      </c>
      <c r="X300" s="209" t="s">
        <v>3263</v>
      </c>
      <c r="Y300" s="209" t="s">
        <v>5155</v>
      </c>
      <c r="Z300" s="209" t="s">
        <v>5156</v>
      </c>
      <c r="AA300" s="209" t="s">
        <v>5157</v>
      </c>
      <c r="AB300" s="209" t="s">
        <v>5158</v>
      </c>
      <c r="AC300" s="209" t="s">
        <v>5074</v>
      </c>
      <c r="AD300" s="209" t="s">
        <v>5159</v>
      </c>
      <c r="AE300" s="209" t="s">
        <v>5160</v>
      </c>
    </row>
    <row r="301" spans="1:31" x14ac:dyDescent="0.55000000000000004">
      <c r="A301" s="209" t="s">
        <v>5170</v>
      </c>
      <c r="B301" s="209" t="s">
        <v>5171</v>
      </c>
      <c r="C301" s="209" t="s">
        <v>5172</v>
      </c>
      <c r="D301" s="209" t="s">
        <v>5173</v>
      </c>
      <c r="E301" s="209" t="s">
        <v>5174</v>
      </c>
      <c r="F301" s="209" t="s">
        <v>5175</v>
      </c>
      <c r="G301" s="209" t="s">
        <v>5176</v>
      </c>
      <c r="H301" s="209" t="s">
        <v>133</v>
      </c>
      <c r="I301" s="209" t="s">
        <v>133</v>
      </c>
      <c r="J301" s="209" t="s">
        <v>5177</v>
      </c>
      <c r="K301" s="209" t="s">
        <v>5178</v>
      </c>
      <c r="L301" s="209" t="s">
        <v>5179</v>
      </c>
      <c r="M301" s="209" t="s">
        <v>5180</v>
      </c>
      <c r="N301" s="209" t="s">
        <v>5181</v>
      </c>
      <c r="O301" s="209" t="s">
        <v>5182</v>
      </c>
      <c r="P301" s="209" t="s">
        <v>2260</v>
      </c>
      <c r="Q301" s="209" t="s">
        <v>2298</v>
      </c>
      <c r="R301" s="209" t="s">
        <v>2299</v>
      </c>
      <c r="S301" s="209" t="s">
        <v>3277</v>
      </c>
      <c r="T301" s="209" t="s">
        <v>3278</v>
      </c>
      <c r="U301" s="209" t="s">
        <v>3279</v>
      </c>
      <c r="V301" s="209" t="s">
        <v>3280</v>
      </c>
      <c r="W301" s="209" t="s">
        <v>3281</v>
      </c>
      <c r="X301" s="209" t="s">
        <v>3282</v>
      </c>
      <c r="Y301" s="209" t="s">
        <v>5183</v>
      </c>
      <c r="Z301" s="209" t="s">
        <v>5184</v>
      </c>
      <c r="AA301" s="209" t="s">
        <v>5185</v>
      </c>
      <c r="AB301" s="209" t="s">
        <v>5186</v>
      </c>
      <c r="AC301" s="209" t="s">
        <v>5074</v>
      </c>
      <c r="AD301" s="209" t="s">
        <v>5187</v>
      </c>
      <c r="AE301" s="209" t="s">
        <v>5188</v>
      </c>
    </row>
    <row r="302" spans="1:31" x14ac:dyDescent="0.55000000000000004">
      <c r="A302" s="209" t="s">
        <v>5189</v>
      </c>
      <c r="B302" s="209" t="s">
        <v>5190</v>
      </c>
      <c r="C302" s="209" t="s">
        <v>5191</v>
      </c>
      <c r="D302" s="209" t="s">
        <v>5192</v>
      </c>
      <c r="E302" s="209" t="s">
        <v>5193</v>
      </c>
      <c r="F302" s="209" t="s">
        <v>5175</v>
      </c>
      <c r="G302" s="209" t="s">
        <v>5176</v>
      </c>
      <c r="H302" s="209" t="s">
        <v>133</v>
      </c>
      <c r="I302" s="209" t="s">
        <v>133</v>
      </c>
      <c r="J302" s="209" t="s">
        <v>5177</v>
      </c>
      <c r="K302" s="209" t="s">
        <v>5194</v>
      </c>
      <c r="L302" s="209" t="s">
        <v>5195</v>
      </c>
      <c r="M302" s="209" t="s">
        <v>5196</v>
      </c>
      <c r="N302" s="209" t="s">
        <v>5181</v>
      </c>
      <c r="O302" s="209" t="s">
        <v>5197</v>
      </c>
      <c r="P302" s="209" t="s">
        <v>2260</v>
      </c>
      <c r="Q302" s="209" t="s">
        <v>2309</v>
      </c>
      <c r="R302" s="209" t="s">
        <v>2299</v>
      </c>
      <c r="S302" s="209" t="s">
        <v>3296</v>
      </c>
      <c r="T302" s="209" t="s">
        <v>3297</v>
      </c>
      <c r="U302" s="209" t="s">
        <v>3298</v>
      </c>
      <c r="V302" s="209" t="s">
        <v>3299</v>
      </c>
      <c r="W302" s="209" t="s">
        <v>3300</v>
      </c>
      <c r="X302" s="209" t="s">
        <v>3301</v>
      </c>
      <c r="Y302" s="209" t="s">
        <v>5183</v>
      </c>
      <c r="Z302" s="209" t="s">
        <v>5184</v>
      </c>
      <c r="AA302" s="209" t="s">
        <v>5185</v>
      </c>
      <c r="AB302" s="209" t="s">
        <v>5186</v>
      </c>
      <c r="AC302" s="209" t="s">
        <v>5074</v>
      </c>
      <c r="AD302" s="209" t="s">
        <v>5187</v>
      </c>
      <c r="AE302" s="209" t="s">
        <v>5188</v>
      </c>
    </row>
    <row r="303" spans="1:31" x14ac:dyDescent="0.55000000000000004">
      <c r="A303" s="209" t="s">
        <v>5198</v>
      </c>
      <c r="B303" s="209" t="s">
        <v>5199</v>
      </c>
      <c r="C303" s="209" t="s">
        <v>5200</v>
      </c>
      <c r="D303" s="209" t="s">
        <v>5201</v>
      </c>
      <c r="E303" s="209" t="s">
        <v>5202</v>
      </c>
      <c r="F303" s="209" t="s">
        <v>5203</v>
      </c>
      <c r="G303" s="209" t="s">
        <v>5204</v>
      </c>
      <c r="H303" s="209" t="s">
        <v>133</v>
      </c>
      <c r="I303" s="209" t="s">
        <v>133</v>
      </c>
      <c r="J303" s="209" t="s">
        <v>5205</v>
      </c>
      <c r="K303" s="209" t="s">
        <v>5206</v>
      </c>
      <c r="L303" s="209" t="s">
        <v>5207</v>
      </c>
      <c r="M303" s="209" t="s">
        <v>5208</v>
      </c>
      <c r="N303" s="209" t="s">
        <v>5209</v>
      </c>
      <c r="O303" s="209" t="s">
        <v>5210</v>
      </c>
      <c r="P303" s="209" t="s">
        <v>2274</v>
      </c>
      <c r="Q303" s="209" t="s">
        <v>2323</v>
      </c>
      <c r="R303" s="209" t="s">
        <v>2299</v>
      </c>
      <c r="S303" s="209" t="s">
        <v>3315</v>
      </c>
      <c r="T303" s="209" t="s">
        <v>3316</v>
      </c>
      <c r="U303" s="209" t="s">
        <v>3317</v>
      </c>
      <c r="V303" s="209" t="s">
        <v>3318</v>
      </c>
      <c r="W303" s="209" t="s">
        <v>3319</v>
      </c>
      <c r="X303" s="209" t="s">
        <v>3320</v>
      </c>
      <c r="Y303" s="209" t="s">
        <v>5211</v>
      </c>
      <c r="Z303" s="209" t="s">
        <v>5212</v>
      </c>
      <c r="AA303" s="209" t="s">
        <v>5213</v>
      </c>
      <c r="AB303" s="209" t="s">
        <v>5214</v>
      </c>
      <c r="AC303" s="209" t="s">
        <v>5074</v>
      </c>
      <c r="AD303" s="209" t="s">
        <v>5215</v>
      </c>
      <c r="AE303" s="209" t="s">
        <v>5216</v>
      </c>
    </row>
    <row r="304" spans="1:31" x14ac:dyDescent="0.55000000000000004">
      <c r="A304" s="209" t="s">
        <v>5217</v>
      </c>
      <c r="B304" s="209" t="s">
        <v>5218</v>
      </c>
      <c r="C304" s="209" t="s">
        <v>5219</v>
      </c>
      <c r="D304" s="209" t="s">
        <v>5220</v>
      </c>
      <c r="E304" s="209" t="s">
        <v>5221</v>
      </c>
      <c r="F304" s="209" t="s">
        <v>5203</v>
      </c>
      <c r="G304" s="209" t="s">
        <v>5204</v>
      </c>
      <c r="H304" s="209" t="s">
        <v>133</v>
      </c>
      <c r="I304" s="209" t="s">
        <v>133</v>
      </c>
      <c r="J304" s="209" t="s">
        <v>5205</v>
      </c>
      <c r="K304" s="209" t="s">
        <v>5222</v>
      </c>
      <c r="L304" s="209" t="s">
        <v>5223</v>
      </c>
      <c r="M304" s="209" t="s">
        <v>5224</v>
      </c>
      <c r="N304" s="209" t="s">
        <v>5209</v>
      </c>
      <c r="O304" s="209" t="s">
        <v>5225</v>
      </c>
      <c r="P304" s="209" t="s">
        <v>2274</v>
      </c>
      <c r="Q304" s="209" t="s">
        <v>2333</v>
      </c>
      <c r="R304" s="209" t="s">
        <v>2299</v>
      </c>
      <c r="S304" s="209" t="s">
        <v>3334</v>
      </c>
      <c r="T304" s="209" t="s">
        <v>3335</v>
      </c>
      <c r="U304" s="209" t="s">
        <v>3336</v>
      </c>
      <c r="V304" s="209" t="s">
        <v>3337</v>
      </c>
      <c r="W304" s="209" t="s">
        <v>3338</v>
      </c>
      <c r="X304" s="209" t="s">
        <v>3339</v>
      </c>
      <c r="Y304" s="209" t="s">
        <v>5211</v>
      </c>
      <c r="Z304" s="209" t="s">
        <v>5212</v>
      </c>
      <c r="AA304" s="209" t="s">
        <v>5213</v>
      </c>
      <c r="AB304" s="209" t="s">
        <v>5214</v>
      </c>
      <c r="AC304" s="209" t="s">
        <v>5074</v>
      </c>
      <c r="AD304" s="209" t="s">
        <v>5215</v>
      </c>
      <c r="AE304" s="209" t="s">
        <v>5216</v>
      </c>
    </row>
    <row r="305" spans="1:31" x14ac:dyDescent="0.55000000000000004">
      <c r="A305" s="209" t="s">
        <v>5226</v>
      </c>
      <c r="B305" s="209" t="s">
        <v>5227</v>
      </c>
      <c r="C305" s="209" t="s">
        <v>5228</v>
      </c>
      <c r="D305" s="209" t="s">
        <v>5229</v>
      </c>
      <c r="E305" s="209" t="s">
        <v>5230</v>
      </c>
      <c r="F305" s="209" t="s">
        <v>5231</v>
      </c>
      <c r="G305" s="209" t="s">
        <v>5232</v>
      </c>
      <c r="H305" s="209" t="s">
        <v>133</v>
      </c>
      <c r="I305" s="209" t="s">
        <v>133</v>
      </c>
      <c r="J305" s="209" t="s">
        <v>5233</v>
      </c>
      <c r="K305" s="209" t="s">
        <v>5234</v>
      </c>
      <c r="L305" s="209" t="s">
        <v>5235</v>
      </c>
      <c r="M305" s="209" t="s">
        <v>5236</v>
      </c>
      <c r="N305" s="209" t="s">
        <v>5237</v>
      </c>
      <c r="O305" s="209" t="s">
        <v>5238</v>
      </c>
      <c r="P305" s="209" t="s">
        <v>2179</v>
      </c>
      <c r="Q305" s="209" t="s">
        <v>2180</v>
      </c>
      <c r="R305" s="209" t="s">
        <v>2299</v>
      </c>
      <c r="S305" s="209" t="s">
        <v>3238</v>
      </c>
      <c r="T305" s="209" t="s">
        <v>3239</v>
      </c>
      <c r="U305" s="209" t="s">
        <v>3240</v>
      </c>
      <c r="V305" s="209" t="s">
        <v>3241</v>
      </c>
      <c r="W305" s="209" t="s">
        <v>3242</v>
      </c>
      <c r="X305" s="209" t="s">
        <v>3243</v>
      </c>
      <c r="Y305" s="209" t="s">
        <v>5239</v>
      </c>
      <c r="Z305" s="209" t="s">
        <v>5240</v>
      </c>
      <c r="AA305" s="209" t="s">
        <v>5241</v>
      </c>
      <c r="AB305" s="209" t="s">
        <v>5242</v>
      </c>
      <c r="AC305" s="209" t="s">
        <v>5243</v>
      </c>
      <c r="AD305" s="209" t="s">
        <v>5244</v>
      </c>
      <c r="AE305" s="209" t="s">
        <v>5245</v>
      </c>
    </row>
    <row r="306" spans="1:31" x14ac:dyDescent="0.55000000000000004">
      <c r="A306" s="209" t="s">
        <v>5246</v>
      </c>
      <c r="B306" s="209" t="s">
        <v>5247</v>
      </c>
      <c r="C306" s="209" t="s">
        <v>5248</v>
      </c>
      <c r="D306" s="209" t="s">
        <v>5249</v>
      </c>
      <c r="E306" s="209" t="s">
        <v>5250</v>
      </c>
      <c r="F306" s="209" t="s">
        <v>5231</v>
      </c>
      <c r="G306" s="209" t="s">
        <v>5232</v>
      </c>
      <c r="H306" s="209" t="s">
        <v>133</v>
      </c>
      <c r="I306" s="209" t="s">
        <v>133</v>
      </c>
      <c r="J306" s="209" t="s">
        <v>5233</v>
      </c>
      <c r="K306" s="209" t="s">
        <v>5251</v>
      </c>
      <c r="L306" s="209" t="s">
        <v>5252</v>
      </c>
      <c r="M306" s="209" t="s">
        <v>5253</v>
      </c>
      <c r="N306" s="209" t="s">
        <v>5237</v>
      </c>
      <c r="O306" s="209" t="s">
        <v>5254</v>
      </c>
      <c r="P306" s="209" t="s">
        <v>2179</v>
      </c>
      <c r="Q306" s="209" t="s">
        <v>2179</v>
      </c>
      <c r="R306" s="209" t="s">
        <v>2299</v>
      </c>
      <c r="S306" s="209" t="s">
        <v>3258</v>
      </c>
      <c r="T306" s="209" t="s">
        <v>3259</v>
      </c>
      <c r="U306" s="209" t="s">
        <v>3260</v>
      </c>
      <c r="V306" s="209" t="s">
        <v>3261</v>
      </c>
      <c r="W306" s="209" t="s">
        <v>3262</v>
      </c>
      <c r="X306" s="209" t="s">
        <v>3263</v>
      </c>
      <c r="Y306" s="209" t="s">
        <v>5239</v>
      </c>
      <c r="Z306" s="209" t="s">
        <v>5240</v>
      </c>
      <c r="AA306" s="209" t="s">
        <v>5241</v>
      </c>
      <c r="AB306" s="209" t="s">
        <v>5242</v>
      </c>
      <c r="AC306" s="209" t="s">
        <v>5243</v>
      </c>
      <c r="AD306" s="209" t="s">
        <v>5244</v>
      </c>
      <c r="AE306" s="209" t="s">
        <v>5245</v>
      </c>
    </row>
    <row r="307" spans="1:31" x14ac:dyDescent="0.55000000000000004">
      <c r="A307" s="209" t="s">
        <v>5255</v>
      </c>
      <c r="B307" s="209" t="s">
        <v>5256</v>
      </c>
      <c r="C307" s="209" t="s">
        <v>5257</v>
      </c>
      <c r="D307" s="209" t="s">
        <v>5258</v>
      </c>
      <c r="E307" s="209" t="s">
        <v>5259</v>
      </c>
      <c r="F307" s="209" t="s">
        <v>5260</v>
      </c>
      <c r="G307" s="209" t="s">
        <v>5261</v>
      </c>
      <c r="H307" s="209" t="s">
        <v>133</v>
      </c>
      <c r="I307" s="209" t="s">
        <v>133</v>
      </c>
      <c r="J307" s="209" t="s">
        <v>5262</v>
      </c>
      <c r="K307" s="209" t="s">
        <v>5263</v>
      </c>
      <c r="L307" s="209" t="s">
        <v>5264</v>
      </c>
      <c r="M307" s="209" t="s">
        <v>5265</v>
      </c>
      <c r="N307" s="209" t="s">
        <v>5266</v>
      </c>
      <c r="O307" s="209" t="s">
        <v>5267</v>
      </c>
      <c r="P307" s="209" t="s">
        <v>2226</v>
      </c>
      <c r="Q307" s="209" t="s">
        <v>2226</v>
      </c>
      <c r="R307" s="209" t="s">
        <v>2299</v>
      </c>
      <c r="S307" s="209" t="s">
        <v>3277</v>
      </c>
      <c r="T307" s="209" t="s">
        <v>3278</v>
      </c>
      <c r="U307" s="209" t="s">
        <v>3279</v>
      </c>
      <c r="V307" s="209" t="s">
        <v>3280</v>
      </c>
      <c r="W307" s="209" t="s">
        <v>3281</v>
      </c>
      <c r="X307" s="209" t="s">
        <v>3282</v>
      </c>
      <c r="Y307" s="209" t="s">
        <v>5268</v>
      </c>
      <c r="Z307" s="209" t="s">
        <v>5269</v>
      </c>
      <c r="AA307" s="209" t="s">
        <v>5270</v>
      </c>
      <c r="AB307" s="209" t="s">
        <v>5271</v>
      </c>
      <c r="AC307" s="209" t="s">
        <v>5243</v>
      </c>
      <c r="AD307" s="209" t="s">
        <v>5272</v>
      </c>
      <c r="AE307" s="209" t="s">
        <v>5273</v>
      </c>
    </row>
    <row r="308" spans="1:31" x14ac:dyDescent="0.55000000000000004">
      <c r="A308" s="209" t="s">
        <v>5274</v>
      </c>
      <c r="B308" s="209" t="s">
        <v>5275</v>
      </c>
      <c r="C308" s="209" t="s">
        <v>5276</v>
      </c>
      <c r="D308" s="209" t="s">
        <v>5277</v>
      </c>
      <c r="E308" s="209" t="s">
        <v>5278</v>
      </c>
      <c r="F308" s="209" t="s">
        <v>5260</v>
      </c>
      <c r="G308" s="209" t="s">
        <v>5261</v>
      </c>
      <c r="H308" s="209" t="s">
        <v>133</v>
      </c>
      <c r="I308" s="209" t="s">
        <v>133</v>
      </c>
      <c r="J308" s="209" t="s">
        <v>5262</v>
      </c>
      <c r="K308" s="209" t="s">
        <v>5279</v>
      </c>
      <c r="L308" s="209" t="s">
        <v>5280</v>
      </c>
      <c r="M308" s="209" t="s">
        <v>5281</v>
      </c>
      <c r="N308" s="209" t="s">
        <v>5266</v>
      </c>
      <c r="O308" s="209" t="s">
        <v>5282</v>
      </c>
      <c r="P308" s="209" t="s">
        <v>2226</v>
      </c>
      <c r="Q308" s="209" t="s">
        <v>2236</v>
      </c>
      <c r="R308" s="209" t="s">
        <v>2299</v>
      </c>
      <c r="S308" s="209" t="s">
        <v>3296</v>
      </c>
      <c r="T308" s="209" t="s">
        <v>3297</v>
      </c>
      <c r="U308" s="209" t="s">
        <v>3298</v>
      </c>
      <c r="V308" s="209" t="s">
        <v>3299</v>
      </c>
      <c r="W308" s="209" t="s">
        <v>3300</v>
      </c>
      <c r="X308" s="209" t="s">
        <v>3301</v>
      </c>
      <c r="Y308" s="209" t="s">
        <v>5268</v>
      </c>
      <c r="Z308" s="209" t="s">
        <v>5269</v>
      </c>
      <c r="AA308" s="209" t="s">
        <v>5270</v>
      </c>
      <c r="AB308" s="209" t="s">
        <v>5271</v>
      </c>
      <c r="AC308" s="209" t="s">
        <v>5243</v>
      </c>
      <c r="AD308" s="209" t="s">
        <v>5272</v>
      </c>
      <c r="AE308" s="209" t="s">
        <v>5273</v>
      </c>
    </row>
    <row r="309" spans="1:31" x14ac:dyDescent="0.55000000000000004">
      <c r="A309" s="209" t="s">
        <v>5283</v>
      </c>
      <c r="B309" s="209" t="s">
        <v>5284</v>
      </c>
      <c r="C309" s="209" t="s">
        <v>5285</v>
      </c>
      <c r="D309" s="209" t="s">
        <v>5286</v>
      </c>
      <c r="E309" s="209" t="s">
        <v>5287</v>
      </c>
      <c r="F309" s="209" t="s">
        <v>5288</v>
      </c>
      <c r="G309" s="209" t="s">
        <v>5289</v>
      </c>
      <c r="H309" s="209" t="s">
        <v>133</v>
      </c>
      <c r="I309" s="209" t="s">
        <v>133</v>
      </c>
      <c r="J309" s="209" t="s">
        <v>5290</v>
      </c>
      <c r="K309" s="209" t="s">
        <v>5291</v>
      </c>
      <c r="L309" s="209" t="s">
        <v>5292</v>
      </c>
      <c r="M309" s="209" t="s">
        <v>5293</v>
      </c>
      <c r="N309" s="209" t="s">
        <v>5294</v>
      </c>
      <c r="O309" s="209" t="s">
        <v>5295</v>
      </c>
      <c r="P309" s="209" t="s">
        <v>2236</v>
      </c>
      <c r="Q309" s="209" t="s">
        <v>2250</v>
      </c>
      <c r="R309" s="209" t="s">
        <v>2299</v>
      </c>
      <c r="S309" s="209" t="s">
        <v>3315</v>
      </c>
      <c r="T309" s="209" t="s">
        <v>3316</v>
      </c>
      <c r="U309" s="209" t="s">
        <v>3317</v>
      </c>
      <c r="V309" s="209" t="s">
        <v>3318</v>
      </c>
      <c r="W309" s="209" t="s">
        <v>3319</v>
      </c>
      <c r="X309" s="209" t="s">
        <v>3320</v>
      </c>
      <c r="Y309" s="209" t="s">
        <v>5296</v>
      </c>
      <c r="Z309" s="209" t="s">
        <v>5297</v>
      </c>
      <c r="AA309" s="209" t="s">
        <v>5298</v>
      </c>
      <c r="AB309" s="209" t="s">
        <v>5299</v>
      </c>
      <c r="AC309" s="209" t="s">
        <v>5243</v>
      </c>
      <c r="AD309" s="209" t="s">
        <v>5300</v>
      </c>
      <c r="AE309" s="209" t="s">
        <v>5301</v>
      </c>
    </row>
    <row r="310" spans="1:31" x14ac:dyDescent="0.55000000000000004">
      <c r="A310" s="209" t="s">
        <v>5302</v>
      </c>
      <c r="B310" s="209" t="s">
        <v>5303</v>
      </c>
      <c r="C310" s="209" t="s">
        <v>5304</v>
      </c>
      <c r="D310" s="209" t="s">
        <v>5305</v>
      </c>
      <c r="E310" s="209" t="s">
        <v>5306</v>
      </c>
      <c r="F310" s="209" t="s">
        <v>5288</v>
      </c>
      <c r="G310" s="209" t="s">
        <v>5289</v>
      </c>
      <c r="H310" s="209" t="s">
        <v>133</v>
      </c>
      <c r="I310" s="209" t="s">
        <v>133</v>
      </c>
      <c r="J310" s="209" t="s">
        <v>5290</v>
      </c>
      <c r="K310" s="209" t="s">
        <v>5307</v>
      </c>
      <c r="L310" s="209" t="s">
        <v>5308</v>
      </c>
      <c r="M310" s="209" t="s">
        <v>5309</v>
      </c>
      <c r="N310" s="209" t="s">
        <v>5294</v>
      </c>
      <c r="O310" s="209" t="s">
        <v>5310</v>
      </c>
      <c r="P310" s="209" t="s">
        <v>2236</v>
      </c>
      <c r="Q310" s="209" t="s">
        <v>2260</v>
      </c>
      <c r="R310" s="209" t="s">
        <v>2299</v>
      </c>
      <c r="S310" s="209" t="s">
        <v>3334</v>
      </c>
      <c r="T310" s="209" t="s">
        <v>3335</v>
      </c>
      <c r="U310" s="209" t="s">
        <v>3336</v>
      </c>
      <c r="V310" s="209" t="s">
        <v>3337</v>
      </c>
      <c r="W310" s="209" t="s">
        <v>3338</v>
      </c>
      <c r="X310" s="209" t="s">
        <v>3339</v>
      </c>
      <c r="Y310" s="209" t="s">
        <v>5296</v>
      </c>
      <c r="Z310" s="209" t="s">
        <v>5297</v>
      </c>
      <c r="AA310" s="209" t="s">
        <v>5298</v>
      </c>
      <c r="AB310" s="209" t="s">
        <v>5299</v>
      </c>
      <c r="AC310" s="209" t="s">
        <v>5243</v>
      </c>
      <c r="AD310" s="209" t="s">
        <v>5300</v>
      </c>
      <c r="AE310" s="209" t="s">
        <v>5301</v>
      </c>
    </row>
    <row r="311" spans="1:31" x14ac:dyDescent="0.55000000000000004">
      <c r="A311" s="209" t="s">
        <v>5311</v>
      </c>
      <c r="B311" s="209" t="s">
        <v>5312</v>
      </c>
      <c r="C311" s="209" t="s">
        <v>5313</v>
      </c>
      <c r="D311" s="209" t="s">
        <v>5314</v>
      </c>
      <c r="E311" s="209" t="s">
        <v>5315</v>
      </c>
      <c r="F311" s="209" t="s">
        <v>5316</v>
      </c>
      <c r="G311" s="209" t="s">
        <v>5317</v>
      </c>
      <c r="H311" s="209" t="s">
        <v>133</v>
      </c>
      <c r="I311" s="209" t="s">
        <v>133</v>
      </c>
      <c r="J311" s="209" t="s">
        <v>5318</v>
      </c>
      <c r="K311" s="209" t="s">
        <v>5319</v>
      </c>
      <c r="L311" s="209" t="s">
        <v>5320</v>
      </c>
      <c r="M311" s="209" t="s">
        <v>5321</v>
      </c>
      <c r="N311" s="209" t="s">
        <v>5322</v>
      </c>
      <c r="O311" s="209" t="s">
        <v>5323</v>
      </c>
      <c r="P311" s="209" t="s">
        <v>2250</v>
      </c>
      <c r="Q311" s="209" t="s">
        <v>2274</v>
      </c>
      <c r="R311" s="209" t="s">
        <v>2299</v>
      </c>
      <c r="S311" s="209" t="s">
        <v>3238</v>
      </c>
      <c r="T311" s="209" t="s">
        <v>3239</v>
      </c>
      <c r="U311" s="209" t="s">
        <v>3240</v>
      </c>
      <c r="V311" s="209" t="s">
        <v>3241</v>
      </c>
      <c r="W311" s="209" t="s">
        <v>3242</v>
      </c>
      <c r="X311" s="209" t="s">
        <v>3243</v>
      </c>
      <c r="Y311" s="209" t="s">
        <v>5324</v>
      </c>
      <c r="Z311" s="209" t="s">
        <v>5325</v>
      </c>
      <c r="AA311" s="209" t="s">
        <v>5326</v>
      </c>
      <c r="AB311" s="209" t="s">
        <v>5327</v>
      </c>
      <c r="AC311" s="209" t="s">
        <v>5243</v>
      </c>
      <c r="AD311" s="209" t="s">
        <v>5328</v>
      </c>
      <c r="AE311" s="209" t="s">
        <v>5329</v>
      </c>
    </row>
    <row r="312" spans="1:31" x14ac:dyDescent="0.55000000000000004">
      <c r="A312" s="209" t="s">
        <v>5330</v>
      </c>
      <c r="B312" s="209" t="s">
        <v>5331</v>
      </c>
      <c r="C312" s="209" t="s">
        <v>5332</v>
      </c>
      <c r="D312" s="209" t="s">
        <v>5333</v>
      </c>
      <c r="E312" s="209" t="s">
        <v>5334</v>
      </c>
      <c r="F312" s="209" t="s">
        <v>5316</v>
      </c>
      <c r="G312" s="209" t="s">
        <v>5317</v>
      </c>
      <c r="H312" s="209" t="s">
        <v>133</v>
      </c>
      <c r="I312" s="209" t="s">
        <v>133</v>
      </c>
      <c r="J312" s="209" t="s">
        <v>5318</v>
      </c>
      <c r="K312" s="209" t="s">
        <v>5335</v>
      </c>
      <c r="L312" s="209" t="s">
        <v>5336</v>
      </c>
      <c r="M312" s="209" t="s">
        <v>5337</v>
      </c>
      <c r="N312" s="209" t="s">
        <v>5322</v>
      </c>
      <c r="O312" s="209" t="s">
        <v>5338</v>
      </c>
      <c r="P312" s="209" t="s">
        <v>2250</v>
      </c>
      <c r="Q312" s="209" t="s">
        <v>2284</v>
      </c>
      <c r="R312" s="209" t="s">
        <v>2299</v>
      </c>
      <c r="S312" s="209" t="s">
        <v>3258</v>
      </c>
      <c r="T312" s="209" t="s">
        <v>3259</v>
      </c>
      <c r="U312" s="209" t="s">
        <v>3260</v>
      </c>
      <c r="V312" s="209" t="s">
        <v>3261</v>
      </c>
      <c r="W312" s="209" t="s">
        <v>3262</v>
      </c>
      <c r="X312" s="209" t="s">
        <v>3263</v>
      </c>
      <c r="Y312" s="209" t="s">
        <v>5324</v>
      </c>
      <c r="Z312" s="209" t="s">
        <v>5325</v>
      </c>
      <c r="AA312" s="209" t="s">
        <v>5326</v>
      </c>
      <c r="AB312" s="209" t="s">
        <v>5327</v>
      </c>
      <c r="AC312" s="209" t="s">
        <v>5243</v>
      </c>
      <c r="AD312" s="209" t="s">
        <v>5328</v>
      </c>
      <c r="AE312" s="209" t="s">
        <v>5329</v>
      </c>
    </row>
    <row r="313" spans="1:31" x14ac:dyDescent="0.55000000000000004">
      <c r="A313" s="209" t="s">
        <v>5339</v>
      </c>
      <c r="B313" s="209" t="s">
        <v>5340</v>
      </c>
      <c r="C313" s="209" t="s">
        <v>5341</v>
      </c>
      <c r="D313" s="209" t="s">
        <v>5342</v>
      </c>
      <c r="E313" s="209" t="s">
        <v>5343</v>
      </c>
      <c r="F313" s="209" t="s">
        <v>5344</v>
      </c>
      <c r="G313" s="209" t="s">
        <v>5345</v>
      </c>
      <c r="H313" s="209" t="s">
        <v>133</v>
      </c>
      <c r="I313" s="209" t="s">
        <v>133</v>
      </c>
      <c r="J313" s="209" t="s">
        <v>5346</v>
      </c>
      <c r="K313" s="209" t="s">
        <v>5347</v>
      </c>
      <c r="L313" s="209" t="s">
        <v>5348</v>
      </c>
      <c r="M313" s="209" t="s">
        <v>5349</v>
      </c>
      <c r="N313" s="209" t="s">
        <v>5350</v>
      </c>
      <c r="O313" s="209" t="s">
        <v>5351</v>
      </c>
      <c r="P313" s="209" t="s">
        <v>2260</v>
      </c>
      <c r="Q313" s="209" t="s">
        <v>2298</v>
      </c>
      <c r="R313" s="209" t="s">
        <v>2299</v>
      </c>
      <c r="S313" s="209" t="s">
        <v>3277</v>
      </c>
      <c r="T313" s="209" t="s">
        <v>3278</v>
      </c>
      <c r="U313" s="209" t="s">
        <v>3279</v>
      </c>
      <c r="V313" s="209" t="s">
        <v>3280</v>
      </c>
      <c r="W313" s="209" t="s">
        <v>3281</v>
      </c>
      <c r="X313" s="209" t="s">
        <v>3282</v>
      </c>
      <c r="Y313" s="209" t="s">
        <v>5352</v>
      </c>
      <c r="Z313" s="209" t="s">
        <v>5353</v>
      </c>
      <c r="AA313" s="209" t="s">
        <v>5354</v>
      </c>
      <c r="AB313" s="209" t="s">
        <v>5355</v>
      </c>
      <c r="AC313" s="209" t="s">
        <v>5243</v>
      </c>
      <c r="AD313" s="209" t="s">
        <v>5356</v>
      </c>
      <c r="AE313" s="209" t="s">
        <v>5357</v>
      </c>
    </row>
    <row r="314" spans="1:31" x14ac:dyDescent="0.55000000000000004">
      <c r="A314" s="209" t="s">
        <v>5358</v>
      </c>
      <c r="B314" s="209" t="s">
        <v>5359</v>
      </c>
      <c r="C314" s="209" t="s">
        <v>5360</v>
      </c>
      <c r="D314" s="209" t="s">
        <v>5361</v>
      </c>
      <c r="E314" s="209" t="s">
        <v>5362</v>
      </c>
      <c r="F314" s="209" t="s">
        <v>5344</v>
      </c>
      <c r="G314" s="209" t="s">
        <v>5345</v>
      </c>
      <c r="H314" s="209" t="s">
        <v>133</v>
      </c>
      <c r="I314" s="209" t="s">
        <v>133</v>
      </c>
      <c r="J314" s="209" t="s">
        <v>5346</v>
      </c>
      <c r="K314" s="209" t="s">
        <v>5363</v>
      </c>
      <c r="L314" s="209" t="s">
        <v>5364</v>
      </c>
      <c r="M314" s="209" t="s">
        <v>5365</v>
      </c>
      <c r="N314" s="209" t="s">
        <v>5350</v>
      </c>
      <c r="O314" s="209" t="s">
        <v>5366</v>
      </c>
      <c r="P314" s="209" t="s">
        <v>2260</v>
      </c>
      <c r="Q314" s="209" t="s">
        <v>2309</v>
      </c>
      <c r="R314" s="209" t="s">
        <v>2299</v>
      </c>
      <c r="S314" s="209" t="s">
        <v>3296</v>
      </c>
      <c r="T314" s="209" t="s">
        <v>3297</v>
      </c>
      <c r="U314" s="209" t="s">
        <v>3298</v>
      </c>
      <c r="V314" s="209" t="s">
        <v>3299</v>
      </c>
      <c r="W314" s="209" t="s">
        <v>3300</v>
      </c>
      <c r="X314" s="209" t="s">
        <v>3301</v>
      </c>
      <c r="Y314" s="209" t="s">
        <v>5352</v>
      </c>
      <c r="Z314" s="209" t="s">
        <v>5353</v>
      </c>
      <c r="AA314" s="209" t="s">
        <v>5354</v>
      </c>
      <c r="AB314" s="209" t="s">
        <v>5355</v>
      </c>
      <c r="AC314" s="209" t="s">
        <v>5243</v>
      </c>
      <c r="AD314" s="209" t="s">
        <v>5356</v>
      </c>
      <c r="AE314" s="209" t="s">
        <v>5357</v>
      </c>
    </row>
    <row r="315" spans="1:31" x14ac:dyDescent="0.55000000000000004">
      <c r="A315" s="209" t="s">
        <v>5367</v>
      </c>
      <c r="B315" s="209" t="s">
        <v>5368</v>
      </c>
      <c r="C315" s="209" t="s">
        <v>5369</v>
      </c>
      <c r="D315" s="209" t="s">
        <v>5370</v>
      </c>
      <c r="E315" s="209" t="s">
        <v>5371</v>
      </c>
      <c r="F315" s="209" t="s">
        <v>5372</v>
      </c>
      <c r="G315" s="209" t="s">
        <v>5373</v>
      </c>
      <c r="H315" s="209" t="s">
        <v>133</v>
      </c>
      <c r="I315" s="209" t="s">
        <v>133</v>
      </c>
      <c r="J315" s="209" t="s">
        <v>5374</v>
      </c>
      <c r="K315" s="209" t="s">
        <v>5375</v>
      </c>
      <c r="L315" s="209" t="s">
        <v>5376</v>
      </c>
      <c r="M315" s="209" t="s">
        <v>5377</v>
      </c>
      <c r="N315" s="209" t="s">
        <v>5378</v>
      </c>
      <c r="O315" s="209" t="s">
        <v>5379</v>
      </c>
      <c r="P315" s="209" t="s">
        <v>2274</v>
      </c>
      <c r="Q315" s="209" t="s">
        <v>2323</v>
      </c>
      <c r="R315" s="209" t="s">
        <v>2299</v>
      </c>
      <c r="S315" s="209" t="s">
        <v>3315</v>
      </c>
      <c r="T315" s="209" t="s">
        <v>3316</v>
      </c>
      <c r="U315" s="209" t="s">
        <v>3317</v>
      </c>
      <c r="V315" s="209" t="s">
        <v>3318</v>
      </c>
      <c r="W315" s="209" t="s">
        <v>3319</v>
      </c>
      <c r="X315" s="209" t="s">
        <v>3320</v>
      </c>
      <c r="Y315" s="209" t="s">
        <v>5380</v>
      </c>
      <c r="Z315" s="209" t="s">
        <v>5381</v>
      </c>
      <c r="AA315" s="209" t="s">
        <v>5382</v>
      </c>
      <c r="AB315" s="209" t="s">
        <v>5383</v>
      </c>
      <c r="AC315" s="209" t="s">
        <v>5243</v>
      </c>
      <c r="AD315" s="209" t="s">
        <v>5384</v>
      </c>
      <c r="AE315" s="209" t="s">
        <v>5385</v>
      </c>
    </row>
    <row r="316" spans="1:31" x14ac:dyDescent="0.55000000000000004">
      <c r="A316" s="209" t="s">
        <v>5386</v>
      </c>
      <c r="B316" s="209" t="s">
        <v>5387</v>
      </c>
      <c r="C316" s="209" t="s">
        <v>5388</v>
      </c>
      <c r="D316" s="209" t="s">
        <v>5389</v>
      </c>
      <c r="E316" s="209" t="s">
        <v>5390</v>
      </c>
      <c r="F316" s="209" t="s">
        <v>5372</v>
      </c>
      <c r="G316" s="209" t="s">
        <v>5373</v>
      </c>
      <c r="H316" s="209" t="s">
        <v>133</v>
      </c>
      <c r="I316" s="209" t="s">
        <v>133</v>
      </c>
      <c r="J316" s="209" t="s">
        <v>5374</v>
      </c>
      <c r="K316" s="209" t="s">
        <v>5391</v>
      </c>
      <c r="L316" s="209" t="s">
        <v>5392</v>
      </c>
      <c r="M316" s="209" t="s">
        <v>5393</v>
      </c>
      <c r="N316" s="209" t="s">
        <v>5378</v>
      </c>
      <c r="O316" s="209" t="s">
        <v>5394</v>
      </c>
      <c r="P316" s="209" t="s">
        <v>2274</v>
      </c>
      <c r="Q316" s="209" t="s">
        <v>2333</v>
      </c>
      <c r="R316" s="209" t="s">
        <v>2299</v>
      </c>
      <c r="S316" s="209" t="s">
        <v>3334</v>
      </c>
      <c r="T316" s="209" t="s">
        <v>3335</v>
      </c>
      <c r="U316" s="209" t="s">
        <v>3336</v>
      </c>
      <c r="V316" s="209" t="s">
        <v>3337</v>
      </c>
      <c r="W316" s="209" t="s">
        <v>3338</v>
      </c>
      <c r="X316" s="209" t="s">
        <v>3339</v>
      </c>
      <c r="Y316" s="209" t="s">
        <v>5380</v>
      </c>
      <c r="Z316" s="209" t="s">
        <v>5381</v>
      </c>
      <c r="AA316" s="209" t="s">
        <v>5382</v>
      </c>
      <c r="AB316" s="209" t="s">
        <v>5383</v>
      </c>
      <c r="AC316" s="209" t="s">
        <v>5243</v>
      </c>
      <c r="AD316" s="209" t="s">
        <v>5384</v>
      </c>
      <c r="AE316" s="209" t="s">
        <v>5385</v>
      </c>
    </row>
    <row r="317" spans="1:31" x14ac:dyDescent="0.55000000000000004">
      <c r="A317" s="209" t="s">
        <v>5395</v>
      </c>
      <c r="B317" s="209" t="s">
        <v>5396</v>
      </c>
      <c r="C317" s="209" t="s">
        <v>5397</v>
      </c>
      <c r="D317" s="209" t="s">
        <v>5398</v>
      </c>
      <c r="E317" s="209" t="s">
        <v>5399</v>
      </c>
      <c r="F317" s="209" t="s">
        <v>5400</v>
      </c>
      <c r="G317" s="209" t="s">
        <v>5401</v>
      </c>
      <c r="H317" s="209" t="s">
        <v>133</v>
      </c>
      <c r="I317" s="209" t="s">
        <v>133</v>
      </c>
      <c r="J317" s="209" t="s">
        <v>5402</v>
      </c>
      <c r="K317" s="209" t="s">
        <v>5403</v>
      </c>
      <c r="L317" s="209" t="s">
        <v>5404</v>
      </c>
      <c r="M317" s="209" t="s">
        <v>5405</v>
      </c>
      <c r="N317" s="209" t="s">
        <v>5406</v>
      </c>
      <c r="O317" s="209" t="s">
        <v>5407</v>
      </c>
      <c r="P317" s="209" t="s">
        <v>2179</v>
      </c>
      <c r="Q317" s="209" t="s">
        <v>2180</v>
      </c>
      <c r="R317" s="209" t="s">
        <v>2299</v>
      </c>
      <c r="S317" s="209" t="s">
        <v>3238</v>
      </c>
      <c r="T317" s="209" t="s">
        <v>3239</v>
      </c>
      <c r="U317" s="209" t="s">
        <v>3240</v>
      </c>
      <c r="V317" s="209" t="s">
        <v>3241</v>
      </c>
      <c r="W317" s="209" t="s">
        <v>3242</v>
      </c>
      <c r="X317" s="209" t="s">
        <v>3243</v>
      </c>
      <c r="Y317" s="209" t="s">
        <v>5408</v>
      </c>
      <c r="Z317" s="209" t="s">
        <v>5409</v>
      </c>
      <c r="AA317" s="209" t="s">
        <v>5410</v>
      </c>
      <c r="AB317" s="209" t="s">
        <v>5411</v>
      </c>
      <c r="AC317" s="209" t="s">
        <v>5243</v>
      </c>
      <c r="AD317" s="209" t="s">
        <v>5412</v>
      </c>
      <c r="AE317" s="209" t="s">
        <v>5413</v>
      </c>
    </row>
    <row r="318" spans="1:31" x14ac:dyDescent="0.55000000000000004">
      <c r="A318" s="209" t="s">
        <v>5414</v>
      </c>
      <c r="B318" s="209" t="s">
        <v>5415</v>
      </c>
      <c r="C318" s="209" t="s">
        <v>5416</v>
      </c>
      <c r="D318" s="209" t="s">
        <v>5417</v>
      </c>
      <c r="E318" s="209" t="s">
        <v>5418</v>
      </c>
      <c r="F318" s="209" t="s">
        <v>5400</v>
      </c>
      <c r="G318" s="209" t="s">
        <v>5401</v>
      </c>
      <c r="H318" s="209" t="s">
        <v>133</v>
      </c>
      <c r="I318" s="209" t="s">
        <v>133</v>
      </c>
      <c r="J318" s="209" t="s">
        <v>5402</v>
      </c>
      <c r="K318" s="209" t="s">
        <v>5419</v>
      </c>
      <c r="L318" s="209" t="s">
        <v>5420</v>
      </c>
      <c r="M318" s="209" t="s">
        <v>5421</v>
      </c>
      <c r="N318" s="209" t="s">
        <v>5406</v>
      </c>
      <c r="O318" s="209" t="s">
        <v>5422</v>
      </c>
      <c r="P318" s="209" t="s">
        <v>2179</v>
      </c>
      <c r="Q318" s="209" t="s">
        <v>2179</v>
      </c>
      <c r="R318" s="209" t="s">
        <v>2299</v>
      </c>
      <c r="S318" s="209" t="s">
        <v>3258</v>
      </c>
      <c r="T318" s="209" t="s">
        <v>3259</v>
      </c>
      <c r="U318" s="209" t="s">
        <v>3260</v>
      </c>
      <c r="V318" s="209" t="s">
        <v>3261</v>
      </c>
      <c r="W318" s="209" t="s">
        <v>3262</v>
      </c>
      <c r="X318" s="209" t="s">
        <v>3263</v>
      </c>
      <c r="Y318" s="209" t="s">
        <v>5408</v>
      </c>
      <c r="Z318" s="209" t="s">
        <v>5409</v>
      </c>
      <c r="AA318" s="209" t="s">
        <v>5410</v>
      </c>
      <c r="AB318" s="209" t="s">
        <v>5411</v>
      </c>
      <c r="AC318" s="209" t="s">
        <v>5243</v>
      </c>
      <c r="AD318" s="209" t="s">
        <v>5412</v>
      </c>
      <c r="AE318" s="209" t="s">
        <v>5413</v>
      </c>
    </row>
    <row r="319" spans="1:31" x14ac:dyDescent="0.55000000000000004">
      <c r="A319" s="209" t="s">
        <v>5423</v>
      </c>
      <c r="B319" s="209" t="s">
        <v>4866</v>
      </c>
      <c r="C319" s="209" t="s">
        <v>4867</v>
      </c>
      <c r="D319" s="209" t="s">
        <v>4868</v>
      </c>
      <c r="E319" s="209" t="s">
        <v>4869</v>
      </c>
      <c r="F319" s="209" t="s">
        <v>5424</v>
      </c>
      <c r="G319" s="209" t="s">
        <v>5425</v>
      </c>
      <c r="H319" s="209" t="s">
        <v>5426</v>
      </c>
      <c r="I319" s="209" t="s">
        <v>5427</v>
      </c>
      <c r="J319" s="209" t="s">
        <v>5428</v>
      </c>
      <c r="K319" s="209" t="s">
        <v>5429</v>
      </c>
      <c r="L319" s="209" t="s">
        <v>5430</v>
      </c>
      <c r="M319" s="209" t="s">
        <v>5431</v>
      </c>
      <c r="N319" s="209" t="s">
        <v>5432</v>
      </c>
      <c r="O319" s="209" t="s">
        <v>4877</v>
      </c>
      <c r="P319" s="209" t="s">
        <v>2179</v>
      </c>
      <c r="Q319" s="209" t="s">
        <v>2180</v>
      </c>
      <c r="R319" s="209" t="s">
        <v>2373</v>
      </c>
      <c r="S319" s="209" t="s">
        <v>133</v>
      </c>
      <c r="T319" s="209" t="s">
        <v>133</v>
      </c>
      <c r="U319" s="209" t="s">
        <v>133</v>
      </c>
      <c r="V319" s="209" t="s">
        <v>133</v>
      </c>
      <c r="W319" s="209" t="s">
        <v>133</v>
      </c>
      <c r="X319" s="209" t="s">
        <v>133</v>
      </c>
      <c r="Y319" s="209" t="s">
        <v>133</v>
      </c>
      <c r="Z319" s="209" t="s">
        <v>133</v>
      </c>
      <c r="AA319" s="209" t="s">
        <v>133</v>
      </c>
      <c r="AB319" s="209" t="s">
        <v>133</v>
      </c>
      <c r="AC319" s="209" t="s">
        <v>133</v>
      </c>
      <c r="AD319" s="209" t="s">
        <v>133</v>
      </c>
      <c r="AE319" s="209" t="s">
        <v>4635</v>
      </c>
    </row>
    <row r="320" spans="1:31" x14ac:dyDescent="0.55000000000000004">
      <c r="A320" s="209" t="s">
        <v>5433</v>
      </c>
      <c r="B320" s="209" t="s">
        <v>4881</v>
      </c>
      <c r="C320" s="209" t="s">
        <v>4882</v>
      </c>
      <c r="D320" s="209" t="s">
        <v>4883</v>
      </c>
      <c r="E320" s="209" t="s">
        <v>4884</v>
      </c>
      <c r="F320" s="209" t="s">
        <v>5424</v>
      </c>
      <c r="G320" s="209" t="s">
        <v>5425</v>
      </c>
      <c r="H320" s="209" t="s">
        <v>5434</v>
      </c>
      <c r="I320" s="209" t="s">
        <v>5435</v>
      </c>
      <c r="J320" s="209" t="s">
        <v>5428</v>
      </c>
      <c r="K320" s="209" t="s">
        <v>5436</v>
      </c>
      <c r="L320" s="209" t="s">
        <v>5437</v>
      </c>
      <c r="M320" s="209" t="s">
        <v>5438</v>
      </c>
      <c r="N320" s="209" t="s">
        <v>5432</v>
      </c>
      <c r="O320" s="209" t="s">
        <v>4888</v>
      </c>
      <c r="P320" s="209" t="s">
        <v>2179</v>
      </c>
      <c r="Q320" s="209" t="s">
        <v>2179</v>
      </c>
      <c r="R320" s="209" t="s">
        <v>2373</v>
      </c>
      <c r="S320" s="209" t="s">
        <v>133</v>
      </c>
      <c r="T320" s="209" t="s">
        <v>133</v>
      </c>
      <c r="U320" s="209" t="s">
        <v>133</v>
      </c>
      <c r="V320" s="209" t="s">
        <v>133</v>
      </c>
      <c r="W320" s="209" t="s">
        <v>133</v>
      </c>
      <c r="X320" s="209" t="s">
        <v>133</v>
      </c>
      <c r="Y320" s="209" t="s">
        <v>133</v>
      </c>
      <c r="Z320" s="209" t="s">
        <v>133</v>
      </c>
      <c r="AA320" s="209" t="s">
        <v>133</v>
      </c>
      <c r="AB320" s="209" t="s">
        <v>133</v>
      </c>
      <c r="AC320" s="209" t="s">
        <v>133</v>
      </c>
      <c r="AD320" s="209" t="s">
        <v>133</v>
      </c>
      <c r="AE320" s="209" t="s">
        <v>4635</v>
      </c>
    </row>
    <row r="321" spans="1:31" x14ac:dyDescent="0.55000000000000004">
      <c r="A321" s="209" t="s">
        <v>5439</v>
      </c>
      <c r="B321" s="209" t="s">
        <v>4890</v>
      </c>
      <c r="C321" s="209" t="s">
        <v>4891</v>
      </c>
      <c r="D321" s="209" t="s">
        <v>4892</v>
      </c>
      <c r="E321" s="209" t="s">
        <v>4893</v>
      </c>
      <c r="F321" s="209" t="s">
        <v>5440</v>
      </c>
      <c r="G321" s="209" t="s">
        <v>5441</v>
      </c>
      <c r="H321" s="209" t="s">
        <v>5442</v>
      </c>
      <c r="I321" s="209" t="s">
        <v>5443</v>
      </c>
      <c r="J321" s="209" t="s">
        <v>5444</v>
      </c>
      <c r="K321" s="209" t="s">
        <v>5445</v>
      </c>
      <c r="L321" s="209" t="s">
        <v>5446</v>
      </c>
      <c r="M321" s="209" t="s">
        <v>5447</v>
      </c>
      <c r="N321" s="209" t="s">
        <v>5448</v>
      </c>
      <c r="O321" s="209" t="s">
        <v>4901</v>
      </c>
      <c r="P321" s="209" t="s">
        <v>2226</v>
      </c>
      <c r="Q321" s="209" t="s">
        <v>2226</v>
      </c>
      <c r="R321" s="209" t="s">
        <v>2373</v>
      </c>
      <c r="S321" s="209" t="s">
        <v>133</v>
      </c>
      <c r="T321" s="209" t="s">
        <v>133</v>
      </c>
      <c r="U321" s="209" t="s">
        <v>133</v>
      </c>
      <c r="V321" s="209" t="s">
        <v>133</v>
      </c>
      <c r="W321" s="209" t="s">
        <v>133</v>
      </c>
      <c r="X321" s="209" t="s">
        <v>133</v>
      </c>
      <c r="Y321" s="209" t="s">
        <v>133</v>
      </c>
      <c r="Z321" s="209" t="s">
        <v>133</v>
      </c>
      <c r="AA321" s="209" t="s">
        <v>133</v>
      </c>
      <c r="AB321" s="209" t="s">
        <v>133</v>
      </c>
      <c r="AC321" s="209" t="s">
        <v>133</v>
      </c>
      <c r="AD321" s="209" t="s">
        <v>133</v>
      </c>
      <c r="AE321" s="209" t="s">
        <v>4635</v>
      </c>
    </row>
    <row r="322" spans="1:31" x14ac:dyDescent="0.55000000000000004">
      <c r="A322" s="209" t="s">
        <v>5449</v>
      </c>
      <c r="B322" s="209" t="s">
        <v>4905</v>
      </c>
      <c r="C322" s="209" t="s">
        <v>4906</v>
      </c>
      <c r="D322" s="209" t="s">
        <v>4907</v>
      </c>
      <c r="E322" s="209" t="s">
        <v>4908</v>
      </c>
      <c r="F322" s="209" t="s">
        <v>5440</v>
      </c>
      <c r="G322" s="209" t="s">
        <v>5441</v>
      </c>
      <c r="H322" s="209" t="s">
        <v>5450</v>
      </c>
      <c r="I322" s="209" t="s">
        <v>5451</v>
      </c>
      <c r="J322" s="209" t="s">
        <v>5444</v>
      </c>
      <c r="K322" s="209" t="s">
        <v>5452</v>
      </c>
      <c r="L322" s="209" t="s">
        <v>5453</v>
      </c>
      <c r="M322" s="209" t="s">
        <v>5454</v>
      </c>
      <c r="N322" s="209" t="s">
        <v>5448</v>
      </c>
      <c r="O322" s="209" t="s">
        <v>4912</v>
      </c>
      <c r="P322" s="209" t="s">
        <v>2226</v>
      </c>
      <c r="Q322" s="209" t="s">
        <v>2236</v>
      </c>
      <c r="R322" s="209" t="s">
        <v>2373</v>
      </c>
      <c r="S322" s="209" t="s">
        <v>133</v>
      </c>
      <c r="T322" s="209" t="s">
        <v>133</v>
      </c>
      <c r="U322" s="209" t="s">
        <v>133</v>
      </c>
      <c r="V322" s="209" t="s">
        <v>133</v>
      </c>
      <c r="W322" s="209" t="s">
        <v>133</v>
      </c>
      <c r="X322" s="209" t="s">
        <v>133</v>
      </c>
      <c r="Y322" s="209" t="s">
        <v>133</v>
      </c>
      <c r="Z322" s="209" t="s">
        <v>133</v>
      </c>
      <c r="AA322" s="209" t="s">
        <v>133</v>
      </c>
      <c r="AB322" s="209" t="s">
        <v>133</v>
      </c>
      <c r="AC322" s="209" t="s">
        <v>133</v>
      </c>
      <c r="AD322" s="209" t="s">
        <v>133</v>
      </c>
      <c r="AE322" s="209" t="s">
        <v>4635</v>
      </c>
    </row>
    <row r="323" spans="1:31" x14ac:dyDescent="0.55000000000000004">
      <c r="A323" s="209" t="s">
        <v>5455</v>
      </c>
      <c r="B323" s="209" t="s">
        <v>4914</v>
      </c>
      <c r="C323" s="209" t="s">
        <v>4915</v>
      </c>
      <c r="D323" s="209" t="s">
        <v>4916</v>
      </c>
      <c r="E323" s="209" t="s">
        <v>4917</v>
      </c>
      <c r="F323" s="209" t="s">
        <v>5456</v>
      </c>
      <c r="G323" s="209" t="s">
        <v>5457</v>
      </c>
      <c r="H323" s="209" t="s">
        <v>133</v>
      </c>
      <c r="I323" s="209" t="s">
        <v>133</v>
      </c>
      <c r="J323" s="209" t="s">
        <v>5458</v>
      </c>
      <c r="K323" s="209" t="s">
        <v>5459</v>
      </c>
      <c r="L323" s="209" t="s">
        <v>5460</v>
      </c>
      <c r="M323" s="209" t="s">
        <v>5461</v>
      </c>
      <c r="N323" s="209" t="s">
        <v>5462</v>
      </c>
      <c r="O323" s="209" t="s">
        <v>4925</v>
      </c>
      <c r="P323" s="209" t="s">
        <v>2236</v>
      </c>
      <c r="Q323" s="209" t="s">
        <v>2250</v>
      </c>
      <c r="R323" s="209" t="s">
        <v>2373</v>
      </c>
      <c r="S323" s="209" t="s">
        <v>133</v>
      </c>
      <c r="T323" s="209" t="s">
        <v>133</v>
      </c>
      <c r="U323" s="209" t="s">
        <v>133</v>
      </c>
      <c r="V323" s="209" t="s">
        <v>133</v>
      </c>
      <c r="W323" s="209" t="s">
        <v>133</v>
      </c>
      <c r="X323" s="209" t="s">
        <v>133</v>
      </c>
      <c r="Y323" s="209" t="s">
        <v>133</v>
      </c>
      <c r="Z323" s="209" t="s">
        <v>133</v>
      </c>
      <c r="AA323" s="209" t="s">
        <v>133</v>
      </c>
      <c r="AB323" s="209" t="s">
        <v>133</v>
      </c>
      <c r="AC323" s="209" t="s">
        <v>133</v>
      </c>
      <c r="AD323" s="209" t="s">
        <v>133</v>
      </c>
      <c r="AE323" s="209" t="s">
        <v>4666</v>
      </c>
    </row>
    <row r="324" spans="1:31" x14ac:dyDescent="0.55000000000000004">
      <c r="A324" s="209" t="s">
        <v>5463</v>
      </c>
      <c r="B324" s="209" t="s">
        <v>4929</v>
      </c>
      <c r="C324" s="209" t="s">
        <v>4930</v>
      </c>
      <c r="D324" s="209" t="s">
        <v>4931</v>
      </c>
      <c r="E324" s="209" t="s">
        <v>4932</v>
      </c>
      <c r="F324" s="209" t="s">
        <v>5456</v>
      </c>
      <c r="G324" s="209" t="s">
        <v>5457</v>
      </c>
      <c r="H324" s="209" t="s">
        <v>133</v>
      </c>
      <c r="I324" s="209" t="s">
        <v>133</v>
      </c>
      <c r="J324" s="209" t="s">
        <v>5458</v>
      </c>
      <c r="K324" s="209" t="s">
        <v>5464</v>
      </c>
      <c r="L324" s="209" t="s">
        <v>5465</v>
      </c>
      <c r="M324" s="209" t="s">
        <v>5466</v>
      </c>
      <c r="N324" s="209" t="s">
        <v>5462</v>
      </c>
      <c r="O324" s="209" t="s">
        <v>4936</v>
      </c>
      <c r="P324" s="209" t="s">
        <v>2236</v>
      </c>
      <c r="Q324" s="209" t="s">
        <v>2260</v>
      </c>
      <c r="R324" s="209" t="s">
        <v>2373</v>
      </c>
      <c r="S324" s="209" t="s">
        <v>133</v>
      </c>
      <c r="T324" s="209" t="s">
        <v>133</v>
      </c>
      <c r="U324" s="209" t="s">
        <v>133</v>
      </c>
      <c r="V324" s="209" t="s">
        <v>133</v>
      </c>
      <c r="W324" s="209" t="s">
        <v>133</v>
      </c>
      <c r="X324" s="209" t="s">
        <v>133</v>
      </c>
      <c r="Y324" s="209" t="s">
        <v>133</v>
      </c>
      <c r="Z324" s="209" t="s">
        <v>133</v>
      </c>
      <c r="AA324" s="209" t="s">
        <v>133</v>
      </c>
      <c r="AB324" s="209" t="s">
        <v>133</v>
      </c>
      <c r="AC324" s="209" t="s">
        <v>133</v>
      </c>
      <c r="AD324" s="209" t="s">
        <v>133</v>
      </c>
      <c r="AE324" s="209" t="s">
        <v>4666</v>
      </c>
    </row>
    <row r="325" spans="1:31" x14ac:dyDescent="0.55000000000000004">
      <c r="A325" s="209" t="s">
        <v>5467</v>
      </c>
      <c r="B325" s="209" t="s">
        <v>4938</v>
      </c>
      <c r="C325" s="209" t="s">
        <v>4939</v>
      </c>
      <c r="D325" s="209" t="s">
        <v>4940</v>
      </c>
      <c r="E325" s="209" t="s">
        <v>4941</v>
      </c>
      <c r="F325" s="209" t="s">
        <v>5468</v>
      </c>
      <c r="G325" s="209" t="s">
        <v>5469</v>
      </c>
      <c r="H325" s="209" t="s">
        <v>5470</v>
      </c>
      <c r="I325" s="209" t="s">
        <v>5471</v>
      </c>
      <c r="J325" s="209" t="s">
        <v>5472</v>
      </c>
      <c r="K325" s="209" t="s">
        <v>5473</v>
      </c>
      <c r="L325" s="209" t="s">
        <v>5474</v>
      </c>
      <c r="M325" s="209" t="s">
        <v>5475</v>
      </c>
      <c r="N325" s="209" t="s">
        <v>5476</v>
      </c>
      <c r="O325" s="209" t="s">
        <v>4949</v>
      </c>
      <c r="P325" s="209" t="s">
        <v>2250</v>
      </c>
      <c r="Q325" s="209" t="s">
        <v>2274</v>
      </c>
      <c r="R325" s="209" t="s">
        <v>2373</v>
      </c>
      <c r="S325" s="209" t="s">
        <v>133</v>
      </c>
      <c r="T325" s="209" t="s">
        <v>133</v>
      </c>
      <c r="U325" s="209" t="s">
        <v>133</v>
      </c>
      <c r="V325" s="209" t="s">
        <v>133</v>
      </c>
      <c r="W325" s="209" t="s">
        <v>133</v>
      </c>
      <c r="X325" s="209" t="s">
        <v>133</v>
      </c>
      <c r="Y325" s="209" t="s">
        <v>133</v>
      </c>
      <c r="Z325" s="209" t="s">
        <v>133</v>
      </c>
      <c r="AA325" s="209" t="s">
        <v>133</v>
      </c>
      <c r="AB325" s="209" t="s">
        <v>133</v>
      </c>
      <c r="AC325" s="209" t="s">
        <v>133</v>
      </c>
      <c r="AD325" s="209" t="s">
        <v>133</v>
      </c>
      <c r="AE325" s="209" t="s">
        <v>4635</v>
      </c>
    </row>
    <row r="326" spans="1:31" x14ac:dyDescent="0.55000000000000004">
      <c r="A326" s="209" t="s">
        <v>5477</v>
      </c>
      <c r="B326" s="209" t="s">
        <v>4953</v>
      </c>
      <c r="C326" s="209" t="s">
        <v>4954</v>
      </c>
      <c r="D326" s="209" t="s">
        <v>4955</v>
      </c>
      <c r="E326" s="209" t="s">
        <v>4956</v>
      </c>
      <c r="F326" s="209" t="s">
        <v>5468</v>
      </c>
      <c r="G326" s="209" t="s">
        <v>5469</v>
      </c>
      <c r="H326" s="209" t="s">
        <v>5478</v>
      </c>
      <c r="I326" s="209" t="s">
        <v>5479</v>
      </c>
      <c r="J326" s="209" t="s">
        <v>5472</v>
      </c>
      <c r="K326" s="209" t="s">
        <v>5480</v>
      </c>
      <c r="L326" s="209" t="s">
        <v>5481</v>
      </c>
      <c r="M326" s="209" t="s">
        <v>5482</v>
      </c>
      <c r="N326" s="209" t="s">
        <v>5476</v>
      </c>
      <c r="O326" s="209" t="s">
        <v>4960</v>
      </c>
      <c r="P326" s="209" t="s">
        <v>2250</v>
      </c>
      <c r="Q326" s="209" t="s">
        <v>2284</v>
      </c>
      <c r="R326" s="209" t="s">
        <v>2373</v>
      </c>
      <c r="S326" s="209" t="s">
        <v>133</v>
      </c>
      <c r="T326" s="209" t="s">
        <v>133</v>
      </c>
      <c r="U326" s="209" t="s">
        <v>133</v>
      </c>
      <c r="V326" s="209" t="s">
        <v>133</v>
      </c>
      <c r="W326" s="209" t="s">
        <v>133</v>
      </c>
      <c r="X326" s="209" t="s">
        <v>133</v>
      </c>
      <c r="Y326" s="209" t="s">
        <v>133</v>
      </c>
      <c r="Z326" s="209" t="s">
        <v>133</v>
      </c>
      <c r="AA326" s="209" t="s">
        <v>133</v>
      </c>
      <c r="AB326" s="209" t="s">
        <v>133</v>
      </c>
      <c r="AC326" s="209" t="s">
        <v>133</v>
      </c>
      <c r="AD326" s="209" t="s">
        <v>133</v>
      </c>
      <c r="AE326" s="209" t="s">
        <v>4635</v>
      </c>
    </row>
    <row r="327" spans="1:31" x14ac:dyDescent="0.55000000000000004">
      <c r="A327" s="209" t="s">
        <v>5483</v>
      </c>
      <c r="B327" s="209" t="s">
        <v>4866</v>
      </c>
      <c r="C327" s="209" t="s">
        <v>4867</v>
      </c>
      <c r="D327" s="209" t="s">
        <v>4868</v>
      </c>
      <c r="E327" s="209" t="s">
        <v>4869</v>
      </c>
      <c r="F327" s="209" t="s">
        <v>5484</v>
      </c>
      <c r="G327" s="209" t="s">
        <v>5485</v>
      </c>
      <c r="H327" s="209" t="s">
        <v>5486</v>
      </c>
      <c r="I327" s="209" t="s">
        <v>5487</v>
      </c>
      <c r="J327" s="209" t="s">
        <v>5488</v>
      </c>
      <c r="K327" s="209" t="s">
        <v>5489</v>
      </c>
      <c r="L327" s="209" t="s">
        <v>5490</v>
      </c>
      <c r="M327" s="209" t="s">
        <v>5491</v>
      </c>
      <c r="N327" s="209" t="s">
        <v>5492</v>
      </c>
      <c r="O327" s="209" t="s">
        <v>4877</v>
      </c>
      <c r="P327" s="209" t="s">
        <v>2179</v>
      </c>
      <c r="Q327" s="209" t="s">
        <v>2180</v>
      </c>
      <c r="R327" s="209" t="s">
        <v>2373</v>
      </c>
      <c r="S327" s="209" t="s">
        <v>133</v>
      </c>
      <c r="T327" s="209" t="s">
        <v>133</v>
      </c>
      <c r="U327" s="209" t="s">
        <v>133</v>
      </c>
      <c r="V327" s="209" t="s">
        <v>133</v>
      </c>
      <c r="W327" s="209" t="s">
        <v>133</v>
      </c>
      <c r="X327" s="209" t="s">
        <v>133</v>
      </c>
      <c r="Y327" s="209" t="s">
        <v>133</v>
      </c>
      <c r="Z327" s="209" t="s">
        <v>133</v>
      </c>
      <c r="AA327" s="209" t="s">
        <v>133</v>
      </c>
      <c r="AB327" s="209" t="s">
        <v>133</v>
      </c>
      <c r="AC327" s="209" t="s">
        <v>133</v>
      </c>
      <c r="AD327" s="209" t="s">
        <v>133</v>
      </c>
      <c r="AE327" s="209" t="s">
        <v>4564</v>
      </c>
    </row>
    <row r="328" spans="1:31" x14ac:dyDescent="0.55000000000000004">
      <c r="A328" s="209" t="s">
        <v>5493</v>
      </c>
      <c r="B328" s="209" t="s">
        <v>4881</v>
      </c>
      <c r="C328" s="209" t="s">
        <v>4882</v>
      </c>
      <c r="D328" s="209" t="s">
        <v>4883</v>
      </c>
      <c r="E328" s="209" t="s">
        <v>4884</v>
      </c>
      <c r="F328" s="209" t="s">
        <v>5484</v>
      </c>
      <c r="G328" s="209" t="s">
        <v>5485</v>
      </c>
      <c r="H328" s="209" t="s">
        <v>5494</v>
      </c>
      <c r="I328" s="209" t="s">
        <v>5495</v>
      </c>
      <c r="J328" s="209" t="s">
        <v>5488</v>
      </c>
      <c r="K328" s="209" t="s">
        <v>5496</v>
      </c>
      <c r="L328" s="209" t="s">
        <v>5497</v>
      </c>
      <c r="M328" s="209" t="s">
        <v>5498</v>
      </c>
      <c r="N328" s="209" t="s">
        <v>5492</v>
      </c>
      <c r="O328" s="209" t="s">
        <v>4888</v>
      </c>
      <c r="P328" s="209" t="s">
        <v>2179</v>
      </c>
      <c r="Q328" s="209" t="s">
        <v>2179</v>
      </c>
      <c r="R328" s="209" t="s">
        <v>2373</v>
      </c>
      <c r="S328" s="209" t="s">
        <v>133</v>
      </c>
      <c r="T328" s="209" t="s">
        <v>133</v>
      </c>
      <c r="U328" s="209" t="s">
        <v>133</v>
      </c>
      <c r="V328" s="209" t="s">
        <v>133</v>
      </c>
      <c r="W328" s="209" t="s">
        <v>133</v>
      </c>
      <c r="X328" s="209" t="s">
        <v>133</v>
      </c>
      <c r="Y328" s="209" t="s">
        <v>133</v>
      </c>
      <c r="Z328" s="209" t="s">
        <v>133</v>
      </c>
      <c r="AA328" s="209" t="s">
        <v>133</v>
      </c>
      <c r="AB328" s="209" t="s">
        <v>133</v>
      </c>
      <c r="AC328" s="209" t="s">
        <v>133</v>
      </c>
      <c r="AD328" s="209" t="s">
        <v>133</v>
      </c>
      <c r="AE328" s="209" t="s">
        <v>4564</v>
      </c>
    </row>
    <row r="329" spans="1:31" x14ac:dyDescent="0.55000000000000004">
      <c r="A329" s="209" t="s">
        <v>5499</v>
      </c>
      <c r="B329" s="209" t="s">
        <v>4890</v>
      </c>
      <c r="C329" s="209" t="s">
        <v>4891</v>
      </c>
      <c r="D329" s="209" t="s">
        <v>4892</v>
      </c>
      <c r="E329" s="209" t="s">
        <v>4893</v>
      </c>
      <c r="F329" s="209" t="s">
        <v>5500</v>
      </c>
      <c r="G329" s="209" t="s">
        <v>5501</v>
      </c>
      <c r="H329" s="209" t="s">
        <v>5502</v>
      </c>
      <c r="I329" s="209" t="s">
        <v>5503</v>
      </c>
      <c r="J329" s="209" t="s">
        <v>5504</v>
      </c>
      <c r="K329" s="209" t="s">
        <v>5505</v>
      </c>
      <c r="L329" s="209" t="s">
        <v>5506</v>
      </c>
      <c r="M329" s="209" t="s">
        <v>5507</v>
      </c>
      <c r="N329" s="209" t="s">
        <v>5508</v>
      </c>
      <c r="O329" s="209" t="s">
        <v>4901</v>
      </c>
      <c r="P329" s="209" t="s">
        <v>2226</v>
      </c>
      <c r="Q329" s="209" t="s">
        <v>2226</v>
      </c>
      <c r="R329" s="209" t="s">
        <v>2373</v>
      </c>
      <c r="S329" s="209" t="s">
        <v>133</v>
      </c>
      <c r="T329" s="209" t="s">
        <v>133</v>
      </c>
      <c r="U329" s="209" t="s">
        <v>133</v>
      </c>
      <c r="V329" s="209" t="s">
        <v>133</v>
      </c>
      <c r="W329" s="209" t="s">
        <v>133</v>
      </c>
      <c r="X329" s="209" t="s">
        <v>133</v>
      </c>
      <c r="Y329" s="209" t="s">
        <v>133</v>
      </c>
      <c r="Z329" s="209" t="s">
        <v>133</v>
      </c>
      <c r="AA329" s="209" t="s">
        <v>133</v>
      </c>
      <c r="AB329" s="209" t="s">
        <v>133</v>
      </c>
      <c r="AC329" s="209" t="s">
        <v>133</v>
      </c>
      <c r="AD329" s="209" t="s">
        <v>133</v>
      </c>
      <c r="AE329" s="209" t="s">
        <v>4564</v>
      </c>
    </row>
    <row r="330" spans="1:31" x14ac:dyDescent="0.55000000000000004">
      <c r="A330" s="209" t="s">
        <v>5509</v>
      </c>
      <c r="B330" s="209" t="s">
        <v>4905</v>
      </c>
      <c r="C330" s="209" t="s">
        <v>4906</v>
      </c>
      <c r="D330" s="209" t="s">
        <v>4907</v>
      </c>
      <c r="E330" s="209" t="s">
        <v>4908</v>
      </c>
      <c r="F330" s="209" t="s">
        <v>5500</v>
      </c>
      <c r="G330" s="209" t="s">
        <v>5501</v>
      </c>
      <c r="H330" s="209" t="s">
        <v>5510</v>
      </c>
      <c r="I330" s="209" t="s">
        <v>5511</v>
      </c>
      <c r="J330" s="209" t="s">
        <v>5504</v>
      </c>
      <c r="K330" s="209" t="s">
        <v>5512</v>
      </c>
      <c r="L330" s="209" t="s">
        <v>5513</v>
      </c>
      <c r="M330" s="209" t="s">
        <v>5514</v>
      </c>
      <c r="N330" s="209" t="s">
        <v>5508</v>
      </c>
      <c r="O330" s="209" t="s">
        <v>4912</v>
      </c>
      <c r="P330" s="209" t="s">
        <v>2226</v>
      </c>
      <c r="Q330" s="209" t="s">
        <v>2236</v>
      </c>
      <c r="R330" s="209" t="s">
        <v>2373</v>
      </c>
      <c r="S330" s="209" t="s">
        <v>133</v>
      </c>
      <c r="T330" s="209" t="s">
        <v>133</v>
      </c>
      <c r="U330" s="209" t="s">
        <v>133</v>
      </c>
      <c r="V330" s="209" t="s">
        <v>133</v>
      </c>
      <c r="W330" s="209" t="s">
        <v>133</v>
      </c>
      <c r="X330" s="209" t="s">
        <v>133</v>
      </c>
      <c r="Y330" s="209" t="s">
        <v>133</v>
      </c>
      <c r="Z330" s="209" t="s">
        <v>133</v>
      </c>
      <c r="AA330" s="209" t="s">
        <v>133</v>
      </c>
      <c r="AB330" s="209" t="s">
        <v>133</v>
      </c>
      <c r="AC330" s="209" t="s">
        <v>133</v>
      </c>
      <c r="AD330" s="209" t="s">
        <v>133</v>
      </c>
      <c r="AE330" s="209" t="s">
        <v>4564</v>
      </c>
    </row>
    <row r="331" spans="1:31" x14ac:dyDescent="0.55000000000000004">
      <c r="A331" s="209" t="s">
        <v>5515</v>
      </c>
      <c r="B331" s="209" t="s">
        <v>4914</v>
      </c>
      <c r="C331" s="209" t="s">
        <v>4915</v>
      </c>
      <c r="D331" s="209" t="s">
        <v>4916</v>
      </c>
      <c r="E331" s="209" t="s">
        <v>4917</v>
      </c>
      <c r="F331" s="209" t="s">
        <v>5516</v>
      </c>
      <c r="G331" s="209" t="s">
        <v>5517</v>
      </c>
      <c r="H331" s="209" t="s">
        <v>133</v>
      </c>
      <c r="I331" s="209" t="s">
        <v>133</v>
      </c>
      <c r="J331" s="209" t="s">
        <v>5518</v>
      </c>
      <c r="K331" s="209" t="s">
        <v>5519</v>
      </c>
      <c r="L331" s="209" t="s">
        <v>5520</v>
      </c>
      <c r="M331" s="209" t="s">
        <v>5521</v>
      </c>
      <c r="N331" s="209" t="s">
        <v>5522</v>
      </c>
      <c r="O331" s="209" t="s">
        <v>4925</v>
      </c>
      <c r="P331" s="209" t="s">
        <v>2236</v>
      </c>
      <c r="Q331" s="209" t="s">
        <v>2250</v>
      </c>
      <c r="R331" s="209" t="s">
        <v>2373</v>
      </c>
      <c r="S331" s="209" t="s">
        <v>133</v>
      </c>
      <c r="T331" s="209" t="s">
        <v>133</v>
      </c>
      <c r="U331" s="209" t="s">
        <v>133</v>
      </c>
      <c r="V331" s="209" t="s">
        <v>133</v>
      </c>
      <c r="W331" s="209" t="s">
        <v>133</v>
      </c>
      <c r="X331" s="209" t="s">
        <v>133</v>
      </c>
      <c r="Y331" s="209" t="s">
        <v>133</v>
      </c>
      <c r="Z331" s="209" t="s">
        <v>133</v>
      </c>
      <c r="AA331" s="209" t="s">
        <v>133</v>
      </c>
      <c r="AB331" s="209" t="s">
        <v>133</v>
      </c>
      <c r="AC331" s="209" t="s">
        <v>133</v>
      </c>
      <c r="AD331" s="209" t="s">
        <v>133</v>
      </c>
      <c r="AE331" s="209" t="s">
        <v>4615</v>
      </c>
    </row>
    <row r="332" spans="1:31" x14ac:dyDescent="0.55000000000000004">
      <c r="A332" s="209" t="s">
        <v>5523</v>
      </c>
      <c r="B332" s="209" t="s">
        <v>4929</v>
      </c>
      <c r="C332" s="209" t="s">
        <v>4930</v>
      </c>
      <c r="D332" s="209" t="s">
        <v>4931</v>
      </c>
      <c r="E332" s="209" t="s">
        <v>4932</v>
      </c>
      <c r="F332" s="209" t="s">
        <v>5516</v>
      </c>
      <c r="G332" s="209" t="s">
        <v>5517</v>
      </c>
      <c r="H332" s="209" t="s">
        <v>133</v>
      </c>
      <c r="I332" s="209" t="s">
        <v>133</v>
      </c>
      <c r="J332" s="209" t="s">
        <v>5518</v>
      </c>
      <c r="K332" s="209" t="s">
        <v>5524</v>
      </c>
      <c r="L332" s="209" t="s">
        <v>5525</v>
      </c>
      <c r="M332" s="209" t="s">
        <v>5526</v>
      </c>
      <c r="N332" s="209" t="s">
        <v>5522</v>
      </c>
      <c r="O332" s="209" t="s">
        <v>4936</v>
      </c>
      <c r="P332" s="209" t="s">
        <v>2236</v>
      </c>
      <c r="Q332" s="209" t="s">
        <v>2260</v>
      </c>
      <c r="R332" s="209" t="s">
        <v>2373</v>
      </c>
      <c r="S332" s="209" t="s">
        <v>133</v>
      </c>
      <c r="T332" s="209" t="s">
        <v>133</v>
      </c>
      <c r="U332" s="209" t="s">
        <v>133</v>
      </c>
      <c r="V332" s="209" t="s">
        <v>133</v>
      </c>
      <c r="W332" s="209" t="s">
        <v>133</v>
      </c>
      <c r="X332" s="209" t="s">
        <v>133</v>
      </c>
      <c r="Y332" s="209" t="s">
        <v>133</v>
      </c>
      <c r="Z332" s="209" t="s">
        <v>133</v>
      </c>
      <c r="AA332" s="209" t="s">
        <v>133</v>
      </c>
      <c r="AB332" s="209" t="s">
        <v>133</v>
      </c>
      <c r="AC332" s="209" t="s">
        <v>133</v>
      </c>
      <c r="AD332" s="209" t="s">
        <v>133</v>
      </c>
      <c r="AE332" s="209" t="s">
        <v>4615</v>
      </c>
    </row>
    <row r="333" spans="1:31" x14ac:dyDescent="0.55000000000000004">
      <c r="A333" s="209" t="s">
        <v>5527</v>
      </c>
      <c r="B333" s="209" t="s">
        <v>4986</v>
      </c>
      <c r="C333" s="209" t="s">
        <v>4987</v>
      </c>
      <c r="D333" s="209" t="s">
        <v>4988</v>
      </c>
      <c r="E333" s="209" t="s">
        <v>4989</v>
      </c>
      <c r="F333" s="209" t="s">
        <v>4870</v>
      </c>
      <c r="G333" s="209" t="s">
        <v>4871</v>
      </c>
      <c r="H333" s="209" t="s">
        <v>133</v>
      </c>
      <c r="I333" s="209" t="s">
        <v>133</v>
      </c>
      <c r="J333" s="209" t="s">
        <v>5528</v>
      </c>
      <c r="K333" s="209" t="s">
        <v>5529</v>
      </c>
      <c r="L333" s="209" t="s">
        <v>5530</v>
      </c>
      <c r="M333" s="209" t="s">
        <v>5531</v>
      </c>
      <c r="N333" s="209" t="s">
        <v>5532</v>
      </c>
      <c r="O333" s="209" t="s">
        <v>4997</v>
      </c>
      <c r="P333" s="209" t="s">
        <v>2179</v>
      </c>
      <c r="Q333" s="209" t="s">
        <v>2180</v>
      </c>
      <c r="R333" s="209" t="s">
        <v>2181</v>
      </c>
      <c r="S333" s="209" t="s">
        <v>133</v>
      </c>
      <c r="T333" s="209" t="s">
        <v>133</v>
      </c>
      <c r="U333" s="209" t="s">
        <v>133</v>
      </c>
      <c r="V333" s="209" t="s">
        <v>133</v>
      </c>
      <c r="W333" s="209" t="s">
        <v>133</v>
      </c>
      <c r="X333" s="209" t="s">
        <v>133</v>
      </c>
      <c r="Y333" s="209" t="s">
        <v>133</v>
      </c>
      <c r="Z333" s="209" t="s">
        <v>4878</v>
      </c>
      <c r="AA333" s="209" t="s">
        <v>133</v>
      </c>
      <c r="AB333" s="209" t="s">
        <v>133</v>
      </c>
      <c r="AC333" s="209" t="s">
        <v>133</v>
      </c>
      <c r="AD333" s="209" t="s">
        <v>133</v>
      </c>
      <c r="AE333" s="209" t="s">
        <v>4879</v>
      </c>
    </row>
    <row r="334" spans="1:31" x14ac:dyDescent="0.55000000000000004">
      <c r="A334" s="209" t="s">
        <v>5533</v>
      </c>
      <c r="B334" s="209" t="s">
        <v>5001</v>
      </c>
      <c r="C334" s="209" t="s">
        <v>5002</v>
      </c>
      <c r="D334" s="209" t="s">
        <v>5003</v>
      </c>
      <c r="E334" s="209" t="s">
        <v>5004</v>
      </c>
      <c r="F334" s="209" t="s">
        <v>4870</v>
      </c>
      <c r="G334" s="209" t="s">
        <v>4871</v>
      </c>
      <c r="H334" s="209" t="s">
        <v>133</v>
      </c>
      <c r="I334" s="209" t="s">
        <v>133</v>
      </c>
      <c r="J334" s="209" t="s">
        <v>5528</v>
      </c>
      <c r="K334" s="209" t="s">
        <v>5534</v>
      </c>
      <c r="L334" s="209" t="s">
        <v>5535</v>
      </c>
      <c r="M334" s="209" t="s">
        <v>5536</v>
      </c>
      <c r="N334" s="209" t="s">
        <v>5532</v>
      </c>
      <c r="O334" s="209" t="s">
        <v>5008</v>
      </c>
      <c r="P334" s="209" t="s">
        <v>2179</v>
      </c>
      <c r="Q334" s="209" t="s">
        <v>2179</v>
      </c>
      <c r="R334" s="209" t="s">
        <v>2181</v>
      </c>
      <c r="S334" s="209" t="s">
        <v>133</v>
      </c>
      <c r="T334" s="209" t="s">
        <v>133</v>
      </c>
      <c r="U334" s="209" t="s">
        <v>133</v>
      </c>
      <c r="V334" s="209" t="s">
        <v>133</v>
      </c>
      <c r="W334" s="209" t="s">
        <v>133</v>
      </c>
      <c r="X334" s="209" t="s">
        <v>133</v>
      </c>
      <c r="Y334" s="209" t="s">
        <v>133</v>
      </c>
      <c r="Z334" s="209" t="s">
        <v>4878</v>
      </c>
      <c r="AA334" s="209" t="s">
        <v>133</v>
      </c>
      <c r="AB334" s="209" t="s">
        <v>133</v>
      </c>
      <c r="AC334" s="209" t="s">
        <v>133</v>
      </c>
      <c r="AD334" s="209" t="s">
        <v>133</v>
      </c>
      <c r="AE334" s="209" t="s">
        <v>4879</v>
      </c>
    </row>
    <row r="335" spans="1:31" x14ac:dyDescent="0.55000000000000004">
      <c r="A335" s="209" t="s">
        <v>5537</v>
      </c>
      <c r="B335" s="209" t="s">
        <v>5010</v>
      </c>
      <c r="C335" s="209" t="s">
        <v>5011</v>
      </c>
      <c r="D335" s="209" t="s">
        <v>5012</v>
      </c>
      <c r="E335" s="209" t="s">
        <v>5013</v>
      </c>
      <c r="F335" s="209" t="s">
        <v>4894</v>
      </c>
      <c r="G335" s="209" t="s">
        <v>4895</v>
      </c>
      <c r="H335" s="209" t="s">
        <v>133</v>
      </c>
      <c r="I335" s="209" t="s">
        <v>133</v>
      </c>
      <c r="J335" s="209" t="s">
        <v>5538</v>
      </c>
      <c r="K335" s="209" t="s">
        <v>5539</v>
      </c>
      <c r="L335" s="209" t="s">
        <v>5540</v>
      </c>
      <c r="M335" s="209" t="s">
        <v>5541</v>
      </c>
      <c r="N335" s="209" t="s">
        <v>5542</v>
      </c>
      <c r="O335" s="209" t="s">
        <v>5021</v>
      </c>
      <c r="P335" s="209" t="s">
        <v>2226</v>
      </c>
      <c r="Q335" s="209" t="s">
        <v>2226</v>
      </c>
      <c r="R335" s="209" t="s">
        <v>2181</v>
      </c>
      <c r="S335" s="209" t="s">
        <v>133</v>
      </c>
      <c r="T335" s="209" t="s">
        <v>133</v>
      </c>
      <c r="U335" s="209" t="s">
        <v>133</v>
      </c>
      <c r="V335" s="209" t="s">
        <v>133</v>
      </c>
      <c r="W335" s="209" t="s">
        <v>133</v>
      </c>
      <c r="X335" s="209" t="s">
        <v>133</v>
      </c>
      <c r="Y335" s="209" t="s">
        <v>133</v>
      </c>
      <c r="Z335" s="209" t="s">
        <v>4902</v>
      </c>
      <c r="AA335" s="209" t="s">
        <v>133</v>
      </c>
      <c r="AB335" s="209" t="s">
        <v>133</v>
      </c>
      <c r="AC335" s="209" t="s">
        <v>133</v>
      </c>
      <c r="AD335" s="209" t="s">
        <v>133</v>
      </c>
      <c r="AE335" s="209" t="s">
        <v>4903</v>
      </c>
    </row>
    <row r="336" spans="1:31" x14ac:dyDescent="0.55000000000000004">
      <c r="A336" s="209" t="s">
        <v>5543</v>
      </c>
      <c r="B336" s="209" t="s">
        <v>5025</v>
      </c>
      <c r="C336" s="209" t="s">
        <v>5026</v>
      </c>
      <c r="D336" s="209" t="s">
        <v>5027</v>
      </c>
      <c r="E336" s="209" t="s">
        <v>5028</v>
      </c>
      <c r="F336" s="209" t="s">
        <v>4894</v>
      </c>
      <c r="G336" s="209" t="s">
        <v>4895</v>
      </c>
      <c r="H336" s="209" t="s">
        <v>133</v>
      </c>
      <c r="I336" s="209" t="s">
        <v>133</v>
      </c>
      <c r="J336" s="209" t="s">
        <v>5538</v>
      </c>
      <c r="K336" s="209" t="s">
        <v>5544</v>
      </c>
      <c r="L336" s="209" t="s">
        <v>5545</v>
      </c>
      <c r="M336" s="209" t="s">
        <v>5546</v>
      </c>
      <c r="N336" s="209" t="s">
        <v>5542</v>
      </c>
      <c r="O336" s="209" t="s">
        <v>5032</v>
      </c>
      <c r="P336" s="209" t="s">
        <v>2226</v>
      </c>
      <c r="Q336" s="209" t="s">
        <v>2236</v>
      </c>
      <c r="R336" s="209" t="s">
        <v>2181</v>
      </c>
      <c r="S336" s="209" t="s">
        <v>133</v>
      </c>
      <c r="T336" s="209" t="s">
        <v>133</v>
      </c>
      <c r="U336" s="209" t="s">
        <v>133</v>
      </c>
      <c r="V336" s="209" t="s">
        <v>133</v>
      </c>
      <c r="W336" s="209" t="s">
        <v>133</v>
      </c>
      <c r="X336" s="209" t="s">
        <v>133</v>
      </c>
      <c r="Y336" s="209" t="s">
        <v>133</v>
      </c>
      <c r="Z336" s="209" t="s">
        <v>4902</v>
      </c>
      <c r="AA336" s="209" t="s">
        <v>133</v>
      </c>
      <c r="AB336" s="209" t="s">
        <v>133</v>
      </c>
      <c r="AC336" s="209" t="s">
        <v>133</v>
      </c>
      <c r="AD336" s="209" t="s">
        <v>133</v>
      </c>
      <c r="AE336" s="209" t="s">
        <v>4903</v>
      </c>
    </row>
    <row r="337" spans="1:31" x14ac:dyDescent="0.55000000000000004">
      <c r="A337" s="209" t="s">
        <v>5547</v>
      </c>
      <c r="B337" s="209" t="s">
        <v>5034</v>
      </c>
      <c r="C337" s="209" t="s">
        <v>5035</v>
      </c>
      <c r="D337" s="209" t="s">
        <v>5036</v>
      </c>
      <c r="E337" s="209" t="s">
        <v>5037</v>
      </c>
      <c r="F337" s="209" t="s">
        <v>4918</v>
      </c>
      <c r="G337" s="209" t="s">
        <v>4919</v>
      </c>
      <c r="H337" s="209" t="s">
        <v>133</v>
      </c>
      <c r="I337" s="209" t="s">
        <v>133</v>
      </c>
      <c r="J337" s="209" t="s">
        <v>5548</v>
      </c>
      <c r="K337" s="209" t="s">
        <v>5549</v>
      </c>
      <c r="L337" s="209" t="s">
        <v>5550</v>
      </c>
      <c r="M337" s="209" t="s">
        <v>5551</v>
      </c>
      <c r="N337" s="209" t="s">
        <v>5552</v>
      </c>
      <c r="O337" s="209" t="s">
        <v>5045</v>
      </c>
      <c r="P337" s="209" t="s">
        <v>2236</v>
      </c>
      <c r="Q337" s="209" t="s">
        <v>2250</v>
      </c>
      <c r="R337" s="209" t="s">
        <v>2181</v>
      </c>
      <c r="S337" s="209" t="s">
        <v>133</v>
      </c>
      <c r="T337" s="209" t="s">
        <v>133</v>
      </c>
      <c r="U337" s="209" t="s">
        <v>133</v>
      </c>
      <c r="V337" s="209" t="s">
        <v>133</v>
      </c>
      <c r="W337" s="209" t="s">
        <v>133</v>
      </c>
      <c r="X337" s="209" t="s">
        <v>133</v>
      </c>
      <c r="Y337" s="209" t="s">
        <v>133</v>
      </c>
      <c r="Z337" s="209" t="s">
        <v>4926</v>
      </c>
      <c r="AA337" s="209" t="s">
        <v>133</v>
      </c>
      <c r="AB337" s="209" t="s">
        <v>133</v>
      </c>
      <c r="AC337" s="209" t="s">
        <v>133</v>
      </c>
      <c r="AD337" s="209" t="s">
        <v>133</v>
      </c>
      <c r="AE337" s="209" t="s">
        <v>4927</v>
      </c>
    </row>
    <row r="338" spans="1:31" x14ac:dyDescent="0.55000000000000004">
      <c r="A338" s="209" t="s">
        <v>5553</v>
      </c>
      <c r="B338" s="209" t="s">
        <v>5049</v>
      </c>
      <c r="C338" s="209" t="s">
        <v>5050</v>
      </c>
      <c r="D338" s="209" t="s">
        <v>5051</v>
      </c>
      <c r="E338" s="209" t="s">
        <v>5052</v>
      </c>
      <c r="F338" s="209" t="s">
        <v>4918</v>
      </c>
      <c r="G338" s="209" t="s">
        <v>4919</v>
      </c>
      <c r="H338" s="209" t="s">
        <v>133</v>
      </c>
      <c r="I338" s="209" t="s">
        <v>133</v>
      </c>
      <c r="J338" s="209" t="s">
        <v>5548</v>
      </c>
      <c r="K338" s="209" t="s">
        <v>5554</v>
      </c>
      <c r="L338" s="209" t="s">
        <v>5555</v>
      </c>
      <c r="M338" s="209" t="s">
        <v>5556</v>
      </c>
      <c r="N338" s="209" t="s">
        <v>5552</v>
      </c>
      <c r="O338" s="209" t="s">
        <v>5056</v>
      </c>
      <c r="P338" s="209" t="s">
        <v>2236</v>
      </c>
      <c r="Q338" s="209" t="s">
        <v>2260</v>
      </c>
      <c r="R338" s="209" t="s">
        <v>2181</v>
      </c>
      <c r="S338" s="209" t="s">
        <v>133</v>
      </c>
      <c r="T338" s="209" t="s">
        <v>133</v>
      </c>
      <c r="U338" s="209" t="s">
        <v>133</v>
      </c>
      <c r="V338" s="209" t="s">
        <v>133</v>
      </c>
      <c r="W338" s="209" t="s">
        <v>133</v>
      </c>
      <c r="X338" s="209" t="s">
        <v>133</v>
      </c>
      <c r="Y338" s="209" t="s">
        <v>133</v>
      </c>
      <c r="Z338" s="209" t="s">
        <v>4926</v>
      </c>
      <c r="AA338" s="209" t="s">
        <v>133</v>
      </c>
      <c r="AB338" s="209" t="s">
        <v>133</v>
      </c>
      <c r="AC338" s="209" t="s">
        <v>133</v>
      </c>
      <c r="AD338" s="209" t="s">
        <v>133</v>
      </c>
      <c r="AE338" s="209" t="s">
        <v>4927</v>
      </c>
    </row>
    <row r="339" spans="1:31" x14ac:dyDescent="0.55000000000000004">
      <c r="A339" s="209" t="s">
        <v>5557</v>
      </c>
      <c r="B339" s="209" t="s">
        <v>5558</v>
      </c>
      <c r="C339" s="209" t="s">
        <v>5559</v>
      </c>
      <c r="D339" s="209" t="s">
        <v>5560</v>
      </c>
      <c r="E339" s="209" t="s">
        <v>5561</v>
      </c>
      <c r="F339" s="209" t="s">
        <v>4942</v>
      </c>
      <c r="G339" s="209" t="s">
        <v>4943</v>
      </c>
      <c r="H339" s="209" t="s">
        <v>133</v>
      </c>
      <c r="I339" s="209" t="s">
        <v>133</v>
      </c>
      <c r="J339" s="209" t="s">
        <v>5562</v>
      </c>
      <c r="K339" s="209" t="s">
        <v>5563</v>
      </c>
      <c r="L339" s="209" t="s">
        <v>5564</v>
      </c>
      <c r="M339" s="209" t="s">
        <v>5565</v>
      </c>
      <c r="N339" s="209" t="s">
        <v>5566</v>
      </c>
      <c r="O339" s="209" t="s">
        <v>5567</v>
      </c>
      <c r="P339" s="209" t="s">
        <v>2250</v>
      </c>
      <c r="Q339" s="209" t="s">
        <v>2274</v>
      </c>
      <c r="R339" s="209" t="s">
        <v>2181</v>
      </c>
      <c r="S339" s="209" t="s">
        <v>133</v>
      </c>
      <c r="T339" s="209" t="s">
        <v>133</v>
      </c>
      <c r="U339" s="209" t="s">
        <v>133</v>
      </c>
      <c r="V339" s="209" t="s">
        <v>133</v>
      </c>
      <c r="W339" s="209" t="s">
        <v>133</v>
      </c>
      <c r="X339" s="209" t="s">
        <v>133</v>
      </c>
      <c r="Y339" s="209" t="s">
        <v>133</v>
      </c>
      <c r="Z339" s="209" t="s">
        <v>4950</v>
      </c>
      <c r="AA339" s="209" t="s">
        <v>133</v>
      </c>
      <c r="AB339" s="209" t="s">
        <v>133</v>
      </c>
      <c r="AC339" s="209" t="s">
        <v>133</v>
      </c>
      <c r="AD339" s="209" t="s">
        <v>133</v>
      </c>
      <c r="AE339" s="209" t="s">
        <v>4951</v>
      </c>
    </row>
    <row r="340" spans="1:31" x14ac:dyDescent="0.55000000000000004">
      <c r="A340" s="209" t="s">
        <v>5568</v>
      </c>
      <c r="B340" s="209" t="s">
        <v>5569</v>
      </c>
      <c r="C340" s="209" t="s">
        <v>5570</v>
      </c>
      <c r="D340" s="209" t="s">
        <v>5571</v>
      </c>
      <c r="E340" s="209" t="s">
        <v>5572</v>
      </c>
      <c r="F340" s="209" t="s">
        <v>4942</v>
      </c>
      <c r="G340" s="209" t="s">
        <v>4943</v>
      </c>
      <c r="H340" s="209" t="s">
        <v>133</v>
      </c>
      <c r="I340" s="209" t="s">
        <v>133</v>
      </c>
      <c r="J340" s="209" t="s">
        <v>5562</v>
      </c>
      <c r="K340" s="209" t="s">
        <v>5573</v>
      </c>
      <c r="L340" s="209" t="s">
        <v>5574</v>
      </c>
      <c r="M340" s="209" t="s">
        <v>5575</v>
      </c>
      <c r="N340" s="209" t="s">
        <v>5566</v>
      </c>
      <c r="O340" s="209" t="s">
        <v>5576</v>
      </c>
      <c r="P340" s="209" t="s">
        <v>2250</v>
      </c>
      <c r="Q340" s="209" t="s">
        <v>2284</v>
      </c>
      <c r="R340" s="209" t="s">
        <v>2181</v>
      </c>
      <c r="S340" s="209" t="s">
        <v>133</v>
      </c>
      <c r="T340" s="209" t="s">
        <v>133</v>
      </c>
      <c r="U340" s="209" t="s">
        <v>133</v>
      </c>
      <c r="V340" s="209" t="s">
        <v>133</v>
      </c>
      <c r="W340" s="209" t="s">
        <v>133</v>
      </c>
      <c r="X340" s="209" t="s">
        <v>133</v>
      </c>
      <c r="Y340" s="209" t="s">
        <v>133</v>
      </c>
      <c r="Z340" s="209" t="s">
        <v>4950</v>
      </c>
      <c r="AA340" s="209" t="s">
        <v>133</v>
      </c>
      <c r="AB340" s="209" t="s">
        <v>133</v>
      </c>
      <c r="AC340" s="209" t="s">
        <v>133</v>
      </c>
      <c r="AD340" s="209" t="s">
        <v>133</v>
      </c>
      <c r="AE340" s="209" t="s">
        <v>4951</v>
      </c>
    </row>
    <row r="341" spans="1:31" x14ac:dyDescent="0.55000000000000004">
      <c r="A341" s="209" t="s">
        <v>5577</v>
      </c>
      <c r="B341" s="209" t="s">
        <v>5578</v>
      </c>
      <c r="C341" s="209" t="s">
        <v>5579</v>
      </c>
      <c r="D341" s="209" t="s">
        <v>5580</v>
      </c>
      <c r="E341" s="209" t="s">
        <v>5581</v>
      </c>
      <c r="F341" s="209" t="s">
        <v>4966</v>
      </c>
      <c r="G341" s="209" t="s">
        <v>4967</v>
      </c>
      <c r="H341" s="209" t="s">
        <v>133</v>
      </c>
      <c r="I341" s="209" t="s">
        <v>133</v>
      </c>
      <c r="J341" s="209" t="s">
        <v>5582</v>
      </c>
      <c r="K341" s="209" t="s">
        <v>5583</v>
      </c>
      <c r="L341" s="209" t="s">
        <v>5584</v>
      </c>
      <c r="M341" s="209" t="s">
        <v>5585</v>
      </c>
      <c r="N341" s="209" t="s">
        <v>5586</v>
      </c>
      <c r="O341" s="209" t="s">
        <v>5587</v>
      </c>
      <c r="P341" s="209" t="s">
        <v>2260</v>
      </c>
      <c r="Q341" s="209" t="s">
        <v>2298</v>
      </c>
      <c r="R341" s="209" t="s">
        <v>2181</v>
      </c>
      <c r="S341" s="209" t="s">
        <v>133</v>
      </c>
      <c r="T341" s="209" t="s">
        <v>133</v>
      </c>
      <c r="U341" s="209" t="s">
        <v>133</v>
      </c>
      <c r="V341" s="209" t="s">
        <v>133</v>
      </c>
      <c r="W341" s="209" t="s">
        <v>133</v>
      </c>
      <c r="X341" s="209" t="s">
        <v>133</v>
      </c>
      <c r="Y341" s="209" t="s">
        <v>133</v>
      </c>
      <c r="Z341" s="209" t="s">
        <v>4974</v>
      </c>
      <c r="AA341" s="209" t="s">
        <v>133</v>
      </c>
      <c r="AB341" s="209" t="s">
        <v>133</v>
      </c>
      <c r="AC341" s="209" t="s">
        <v>133</v>
      </c>
      <c r="AD341" s="209" t="s">
        <v>133</v>
      </c>
      <c r="AE341" s="209" t="s">
        <v>4975</v>
      </c>
    </row>
    <row r="342" spans="1:31" x14ac:dyDescent="0.55000000000000004">
      <c r="A342" s="209" t="s">
        <v>5588</v>
      </c>
      <c r="B342" s="209" t="s">
        <v>5589</v>
      </c>
      <c r="C342" s="209" t="s">
        <v>5590</v>
      </c>
      <c r="D342" s="209" t="s">
        <v>5591</v>
      </c>
      <c r="E342" s="209" t="s">
        <v>5592</v>
      </c>
      <c r="F342" s="209" t="s">
        <v>4966</v>
      </c>
      <c r="G342" s="209" t="s">
        <v>4967</v>
      </c>
      <c r="H342" s="209" t="s">
        <v>133</v>
      </c>
      <c r="I342" s="209" t="s">
        <v>133</v>
      </c>
      <c r="J342" s="209" t="s">
        <v>5582</v>
      </c>
      <c r="K342" s="209" t="s">
        <v>5593</v>
      </c>
      <c r="L342" s="209" t="s">
        <v>5594</v>
      </c>
      <c r="M342" s="209" t="s">
        <v>5595</v>
      </c>
      <c r="N342" s="209" t="s">
        <v>5586</v>
      </c>
      <c r="O342" s="209" t="s">
        <v>5596</v>
      </c>
      <c r="P342" s="209" t="s">
        <v>2260</v>
      </c>
      <c r="Q342" s="209" t="s">
        <v>2309</v>
      </c>
      <c r="R342" s="209" t="s">
        <v>2181</v>
      </c>
      <c r="S342" s="209" t="s">
        <v>133</v>
      </c>
      <c r="T342" s="209" t="s">
        <v>133</v>
      </c>
      <c r="U342" s="209" t="s">
        <v>133</v>
      </c>
      <c r="V342" s="209" t="s">
        <v>133</v>
      </c>
      <c r="W342" s="209" t="s">
        <v>133</v>
      </c>
      <c r="X342" s="209" t="s">
        <v>133</v>
      </c>
      <c r="Y342" s="209" t="s">
        <v>133</v>
      </c>
      <c r="Z342" s="209" t="s">
        <v>4974</v>
      </c>
      <c r="AA342" s="209" t="s">
        <v>133</v>
      </c>
      <c r="AB342" s="209" t="s">
        <v>133</v>
      </c>
      <c r="AC342" s="209" t="s">
        <v>133</v>
      </c>
      <c r="AD342" s="209" t="s">
        <v>133</v>
      </c>
      <c r="AE342" s="209" t="s">
        <v>4975</v>
      </c>
    </row>
    <row r="343" spans="1:31" x14ac:dyDescent="0.55000000000000004">
      <c r="A343" s="209" t="s">
        <v>5597</v>
      </c>
      <c r="B343" s="209" t="s">
        <v>5598</v>
      </c>
      <c r="C343" s="209" t="s">
        <v>5599</v>
      </c>
      <c r="D343" s="209" t="s">
        <v>5600</v>
      </c>
      <c r="E343" s="209" t="s">
        <v>5601</v>
      </c>
      <c r="F343" s="209" t="s">
        <v>4990</v>
      </c>
      <c r="G343" s="209" t="s">
        <v>4991</v>
      </c>
      <c r="H343" s="209" t="s">
        <v>133</v>
      </c>
      <c r="I343" s="209" t="s">
        <v>133</v>
      </c>
      <c r="J343" s="209" t="s">
        <v>5602</v>
      </c>
      <c r="K343" s="209" t="s">
        <v>5603</v>
      </c>
      <c r="L343" s="209" t="s">
        <v>5604</v>
      </c>
      <c r="M343" s="209" t="s">
        <v>5605</v>
      </c>
      <c r="N343" s="209" t="s">
        <v>5606</v>
      </c>
      <c r="O343" s="209" t="s">
        <v>5607</v>
      </c>
      <c r="P343" s="209" t="s">
        <v>2179</v>
      </c>
      <c r="Q343" s="209" t="s">
        <v>2180</v>
      </c>
      <c r="R343" s="209" t="s">
        <v>2181</v>
      </c>
      <c r="S343" s="209" t="s">
        <v>133</v>
      </c>
      <c r="T343" s="209" t="s">
        <v>133</v>
      </c>
      <c r="U343" s="209" t="s">
        <v>133</v>
      </c>
      <c r="V343" s="209" t="s">
        <v>133</v>
      </c>
      <c r="W343" s="209" t="s">
        <v>133</v>
      </c>
      <c r="X343" s="209" t="s">
        <v>133</v>
      </c>
      <c r="Y343" s="209" t="s">
        <v>133</v>
      </c>
      <c r="Z343" s="209" t="s">
        <v>4998</v>
      </c>
      <c r="AA343" s="209" t="s">
        <v>133</v>
      </c>
      <c r="AB343" s="209" t="s">
        <v>133</v>
      </c>
      <c r="AC343" s="209" t="s">
        <v>133</v>
      </c>
      <c r="AD343" s="209" t="s">
        <v>133</v>
      </c>
      <c r="AE343" s="209" t="s">
        <v>4999</v>
      </c>
    </row>
    <row r="344" spans="1:31" x14ac:dyDescent="0.55000000000000004">
      <c r="A344" s="209" t="s">
        <v>5608</v>
      </c>
      <c r="B344" s="209" t="s">
        <v>5609</v>
      </c>
      <c r="C344" s="209" t="s">
        <v>5610</v>
      </c>
      <c r="D344" s="209" t="s">
        <v>5611</v>
      </c>
      <c r="E344" s="209" t="s">
        <v>5612</v>
      </c>
      <c r="F344" s="209" t="s">
        <v>4990</v>
      </c>
      <c r="G344" s="209" t="s">
        <v>4991</v>
      </c>
      <c r="H344" s="209" t="s">
        <v>133</v>
      </c>
      <c r="I344" s="209" t="s">
        <v>133</v>
      </c>
      <c r="J344" s="209" t="s">
        <v>5602</v>
      </c>
      <c r="K344" s="209" t="s">
        <v>5613</v>
      </c>
      <c r="L344" s="209" t="s">
        <v>5614</v>
      </c>
      <c r="M344" s="209" t="s">
        <v>5615</v>
      </c>
      <c r="N344" s="209" t="s">
        <v>5606</v>
      </c>
      <c r="O344" s="209" t="s">
        <v>5616</v>
      </c>
      <c r="P344" s="209" t="s">
        <v>2179</v>
      </c>
      <c r="Q344" s="209" t="s">
        <v>2179</v>
      </c>
      <c r="R344" s="209" t="s">
        <v>2181</v>
      </c>
      <c r="S344" s="209" t="s">
        <v>133</v>
      </c>
      <c r="T344" s="209" t="s">
        <v>133</v>
      </c>
      <c r="U344" s="209" t="s">
        <v>133</v>
      </c>
      <c r="V344" s="209" t="s">
        <v>133</v>
      </c>
      <c r="W344" s="209" t="s">
        <v>133</v>
      </c>
      <c r="X344" s="209" t="s">
        <v>133</v>
      </c>
      <c r="Y344" s="209" t="s">
        <v>133</v>
      </c>
      <c r="Z344" s="209" t="s">
        <v>4998</v>
      </c>
      <c r="AA344" s="209" t="s">
        <v>133</v>
      </c>
      <c r="AB344" s="209" t="s">
        <v>133</v>
      </c>
      <c r="AC344" s="209" t="s">
        <v>133</v>
      </c>
      <c r="AD344" s="209" t="s">
        <v>133</v>
      </c>
      <c r="AE344" s="209" t="s">
        <v>4999</v>
      </c>
    </row>
    <row r="345" spans="1:31" x14ac:dyDescent="0.55000000000000004">
      <c r="A345" s="209" t="s">
        <v>5617</v>
      </c>
      <c r="B345" s="209" t="s">
        <v>5618</v>
      </c>
      <c r="C345" s="209" t="s">
        <v>5619</v>
      </c>
      <c r="D345" s="209" t="s">
        <v>5620</v>
      </c>
      <c r="E345" s="209" t="s">
        <v>5621</v>
      </c>
      <c r="F345" s="209" t="s">
        <v>5014</v>
      </c>
      <c r="G345" s="209" t="s">
        <v>5015</v>
      </c>
      <c r="H345" s="209" t="s">
        <v>133</v>
      </c>
      <c r="I345" s="209" t="s">
        <v>133</v>
      </c>
      <c r="J345" s="209" t="s">
        <v>5622</v>
      </c>
      <c r="K345" s="209" t="s">
        <v>5623</v>
      </c>
      <c r="L345" s="209" t="s">
        <v>5624</v>
      </c>
      <c r="M345" s="209" t="s">
        <v>5625</v>
      </c>
      <c r="N345" s="209" t="s">
        <v>5626</v>
      </c>
      <c r="O345" s="209" t="s">
        <v>5627</v>
      </c>
      <c r="P345" s="209" t="s">
        <v>2226</v>
      </c>
      <c r="Q345" s="209" t="s">
        <v>2226</v>
      </c>
      <c r="R345" s="209" t="s">
        <v>2181</v>
      </c>
      <c r="S345" s="209" t="s">
        <v>133</v>
      </c>
      <c r="T345" s="209" t="s">
        <v>133</v>
      </c>
      <c r="U345" s="209" t="s">
        <v>133</v>
      </c>
      <c r="V345" s="209" t="s">
        <v>133</v>
      </c>
      <c r="W345" s="209" t="s">
        <v>133</v>
      </c>
      <c r="X345" s="209" t="s">
        <v>133</v>
      </c>
      <c r="Y345" s="209" t="s">
        <v>133</v>
      </c>
      <c r="Z345" s="209" t="s">
        <v>5022</v>
      </c>
      <c r="AA345" s="209" t="s">
        <v>133</v>
      </c>
      <c r="AB345" s="209" t="s">
        <v>133</v>
      </c>
      <c r="AC345" s="209" t="s">
        <v>133</v>
      </c>
      <c r="AD345" s="209" t="s">
        <v>133</v>
      </c>
      <c r="AE345" s="209" t="s">
        <v>5023</v>
      </c>
    </row>
    <row r="346" spans="1:31" x14ac:dyDescent="0.55000000000000004">
      <c r="A346" s="209" t="s">
        <v>5628</v>
      </c>
      <c r="B346" s="209" t="s">
        <v>5629</v>
      </c>
      <c r="C346" s="209" t="s">
        <v>5630</v>
      </c>
      <c r="D346" s="209" t="s">
        <v>5631</v>
      </c>
      <c r="E346" s="209" t="s">
        <v>5632</v>
      </c>
      <c r="F346" s="209" t="s">
        <v>5014</v>
      </c>
      <c r="G346" s="209" t="s">
        <v>5015</v>
      </c>
      <c r="H346" s="209" t="s">
        <v>133</v>
      </c>
      <c r="I346" s="209" t="s">
        <v>133</v>
      </c>
      <c r="J346" s="209" t="s">
        <v>5622</v>
      </c>
      <c r="K346" s="209" t="s">
        <v>5633</v>
      </c>
      <c r="L346" s="209" t="s">
        <v>5634</v>
      </c>
      <c r="M346" s="209" t="s">
        <v>5635</v>
      </c>
      <c r="N346" s="209" t="s">
        <v>5626</v>
      </c>
      <c r="O346" s="209" t="s">
        <v>5636</v>
      </c>
      <c r="P346" s="209" t="s">
        <v>2226</v>
      </c>
      <c r="Q346" s="209" t="s">
        <v>2236</v>
      </c>
      <c r="R346" s="209" t="s">
        <v>2181</v>
      </c>
      <c r="S346" s="209" t="s">
        <v>133</v>
      </c>
      <c r="T346" s="209" t="s">
        <v>133</v>
      </c>
      <c r="U346" s="209" t="s">
        <v>133</v>
      </c>
      <c r="V346" s="209" t="s">
        <v>133</v>
      </c>
      <c r="W346" s="209" t="s">
        <v>133</v>
      </c>
      <c r="X346" s="209" t="s">
        <v>133</v>
      </c>
      <c r="Y346" s="209" t="s">
        <v>133</v>
      </c>
      <c r="Z346" s="209" t="s">
        <v>5022</v>
      </c>
      <c r="AA346" s="209" t="s">
        <v>133</v>
      </c>
      <c r="AB346" s="209" t="s">
        <v>133</v>
      </c>
      <c r="AC346" s="209" t="s">
        <v>133</v>
      </c>
      <c r="AD346" s="209" t="s">
        <v>133</v>
      </c>
      <c r="AE346" s="209" t="s">
        <v>5023</v>
      </c>
    </row>
    <row r="347" spans="1:31" x14ac:dyDescent="0.55000000000000004">
      <c r="A347" s="209" t="s">
        <v>5637</v>
      </c>
      <c r="B347" s="209" t="s">
        <v>5638</v>
      </c>
      <c r="C347" s="209" t="s">
        <v>5639</v>
      </c>
      <c r="D347" s="209" t="s">
        <v>5640</v>
      </c>
      <c r="E347" s="209" t="s">
        <v>5641</v>
      </c>
      <c r="F347" s="209" t="s">
        <v>5038</v>
      </c>
      <c r="G347" s="209" t="s">
        <v>5039</v>
      </c>
      <c r="H347" s="209" t="s">
        <v>133</v>
      </c>
      <c r="I347" s="209" t="s">
        <v>133</v>
      </c>
      <c r="J347" s="209" t="s">
        <v>5642</v>
      </c>
      <c r="K347" s="209" t="s">
        <v>5643</v>
      </c>
      <c r="L347" s="209" t="s">
        <v>5644</v>
      </c>
      <c r="M347" s="209" t="s">
        <v>5645</v>
      </c>
      <c r="N347" s="209" t="s">
        <v>5646</v>
      </c>
      <c r="O347" s="209" t="s">
        <v>5647</v>
      </c>
      <c r="P347" s="209" t="s">
        <v>2236</v>
      </c>
      <c r="Q347" s="209" t="s">
        <v>2250</v>
      </c>
      <c r="R347" s="209" t="s">
        <v>2181</v>
      </c>
      <c r="S347" s="209" t="s">
        <v>133</v>
      </c>
      <c r="T347" s="209" t="s">
        <v>133</v>
      </c>
      <c r="U347" s="209" t="s">
        <v>133</v>
      </c>
      <c r="V347" s="209" t="s">
        <v>133</v>
      </c>
      <c r="W347" s="209" t="s">
        <v>133</v>
      </c>
      <c r="X347" s="209" t="s">
        <v>133</v>
      </c>
      <c r="Y347" s="209" t="s">
        <v>133</v>
      </c>
      <c r="Z347" s="209" t="s">
        <v>5046</v>
      </c>
      <c r="AA347" s="209" t="s">
        <v>133</v>
      </c>
      <c r="AB347" s="209" t="s">
        <v>133</v>
      </c>
      <c r="AC347" s="209" t="s">
        <v>133</v>
      </c>
      <c r="AD347" s="209" t="s">
        <v>133</v>
      </c>
      <c r="AE347" s="209" t="s">
        <v>5047</v>
      </c>
    </row>
    <row r="348" spans="1:31" x14ac:dyDescent="0.55000000000000004">
      <c r="A348" s="209" t="s">
        <v>5648</v>
      </c>
      <c r="B348" s="209" t="s">
        <v>5649</v>
      </c>
      <c r="C348" s="209" t="s">
        <v>5650</v>
      </c>
      <c r="D348" s="209" t="s">
        <v>5651</v>
      </c>
      <c r="E348" s="209" t="s">
        <v>5652</v>
      </c>
      <c r="F348" s="209" t="s">
        <v>5038</v>
      </c>
      <c r="G348" s="209" t="s">
        <v>5039</v>
      </c>
      <c r="H348" s="209" t="s">
        <v>133</v>
      </c>
      <c r="I348" s="209" t="s">
        <v>133</v>
      </c>
      <c r="J348" s="209" t="s">
        <v>5642</v>
      </c>
      <c r="K348" s="209" t="s">
        <v>5653</v>
      </c>
      <c r="L348" s="209" t="s">
        <v>5654</v>
      </c>
      <c r="M348" s="209" t="s">
        <v>5655</v>
      </c>
      <c r="N348" s="209" t="s">
        <v>5646</v>
      </c>
      <c r="O348" s="209" t="s">
        <v>5656</v>
      </c>
      <c r="P348" s="209" t="s">
        <v>2236</v>
      </c>
      <c r="Q348" s="209" t="s">
        <v>2260</v>
      </c>
      <c r="R348" s="209" t="s">
        <v>2181</v>
      </c>
      <c r="S348" s="209" t="s">
        <v>133</v>
      </c>
      <c r="T348" s="209" t="s">
        <v>133</v>
      </c>
      <c r="U348" s="209" t="s">
        <v>133</v>
      </c>
      <c r="V348" s="209" t="s">
        <v>133</v>
      </c>
      <c r="W348" s="209" t="s">
        <v>133</v>
      </c>
      <c r="X348" s="209" t="s">
        <v>133</v>
      </c>
      <c r="Y348" s="209" t="s">
        <v>133</v>
      </c>
      <c r="Z348" s="209" t="s">
        <v>5046</v>
      </c>
      <c r="AA348" s="209" t="s">
        <v>133</v>
      </c>
      <c r="AB348" s="209" t="s">
        <v>133</v>
      </c>
      <c r="AC348" s="209" t="s">
        <v>133</v>
      </c>
      <c r="AD348" s="209" t="s">
        <v>133</v>
      </c>
      <c r="AE348" s="209" t="s">
        <v>5047</v>
      </c>
    </row>
    <row r="349" spans="1:31" x14ac:dyDescent="0.55000000000000004">
      <c r="A349" s="209" t="s">
        <v>5657</v>
      </c>
      <c r="B349" s="209" t="s">
        <v>4550</v>
      </c>
      <c r="C349" s="209" t="s">
        <v>4551</v>
      </c>
      <c r="D349" s="209" t="s">
        <v>4552</v>
      </c>
      <c r="E349" s="209" t="s">
        <v>4553</v>
      </c>
      <c r="F349" s="209" t="s">
        <v>4702</v>
      </c>
      <c r="G349" s="209" t="s">
        <v>4703</v>
      </c>
      <c r="H349" s="209" t="s">
        <v>133</v>
      </c>
      <c r="I349" s="209" t="s">
        <v>133</v>
      </c>
      <c r="J349" s="209" t="s">
        <v>5658</v>
      </c>
      <c r="K349" s="209" t="s">
        <v>5659</v>
      </c>
      <c r="L349" s="209" t="s">
        <v>5660</v>
      </c>
      <c r="M349" s="209" t="s">
        <v>5661</v>
      </c>
      <c r="N349" s="209" t="s">
        <v>5662</v>
      </c>
      <c r="O349" s="209" t="s">
        <v>4563</v>
      </c>
      <c r="P349" s="209" t="s">
        <v>2179</v>
      </c>
      <c r="Q349" s="209" t="s">
        <v>2180</v>
      </c>
      <c r="R349" s="209" t="s">
        <v>2181</v>
      </c>
      <c r="S349" s="209" t="s">
        <v>133</v>
      </c>
      <c r="T349" s="209" t="s">
        <v>133</v>
      </c>
      <c r="U349" s="209" t="s">
        <v>133</v>
      </c>
      <c r="V349" s="209" t="s">
        <v>133</v>
      </c>
      <c r="W349" s="209" t="s">
        <v>133</v>
      </c>
      <c r="X349" s="209" t="s">
        <v>133</v>
      </c>
      <c r="Y349" s="209" t="s">
        <v>133</v>
      </c>
      <c r="Z349" s="209" t="s">
        <v>4710</v>
      </c>
      <c r="AA349" s="209" t="s">
        <v>133</v>
      </c>
      <c r="AB349" s="209" t="s">
        <v>133</v>
      </c>
      <c r="AC349" s="209" t="s">
        <v>133</v>
      </c>
      <c r="AD349" s="209" t="s">
        <v>133</v>
      </c>
      <c r="AE349" s="209" t="s">
        <v>4711</v>
      </c>
    </row>
    <row r="350" spans="1:31" x14ac:dyDescent="0.55000000000000004">
      <c r="A350" s="209" t="s">
        <v>5663</v>
      </c>
      <c r="B350" s="209" t="s">
        <v>4566</v>
      </c>
      <c r="C350" s="209" t="s">
        <v>4567</v>
      </c>
      <c r="D350" s="209" t="s">
        <v>4568</v>
      </c>
      <c r="E350" s="209" t="s">
        <v>4569</v>
      </c>
      <c r="F350" s="209" t="s">
        <v>4702</v>
      </c>
      <c r="G350" s="209" t="s">
        <v>4703</v>
      </c>
      <c r="H350" s="209" t="s">
        <v>133</v>
      </c>
      <c r="I350" s="209" t="s">
        <v>133</v>
      </c>
      <c r="J350" s="209" t="s">
        <v>5658</v>
      </c>
      <c r="K350" s="209" t="s">
        <v>5664</v>
      </c>
      <c r="L350" s="209" t="s">
        <v>5665</v>
      </c>
      <c r="M350" s="209" t="s">
        <v>5666</v>
      </c>
      <c r="N350" s="209" t="s">
        <v>5662</v>
      </c>
      <c r="O350" s="209" t="s">
        <v>4575</v>
      </c>
      <c r="P350" s="209" t="s">
        <v>2179</v>
      </c>
      <c r="Q350" s="209" t="s">
        <v>2179</v>
      </c>
      <c r="R350" s="209" t="s">
        <v>2181</v>
      </c>
      <c r="S350" s="209" t="s">
        <v>133</v>
      </c>
      <c r="T350" s="209" t="s">
        <v>133</v>
      </c>
      <c r="U350" s="209" t="s">
        <v>133</v>
      </c>
      <c r="V350" s="209" t="s">
        <v>133</v>
      </c>
      <c r="W350" s="209" t="s">
        <v>133</v>
      </c>
      <c r="X350" s="209" t="s">
        <v>133</v>
      </c>
      <c r="Y350" s="209" t="s">
        <v>133</v>
      </c>
      <c r="Z350" s="209" t="s">
        <v>4710</v>
      </c>
      <c r="AA350" s="209" t="s">
        <v>133</v>
      </c>
      <c r="AB350" s="209" t="s">
        <v>133</v>
      </c>
      <c r="AC350" s="209" t="s">
        <v>133</v>
      </c>
      <c r="AD350" s="209" t="s">
        <v>133</v>
      </c>
      <c r="AE350" s="209" t="s">
        <v>4711</v>
      </c>
    </row>
    <row r="351" spans="1:31" x14ac:dyDescent="0.55000000000000004">
      <c r="A351" s="209" t="s">
        <v>5667</v>
      </c>
      <c r="B351" s="209" t="s">
        <v>4577</v>
      </c>
      <c r="C351" s="209" t="s">
        <v>4578</v>
      </c>
      <c r="D351" s="209" t="s">
        <v>4579</v>
      </c>
      <c r="E351" s="209" t="s">
        <v>4580</v>
      </c>
      <c r="F351" s="209" t="s">
        <v>4726</v>
      </c>
      <c r="G351" s="209" t="s">
        <v>4727</v>
      </c>
      <c r="H351" s="209" t="s">
        <v>133</v>
      </c>
      <c r="I351" s="209" t="s">
        <v>133</v>
      </c>
      <c r="J351" s="209" t="s">
        <v>5668</v>
      </c>
      <c r="K351" s="209" t="s">
        <v>5669</v>
      </c>
      <c r="L351" s="209" t="s">
        <v>5670</v>
      </c>
      <c r="M351" s="209" t="s">
        <v>5671</v>
      </c>
      <c r="N351" s="209" t="s">
        <v>5672</v>
      </c>
      <c r="O351" s="209" t="s">
        <v>4590</v>
      </c>
      <c r="P351" s="209" t="s">
        <v>2226</v>
      </c>
      <c r="Q351" s="209" t="s">
        <v>2226</v>
      </c>
      <c r="R351" s="209" t="s">
        <v>2181</v>
      </c>
      <c r="S351" s="209" t="s">
        <v>133</v>
      </c>
      <c r="T351" s="209" t="s">
        <v>133</v>
      </c>
      <c r="U351" s="209" t="s">
        <v>133</v>
      </c>
      <c r="V351" s="209" t="s">
        <v>133</v>
      </c>
      <c r="W351" s="209" t="s">
        <v>133</v>
      </c>
      <c r="X351" s="209" t="s">
        <v>133</v>
      </c>
      <c r="Y351" s="209" t="s">
        <v>133</v>
      </c>
      <c r="Z351" s="209" t="s">
        <v>4734</v>
      </c>
      <c r="AA351" s="209" t="s">
        <v>133</v>
      </c>
      <c r="AB351" s="209" t="s">
        <v>133</v>
      </c>
      <c r="AC351" s="209" t="s">
        <v>133</v>
      </c>
      <c r="AD351" s="209" t="s">
        <v>133</v>
      </c>
      <c r="AE351" s="209" t="s">
        <v>4735</v>
      </c>
    </row>
    <row r="352" spans="1:31" x14ac:dyDescent="0.55000000000000004">
      <c r="A352" s="209" t="s">
        <v>5673</v>
      </c>
      <c r="B352" s="209" t="s">
        <v>4592</v>
      </c>
      <c r="C352" s="209" t="s">
        <v>4593</v>
      </c>
      <c r="D352" s="209" t="s">
        <v>4594</v>
      </c>
      <c r="E352" s="209" t="s">
        <v>4595</v>
      </c>
      <c r="F352" s="209" t="s">
        <v>4726</v>
      </c>
      <c r="G352" s="209" t="s">
        <v>4727</v>
      </c>
      <c r="H352" s="209" t="s">
        <v>133</v>
      </c>
      <c r="I352" s="209" t="s">
        <v>133</v>
      </c>
      <c r="J352" s="209" t="s">
        <v>5668</v>
      </c>
      <c r="K352" s="209" t="s">
        <v>5674</v>
      </c>
      <c r="L352" s="209" t="s">
        <v>5675</v>
      </c>
      <c r="M352" s="209" t="s">
        <v>5676</v>
      </c>
      <c r="N352" s="209" t="s">
        <v>5672</v>
      </c>
      <c r="O352" s="209" t="s">
        <v>4601</v>
      </c>
      <c r="P352" s="209" t="s">
        <v>2226</v>
      </c>
      <c r="Q352" s="209" t="s">
        <v>2236</v>
      </c>
      <c r="R352" s="209" t="s">
        <v>2181</v>
      </c>
      <c r="S352" s="209" t="s">
        <v>133</v>
      </c>
      <c r="T352" s="209" t="s">
        <v>133</v>
      </c>
      <c r="U352" s="209" t="s">
        <v>133</v>
      </c>
      <c r="V352" s="209" t="s">
        <v>133</v>
      </c>
      <c r="W352" s="209" t="s">
        <v>133</v>
      </c>
      <c r="X352" s="209" t="s">
        <v>133</v>
      </c>
      <c r="Y352" s="209" t="s">
        <v>133</v>
      </c>
      <c r="Z352" s="209" t="s">
        <v>4734</v>
      </c>
      <c r="AA352" s="209" t="s">
        <v>133</v>
      </c>
      <c r="AB352" s="209" t="s">
        <v>133</v>
      </c>
      <c r="AC352" s="209" t="s">
        <v>133</v>
      </c>
      <c r="AD352" s="209" t="s">
        <v>133</v>
      </c>
      <c r="AE352" s="209" t="s">
        <v>4735</v>
      </c>
    </row>
    <row r="353" spans="1:31" x14ac:dyDescent="0.55000000000000004">
      <c r="A353" s="209" t="s">
        <v>5677</v>
      </c>
      <c r="B353" s="209" t="s">
        <v>4603</v>
      </c>
      <c r="C353" s="209" t="s">
        <v>4604</v>
      </c>
      <c r="D353" s="209" t="s">
        <v>4605</v>
      </c>
      <c r="E353" s="209" t="s">
        <v>4606</v>
      </c>
      <c r="F353" s="209" t="s">
        <v>4750</v>
      </c>
      <c r="G353" s="209" t="s">
        <v>4751</v>
      </c>
      <c r="H353" s="209" t="s">
        <v>133</v>
      </c>
      <c r="I353" s="209" t="s">
        <v>133</v>
      </c>
      <c r="J353" s="209" t="s">
        <v>5678</v>
      </c>
      <c r="K353" s="209" t="s">
        <v>5679</v>
      </c>
      <c r="L353" s="209" t="s">
        <v>5680</v>
      </c>
      <c r="M353" s="209" t="s">
        <v>5681</v>
      </c>
      <c r="N353" s="209" t="s">
        <v>5682</v>
      </c>
      <c r="O353" s="209" t="s">
        <v>4614</v>
      </c>
      <c r="P353" s="209" t="s">
        <v>2236</v>
      </c>
      <c r="Q353" s="209" t="s">
        <v>2250</v>
      </c>
      <c r="R353" s="209" t="s">
        <v>2181</v>
      </c>
      <c r="S353" s="209" t="s">
        <v>133</v>
      </c>
      <c r="T353" s="209" t="s">
        <v>133</v>
      </c>
      <c r="U353" s="209" t="s">
        <v>133</v>
      </c>
      <c r="V353" s="209" t="s">
        <v>133</v>
      </c>
      <c r="W353" s="209" t="s">
        <v>133</v>
      </c>
      <c r="X353" s="209" t="s">
        <v>133</v>
      </c>
      <c r="Y353" s="209" t="s">
        <v>133</v>
      </c>
      <c r="Z353" s="209" t="s">
        <v>4758</v>
      </c>
      <c r="AA353" s="209" t="s">
        <v>133</v>
      </c>
      <c r="AB353" s="209" t="s">
        <v>133</v>
      </c>
      <c r="AC353" s="209" t="s">
        <v>133</v>
      </c>
      <c r="AD353" s="209" t="s">
        <v>133</v>
      </c>
      <c r="AE353" s="209" t="s">
        <v>4759</v>
      </c>
    </row>
    <row r="354" spans="1:31" x14ac:dyDescent="0.55000000000000004">
      <c r="A354" s="209" t="s">
        <v>5683</v>
      </c>
      <c r="B354" s="209" t="s">
        <v>4617</v>
      </c>
      <c r="C354" s="209" t="s">
        <v>4618</v>
      </c>
      <c r="D354" s="209" t="s">
        <v>4619</v>
      </c>
      <c r="E354" s="209" t="s">
        <v>4620</v>
      </c>
      <c r="F354" s="209" t="s">
        <v>4750</v>
      </c>
      <c r="G354" s="209" t="s">
        <v>4751</v>
      </c>
      <c r="H354" s="209" t="s">
        <v>133</v>
      </c>
      <c r="I354" s="209" t="s">
        <v>133</v>
      </c>
      <c r="J354" s="209" t="s">
        <v>5678</v>
      </c>
      <c r="K354" s="209" t="s">
        <v>5684</v>
      </c>
      <c r="L354" s="209" t="s">
        <v>5685</v>
      </c>
      <c r="M354" s="209" t="s">
        <v>5686</v>
      </c>
      <c r="N354" s="209" t="s">
        <v>5682</v>
      </c>
      <c r="O354" s="209" t="s">
        <v>4624</v>
      </c>
      <c r="P354" s="209" t="s">
        <v>2236</v>
      </c>
      <c r="Q354" s="209" t="s">
        <v>2260</v>
      </c>
      <c r="R354" s="209" t="s">
        <v>2181</v>
      </c>
      <c r="S354" s="209" t="s">
        <v>133</v>
      </c>
      <c r="T354" s="209" t="s">
        <v>133</v>
      </c>
      <c r="U354" s="209" t="s">
        <v>133</v>
      </c>
      <c r="V354" s="209" t="s">
        <v>133</v>
      </c>
      <c r="W354" s="209" t="s">
        <v>133</v>
      </c>
      <c r="X354" s="209" t="s">
        <v>133</v>
      </c>
      <c r="Y354" s="209" t="s">
        <v>133</v>
      </c>
      <c r="Z354" s="209" t="s">
        <v>4758</v>
      </c>
      <c r="AA354" s="209" t="s">
        <v>133</v>
      </c>
      <c r="AB354" s="209" t="s">
        <v>133</v>
      </c>
      <c r="AC354" s="209" t="s">
        <v>133</v>
      </c>
      <c r="AD354" s="209" t="s">
        <v>133</v>
      </c>
      <c r="AE354" s="209" t="s">
        <v>4759</v>
      </c>
    </row>
    <row r="355" spans="1:31" x14ac:dyDescent="0.55000000000000004">
      <c r="A355" s="209" t="s">
        <v>5687</v>
      </c>
      <c r="B355" s="209" t="s">
        <v>4672</v>
      </c>
      <c r="C355" s="209" t="s">
        <v>4673</v>
      </c>
      <c r="D355" s="209" t="s">
        <v>4674</v>
      </c>
      <c r="E355" s="209" t="s">
        <v>4675</v>
      </c>
      <c r="F355" s="209" t="s">
        <v>4774</v>
      </c>
      <c r="G355" s="209" t="s">
        <v>4775</v>
      </c>
      <c r="H355" s="209" t="s">
        <v>133</v>
      </c>
      <c r="I355" s="209" t="s">
        <v>133</v>
      </c>
      <c r="J355" s="209" t="s">
        <v>5688</v>
      </c>
      <c r="K355" s="209" t="s">
        <v>5689</v>
      </c>
      <c r="L355" s="209" t="s">
        <v>5690</v>
      </c>
      <c r="M355" s="209" t="s">
        <v>5691</v>
      </c>
      <c r="N355" s="209" t="s">
        <v>5692</v>
      </c>
      <c r="O355" s="209" t="s">
        <v>4685</v>
      </c>
      <c r="P355" s="209" t="s">
        <v>2250</v>
      </c>
      <c r="Q355" s="209" t="s">
        <v>2274</v>
      </c>
      <c r="R355" s="209" t="s">
        <v>2181</v>
      </c>
      <c r="S355" s="209" t="s">
        <v>133</v>
      </c>
      <c r="T355" s="209" t="s">
        <v>133</v>
      </c>
      <c r="U355" s="209" t="s">
        <v>133</v>
      </c>
      <c r="V355" s="209" t="s">
        <v>133</v>
      </c>
      <c r="W355" s="209" t="s">
        <v>133</v>
      </c>
      <c r="X355" s="209" t="s">
        <v>133</v>
      </c>
      <c r="Y355" s="209" t="s">
        <v>133</v>
      </c>
      <c r="Z355" s="209" t="s">
        <v>4782</v>
      </c>
      <c r="AA355" s="209" t="s">
        <v>133</v>
      </c>
      <c r="AB355" s="209" t="s">
        <v>133</v>
      </c>
      <c r="AC355" s="209" t="s">
        <v>133</v>
      </c>
      <c r="AD355" s="209" t="s">
        <v>133</v>
      </c>
      <c r="AE355" s="209" t="s">
        <v>4783</v>
      </c>
    </row>
    <row r="356" spans="1:31" x14ac:dyDescent="0.55000000000000004">
      <c r="A356" s="209" t="s">
        <v>5693</v>
      </c>
      <c r="B356" s="209" t="s">
        <v>4687</v>
      </c>
      <c r="C356" s="209" t="s">
        <v>4688</v>
      </c>
      <c r="D356" s="209" t="s">
        <v>4689</v>
      </c>
      <c r="E356" s="209" t="s">
        <v>4690</v>
      </c>
      <c r="F356" s="209" t="s">
        <v>4774</v>
      </c>
      <c r="G356" s="209" t="s">
        <v>4775</v>
      </c>
      <c r="H356" s="209" t="s">
        <v>133</v>
      </c>
      <c r="I356" s="209" t="s">
        <v>133</v>
      </c>
      <c r="J356" s="209" t="s">
        <v>5688</v>
      </c>
      <c r="K356" s="209" t="s">
        <v>5694</v>
      </c>
      <c r="L356" s="209" t="s">
        <v>5695</v>
      </c>
      <c r="M356" s="209" t="s">
        <v>5696</v>
      </c>
      <c r="N356" s="209" t="s">
        <v>5692</v>
      </c>
      <c r="O356" s="209" t="s">
        <v>4696</v>
      </c>
      <c r="P356" s="209" t="s">
        <v>2250</v>
      </c>
      <c r="Q356" s="209" t="s">
        <v>2284</v>
      </c>
      <c r="R356" s="209" t="s">
        <v>2181</v>
      </c>
      <c r="S356" s="209" t="s">
        <v>133</v>
      </c>
      <c r="T356" s="209" t="s">
        <v>133</v>
      </c>
      <c r="U356" s="209" t="s">
        <v>133</v>
      </c>
      <c r="V356" s="209" t="s">
        <v>133</v>
      </c>
      <c r="W356" s="209" t="s">
        <v>133</v>
      </c>
      <c r="X356" s="209" t="s">
        <v>133</v>
      </c>
      <c r="Y356" s="209" t="s">
        <v>133</v>
      </c>
      <c r="Z356" s="209" t="s">
        <v>4782</v>
      </c>
      <c r="AA356" s="209" t="s">
        <v>133</v>
      </c>
      <c r="AB356" s="209" t="s">
        <v>133</v>
      </c>
      <c r="AC356" s="209" t="s">
        <v>133</v>
      </c>
      <c r="AD356" s="209" t="s">
        <v>133</v>
      </c>
      <c r="AE356" s="209" t="s">
        <v>4783</v>
      </c>
    </row>
    <row r="357" spans="1:31" x14ac:dyDescent="0.55000000000000004">
      <c r="A357" s="209" t="s">
        <v>5697</v>
      </c>
      <c r="B357" s="209" t="s">
        <v>4698</v>
      </c>
      <c r="C357" s="209" t="s">
        <v>4699</v>
      </c>
      <c r="D357" s="209" t="s">
        <v>4700</v>
      </c>
      <c r="E357" s="209" t="s">
        <v>4701</v>
      </c>
      <c r="F357" s="209" t="s">
        <v>4798</v>
      </c>
      <c r="G357" s="209" t="s">
        <v>4799</v>
      </c>
      <c r="H357" s="209" t="s">
        <v>133</v>
      </c>
      <c r="I357" s="209" t="s">
        <v>133</v>
      </c>
      <c r="J357" s="209" t="s">
        <v>5698</v>
      </c>
      <c r="K357" s="209" t="s">
        <v>5699</v>
      </c>
      <c r="L357" s="209" t="s">
        <v>5700</v>
      </c>
      <c r="M357" s="209" t="s">
        <v>5701</v>
      </c>
      <c r="N357" s="209" t="s">
        <v>5702</v>
      </c>
      <c r="O357" s="209" t="s">
        <v>4709</v>
      </c>
      <c r="P357" s="209" t="s">
        <v>2179</v>
      </c>
      <c r="Q357" s="209" t="s">
        <v>2180</v>
      </c>
      <c r="R357" s="209" t="s">
        <v>2181</v>
      </c>
      <c r="S357" s="209" t="s">
        <v>133</v>
      </c>
      <c r="T357" s="209" t="s">
        <v>133</v>
      </c>
      <c r="U357" s="209" t="s">
        <v>133</v>
      </c>
      <c r="V357" s="209" t="s">
        <v>133</v>
      </c>
      <c r="W357" s="209" t="s">
        <v>133</v>
      </c>
      <c r="X357" s="209" t="s">
        <v>133</v>
      </c>
      <c r="Y357" s="209" t="s">
        <v>133</v>
      </c>
      <c r="Z357" s="209" t="s">
        <v>4806</v>
      </c>
      <c r="AA357" s="209" t="s">
        <v>133</v>
      </c>
      <c r="AB357" s="209" t="s">
        <v>133</v>
      </c>
      <c r="AC357" s="209" t="s">
        <v>133</v>
      </c>
      <c r="AD357" s="209" t="s">
        <v>133</v>
      </c>
      <c r="AE357" s="209" t="s">
        <v>4807</v>
      </c>
    </row>
    <row r="358" spans="1:31" x14ac:dyDescent="0.55000000000000004">
      <c r="A358" s="209" t="s">
        <v>5703</v>
      </c>
      <c r="B358" s="209" t="s">
        <v>4713</v>
      </c>
      <c r="C358" s="209" t="s">
        <v>4714</v>
      </c>
      <c r="D358" s="209" t="s">
        <v>4715</v>
      </c>
      <c r="E358" s="209" t="s">
        <v>4716</v>
      </c>
      <c r="F358" s="209" t="s">
        <v>4798</v>
      </c>
      <c r="G358" s="209" t="s">
        <v>4799</v>
      </c>
      <c r="H358" s="209" t="s">
        <v>133</v>
      </c>
      <c r="I358" s="209" t="s">
        <v>133</v>
      </c>
      <c r="J358" s="209" t="s">
        <v>5698</v>
      </c>
      <c r="K358" s="209" t="s">
        <v>5704</v>
      </c>
      <c r="L358" s="209" t="s">
        <v>5705</v>
      </c>
      <c r="M358" s="209" t="s">
        <v>5706</v>
      </c>
      <c r="N358" s="209" t="s">
        <v>5702</v>
      </c>
      <c r="O358" s="209" t="s">
        <v>4720</v>
      </c>
      <c r="P358" s="209" t="s">
        <v>2179</v>
      </c>
      <c r="Q358" s="209" t="s">
        <v>2179</v>
      </c>
      <c r="R358" s="209" t="s">
        <v>2181</v>
      </c>
      <c r="S358" s="209" t="s">
        <v>133</v>
      </c>
      <c r="T358" s="209" t="s">
        <v>133</v>
      </c>
      <c r="U358" s="209" t="s">
        <v>133</v>
      </c>
      <c r="V358" s="209" t="s">
        <v>133</v>
      </c>
      <c r="W358" s="209" t="s">
        <v>133</v>
      </c>
      <c r="X358" s="209" t="s">
        <v>133</v>
      </c>
      <c r="Y358" s="209" t="s">
        <v>133</v>
      </c>
      <c r="Z358" s="209" t="s">
        <v>4806</v>
      </c>
      <c r="AA358" s="209" t="s">
        <v>133</v>
      </c>
      <c r="AB358" s="209" t="s">
        <v>133</v>
      </c>
      <c r="AC358" s="209" t="s">
        <v>133</v>
      </c>
      <c r="AD358" s="209" t="s">
        <v>133</v>
      </c>
      <c r="AE358" s="209" t="s">
        <v>4807</v>
      </c>
    </row>
    <row r="359" spans="1:31" x14ac:dyDescent="0.55000000000000004">
      <c r="A359" s="209" t="s">
        <v>5707</v>
      </c>
      <c r="B359" s="209" t="s">
        <v>4722</v>
      </c>
      <c r="C359" s="209" t="s">
        <v>4723</v>
      </c>
      <c r="D359" s="209" t="s">
        <v>4724</v>
      </c>
      <c r="E359" s="209" t="s">
        <v>4725</v>
      </c>
      <c r="F359" s="209" t="s">
        <v>4822</v>
      </c>
      <c r="G359" s="209" t="s">
        <v>4823</v>
      </c>
      <c r="H359" s="209" t="s">
        <v>133</v>
      </c>
      <c r="I359" s="209" t="s">
        <v>133</v>
      </c>
      <c r="J359" s="209" t="s">
        <v>5708</v>
      </c>
      <c r="K359" s="209" t="s">
        <v>5709</v>
      </c>
      <c r="L359" s="209" t="s">
        <v>5710</v>
      </c>
      <c r="M359" s="209" t="s">
        <v>5711</v>
      </c>
      <c r="N359" s="209" t="s">
        <v>5712</v>
      </c>
      <c r="O359" s="209" t="s">
        <v>4733</v>
      </c>
      <c r="P359" s="209" t="s">
        <v>2226</v>
      </c>
      <c r="Q359" s="209" t="s">
        <v>2226</v>
      </c>
      <c r="R359" s="209" t="s">
        <v>2181</v>
      </c>
      <c r="S359" s="209" t="s">
        <v>133</v>
      </c>
      <c r="T359" s="209" t="s">
        <v>133</v>
      </c>
      <c r="U359" s="209" t="s">
        <v>133</v>
      </c>
      <c r="V359" s="209" t="s">
        <v>133</v>
      </c>
      <c r="W359" s="209" t="s">
        <v>133</v>
      </c>
      <c r="X359" s="209" t="s">
        <v>133</v>
      </c>
      <c r="Y359" s="209" t="s">
        <v>133</v>
      </c>
      <c r="Z359" s="209" t="s">
        <v>4830</v>
      </c>
      <c r="AA359" s="209" t="s">
        <v>133</v>
      </c>
      <c r="AB359" s="209" t="s">
        <v>133</v>
      </c>
      <c r="AC359" s="209" t="s">
        <v>133</v>
      </c>
      <c r="AD359" s="209" t="s">
        <v>133</v>
      </c>
      <c r="AE359" s="209" t="s">
        <v>4831</v>
      </c>
    </row>
    <row r="360" spans="1:31" x14ac:dyDescent="0.55000000000000004">
      <c r="A360" s="209" t="s">
        <v>5713</v>
      </c>
      <c r="B360" s="209" t="s">
        <v>4737</v>
      </c>
      <c r="C360" s="209" t="s">
        <v>4738</v>
      </c>
      <c r="D360" s="209" t="s">
        <v>4739</v>
      </c>
      <c r="E360" s="209" t="s">
        <v>4740</v>
      </c>
      <c r="F360" s="209" t="s">
        <v>4822</v>
      </c>
      <c r="G360" s="209" t="s">
        <v>4823</v>
      </c>
      <c r="H360" s="209" t="s">
        <v>133</v>
      </c>
      <c r="I360" s="209" t="s">
        <v>133</v>
      </c>
      <c r="J360" s="209" t="s">
        <v>5708</v>
      </c>
      <c r="K360" s="209" t="s">
        <v>5714</v>
      </c>
      <c r="L360" s="209" t="s">
        <v>5715</v>
      </c>
      <c r="M360" s="209" t="s">
        <v>5716</v>
      </c>
      <c r="N360" s="209" t="s">
        <v>5712</v>
      </c>
      <c r="O360" s="209" t="s">
        <v>4744</v>
      </c>
      <c r="P360" s="209" t="s">
        <v>2226</v>
      </c>
      <c r="Q360" s="209" t="s">
        <v>2236</v>
      </c>
      <c r="R360" s="209" t="s">
        <v>2181</v>
      </c>
      <c r="S360" s="209" t="s">
        <v>133</v>
      </c>
      <c r="T360" s="209" t="s">
        <v>133</v>
      </c>
      <c r="U360" s="209" t="s">
        <v>133</v>
      </c>
      <c r="V360" s="209" t="s">
        <v>133</v>
      </c>
      <c r="W360" s="209" t="s">
        <v>133</v>
      </c>
      <c r="X360" s="209" t="s">
        <v>133</v>
      </c>
      <c r="Y360" s="209" t="s">
        <v>133</v>
      </c>
      <c r="Z360" s="209" t="s">
        <v>4830</v>
      </c>
      <c r="AA360" s="209" t="s">
        <v>133</v>
      </c>
      <c r="AB360" s="209" t="s">
        <v>133</v>
      </c>
      <c r="AC360" s="209" t="s">
        <v>133</v>
      </c>
      <c r="AD360" s="209" t="s">
        <v>133</v>
      </c>
      <c r="AE360" s="209" t="s">
        <v>4831</v>
      </c>
    </row>
    <row r="361" spans="1:31" x14ac:dyDescent="0.55000000000000004">
      <c r="A361" s="209" t="s">
        <v>5717</v>
      </c>
      <c r="B361" s="209" t="s">
        <v>4746</v>
      </c>
      <c r="C361" s="209" t="s">
        <v>4747</v>
      </c>
      <c r="D361" s="209" t="s">
        <v>4748</v>
      </c>
      <c r="E361" s="209" t="s">
        <v>4749</v>
      </c>
      <c r="F361" s="209" t="s">
        <v>4846</v>
      </c>
      <c r="G361" s="209" t="s">
        <v>4847</v>
      </c>
      <c r="H361" s="209" t="s">
        <v>133</v>
      </c>
      <c r="I361" s="209" t="s">
        <v>133</v>
      </c>
      <c r="J361" s="209" t="s">
        <v>5718</v>
      </c>
      <c r="K361" s="209" t="s">
        <v>5719</v>
      </c>
      <c r="L361" s="209" t="s">
        <v>5720</v>
      </c>
      <c r="M361" s="209" t="s">
        <v>5721</v>
      </c>
      <c r="N361" s="209" t="s">
        <v>5722</v>
      </c>
      <c r="O361" s="209" t="s">
        <v>4757</v>
      </c>
      <c r="P361" s="209" t="s">
        <v>2236</v>
      </c>
      <c r="Q361" s="209" t="s">
        <v>2250</v>
      </c>
      <c r="R361" s="209" t="s">
        <v>2181</v>
      </c>
      <c r="S361" s="209" t="s">
        <v>133</v>
      </c>
      <c r="T361" s="209" t="s">
        <v>133</v>
      </c>
      <c r="U361" s="209" t="s">
        <v>133</v>
      </c>
      <c r="V361" s="209" t="s">
        <v>133</v>
      </c>
      <c r="W361" s="209" t="s">
        <v>133</v>
      </c>
      <c r="X361" s="209" t="s">
        <v>133</v>
      </c>
      <c r="Y361" s="209" t="s">
        <v>133</v>
      </c>
      <c r="Z361" s="209" t="s">
        <v>4854</v>
      </c>
      <c r="AA361" s="209" t="s">
        <v>133</v>
      </c>
      <c r="AB361" s="209" t="s">
        <v>133</v>
      </c>
      <c r="AC361" s="209" t="s">
        <v>133</v>
      </c>
      <c r="AD361" s="209" t="s">
        <v>133</v>
      </c>
      <c r="AE361" s="209" t="s">
        <v>4855</v>
      </c>
    </row>
    <row r="362" spans="1:31" x14ac:dyDescent="0.55000000000000004">
      <c r="A362" s="209" t="s">
        <v>5723</v>
      </c>
      <c r="B362" s="209" t="s">
        <v>4761</v>
      </c>
      <c r="C362" s="209" t="s">
        <v>4762</v>
      </c>
      <c r="D362" s="209" t="s">
        <v>4763</v>
      </c>
      <c r="E362" s="209" t="s">
        <v>4764</v>
      </c>
      <c r="F362" s="209" t="s">
        <v>4846</v>
      </c>
      <c r="G362" s="209" t="s">
        <v>4847</v>
      </c>
      <c r="H362" s="209" t="s">
        <v>133</v>
      </c>
      <c r="I362" s="209" t="s">
        <v>133</v>
      </c>
      <c r="J362" s="209" t="s">
        <v>5718</v>
      </c>
      <c r="K362" s="209" t="s">
        <v>5724</v>
      </c>
      <c r="L362" s="209" t="s">
        <v>5725</v>
      </c>
      <c r="M362" s="209" t="s">
        <v>5726</v>
      </c>
      <c r="N362" s="209" t="s">
        <v>5722</v>
      </c>
      <c r="O362" s="209" t="s">
        <v>4768</v>
      </c>
      <c r="P362" s="209" t="s">
        <v>2236</v>
      </c>
      <c r="Q362" s="209" t="s">
        <v>2260</v>
      </c>
      <c r="R362" s="209" t="s">
        <v>2181</v>
      </c>
      <c r="S362" s="209" t="s">
        <v>133</v>
      </c>
      <c r="T362" s="209" t="s">
        <v>133</v>
      </c>
      <c r="U362" s="209" t="s">
        <v>133</v>
      </c>
      <c r="V362" s="209" t="s">
        <v>133</v>
      </c>
      <c r="W362" s="209" t="s">
        <v>133</v>
      </c>
      <c r="X362" s="209" t="s">
        <v>133</v>
      </c>
      <c r="Y362" s="209" t="s">
        <v>133</v>
      </c>
      <c r="Z362" s="209" t="s">
        <v>4854</v>
      </c>
      <c r="AA362" s="209" t="s">
        <v>133</v>
      </c>
      <c r="AB362" s="209" t="s">
        <v>133</v>
      </c>
      <c r="AC362" s="209" t="s">
        <v>133</v>
      </c>
      <c r="AD362" s="209" t="s">
        <v>133</v>
      </c>
      <c r="AE362" s="209" t="s">
        <v>4855</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4414E-DB6A-4A72-82C5-FA00AE222C2C}">
  <sheetPr codeName="Sheet4">
    <tabColor theme="0" tint="-0.499984740745262"/>
  </sheetPr>
  <dimension ref="A1:F96"/>
  <sheetViews>
    <sheetView workbookViewId="0">
      <selection sqref="A1:F92"/>
    </sheetView>
  </sheetViews>
  <sheetFormatPr defaultRowHeight="18" x14ac:dyDescent="0.55000000000000004"/>
  <cols>
    <col min="1" max="1" width="17.33203125" bestFit="1" customWidth="1"/>
    <col min="2" max="2" width="18.33203125" bestFit="1" customWidth="1"/>
    <col min="3" max="3" width="21.1640625" bestFit="1" customWidth="1"/>
    <col min="4" max="4" width="22.08203125" style="43" bestFit="1" customWidth="1"/>
    <col min="5" max="5" width="13.1640625" style="43" bestFit="1" customWidth="1"/>
    <col min="6" max="6" width="11.5" style="43" bestFit="1" customWidth="1"/>
  </cols>
  <sheetData>
    <row r="1" spans="1:6" x14ac:dyDescent="0.55000000000000004">
      <c r="A1" t="s">
        <v>119</v>
      </c>
      <c r="B1" t="s">
        <v>1850</v>
      </c>
      <c r="C1" t="s">
        <v>1851</v>
      </c>
      <c r="D1" t="s">
        <v>886</v>
      </c>
      <c r="E1" t="s">
        <v>887</v>
      </c>
      <c r="F1" t="s">
        <v>888</v>
      </c>
    </row>
    <row r="2" spans="1:6" x14ac:dyDescent="0.55000000000000004">
      <c r="A2" s="209" t="s">
        <v>132</v>
      </c>
      <c r="B2" s="209" t="s">
        <v>133</v>
      </c>
      <c r="C2" s="209" t="s">
        <v>133</v>
      </c>
      <c r="D2" s="209" t="s">
        <v>133</v>
      </c>
      <c r="E2" s="209" t="s">
        <v>133</v>
      </c>
      <c r="F2" s="209" t="s">
        <v>133</v>
      </c>
    </row>
    <row r="3" spans="1:6" x14ac:dyDescent="0.55000000000000004">
      <c r="A3" s="209" t="s">
        <v>1852</v>
      </c>
      <c r="B3" s="209" t="s">
        <v>1853</v>
      </c>
      <c r="C3" s="209" t="s">
        <v>1854</v>
      </c>
      <c r="D3" s="209" t="s">
        <v>133</v>
      </c>
      <c r="E3" s="209" t="s">
        <v>133</v>
      </c>
      <c r="F3" s="209" t="s">
        <v>133</v>
      </c>
    </row>
    <row r="4" spans="1:6" x14ac:dyDescent="0.55000000000000004">
      <c r="A4" s="209" t="s">
        <v>1855</v>
      </c>
      <c r="B4" s="209" t="s">
        <v>1856</v>
      </c>
      <c r="C4" s="209" t="s">
        <v>1854</v>
      </c>
      <c r="D4" s="209" t="s">
        <v>133</v>
      </c>
      <c r="E4" s="209" t="s">
        <v>133</v>
      </c>
      <c r="F4" s="209" t="s">
        <v>133</v>
      </c>
    </row>
    <row r="5" spans="1:6" x14ac:dyDescent="0.55000000000000004">
      <c r="A5" s="209" t="s">
        <v>1857</v>
      </c>
      <c r="B5" s="209" t="s">
        <v>1858</v>
      </c>
      <c r="C5" s="209" t="s">
        <v>1859</v>
      </c>
      <c r="D5" s="209" t="s">
        <v>133</v>
      </c>
      <c r="E5" s="209" t="s">
        <v>133</v>
      </c>
      <c r="F5" s="209" t="s">
        <v>133</v>
      </c>
    </row>
    <row r="6" spans="1:6" x14ac:dyDescent="0.55000000000000004">
      <c r="A6" s="209" t="s">
        <v>1860</v>
      </c>
      <c r="B6" s="209" t="s">
        <v>1861</v>
      </c>
      <c r="C6" s="209" t="s">
        <v>1859</v>
      </c>
      <c r="D6" s="209" t="s">
        <v>133</v>
      </c>
      <c r="E6" s="209" t="s">
        <v>133</v>
      </c>
      <c r="F6" s="209" t="s">
        <v>133</v>
      </c>
    </row>
    <row r="7" spans="1:6" x14ac:dyDescent="0.55000000000000004">
      <c r="A7" s="209" t="s">
        <v>1862</v>
      </c>
      <c r="B7" s="209" t="s">
        <v>1863</v>
      </c>
      <c r="C7" s="209" t="s">
        <v>133</v>
      </c>
      <c r="D7" s="209" t="s">
        <v>133</v>
      </c>
      <c r="E7" s="209" t="s">
        <v>133</v>
      </c>
      <c r="F7" s="209" t="s">
        <v>133</v>
      </c>
    </row>
    <row r="8" spans="1:6" x14ac:dyDescent="0.55000000000000004">
      <c r="A8" s="209" t="s">
        <v>1864</v>
      </c>
      <c r="B8" s="209" t="s">
        <v>1865</v>
      </c>
      <c r="C8" s="209" t="s">
        <v>133</v>
      </c>
      <c r="D8" s="209" t="s">
        <v>133</v>
      </c>
      <c r="E8" s="209" t="s">
        <v>133</v>
      </c>
      <c r="F8" s="209" t="s">
        <v>133</v>
      </c>
    </row>
    <row r="9" spans="1:6" x14ac:dyDescent="0.55000000000000004">
      <c r="A9" s="209" t="s">
        <v>1866</v>
      </c>
      <c r="B9" s="209" t="s">
        <v>1867</v>
      </c>
      <c r="C9" s="209" t="s">
        <v>133</v>
      </c>
      <c r="D9" s="209" t="s">
        <v>133</v>
      </c>
      <c r="E9" s="209" t="s">
        <v>133</v>
      </c>
      <c r="F9" s="209" t="s">
        <v>133</v>
      </c>
    </row>
    <row r="10" spans="1:6" x14ac:dyDescent="0.55000000000000004">
      <c r="A10" s="209" t="s">
        <v>1868</v>
      </c>
      <c r="B10" s="209" t="s">
        <v>1869</v>
      </c>
      <c r="C10" s="209" t="s">
        <v>133</v>
      </c>
      <c r="D10" s="209" t="s">
        <v>133</v>
      </c>
      <c r="E10" s="209" t="s">
        <v>133</v>
      </c>
      <c r="F10" s="209" t="s">
        <v>133</v>
      </c>
    </row>
    <row r="11" spans="1:6" x14ac:dyDescent="0.55000000000000004">
      <c r="A11" s="209" t="s">
        <v>1870</v>
      </c>
      <c r="B11" s="209" t="s">
        <v>1871</v>
      </c>
      <c r="C11" s="209" t="s">
        <v>133</v>
      </c>
      <c r="D11" s="209" t="s">
        <v>133</v>
      </c>
      <c r="E11" s="209" t="s">
        <v>133</v>
      </c>
      <c r="F11" s="209" t="s">
        <v>133</v>
      </c>
    </row>
    <row r="12" spans="1:6" x14ac:dyDescent="0.55000000000000004">
      <c r="A12" s="209" t="s">
        <v>1872</v>
      </c>
      <c r="B12" s="209" t="s">
        <v>1873</v>
      </c>
      <c r="C12" s="209" t="s">
        <v>133</v>
      </c>
      <c r="D12" s="209" t="s">
        <v>133</v>
      </c>
      <c r="E12" s="209" t="s">
        <v>133</v>
      </c>
      <c r="F12" s="209" t="s">
        <v>133</v>
      </c>
    </row>
    <row r="13" spans="1:6" x14ac:dyDescent="0.55000000000000004">
      <c r="A13" s="209" t="s">
        <v>1874</v>
      </c>
      <c r="B13" s="209" t="s">
        <v>1875</v>
      </c>
      <c r="C13" s="209" t="s">
        <v>133</v>
      </c>
      <c r="D13" s="209" t="s">
        <v>133</v>
      </c>
      <c r="E13" s="209" t="s">
        <v>133</v>
      </c>
      <c r="F13" s="209" t="s">
        <v>133</v>
      </c>
    </row>
    <row r="14" spans="1:6" x14ac:dyDescent="0.55000000000000004">
      <c r="A14" s="209" t="s">
        <v>1876</v>
      </c>
      <c r="B14" s="209" t="s">
        <v>1877</v>
      </c>
      <c r="C14" s="209" t="s">
        <v>133</v>
      </c>
      <c r="D14" s="209" t="s">
        <v>133</v>
      </c>
      <c r="E14" s="209" t="s">
        <v>133</v>
      </c>
      <c r="F14" s="209" t="s">
        <v>133</v>
      </c>
    </row>
    <row r="15" spans="1:6" x14ac:dyDescent="0.55000000000000004">
      <c r="A15" s="209" t="s">
        <v>1878</v>
      </c>
      <c r="B15" s="209" t="s">
        <v>1879</v>
      </c>
      <c r="C15" s="209" t="s">
        <v>133</v>
      </c>
      <c r="D15" s="209" t="s">
        <v>133</v>
      </c>
      <c r="E15" s="209" t="s">
        <v>133</v>
      </c>
      <c r="F15" s="209" t="s">
        <v>133</v>
      </c>
    </row>
    <row r="16" spans="1:6" x14ac:dyDescent="0.55000000000000004">
      <c r="A16" s="209" t="s">
        <v>1880</v>
      </c>
      <c r="B16" s="209" t="s">
        <v>1881</v>
      </c>
      <c r="C16" s="209" t="s">
        <v>133</v>
      </c>
      <c r="D16" s="209" t="s">
        <v>133</v>
      </c>
      <c r="E16" s="209" t="s">
        <v>133</v>
      </c>
      <c r="F16" s="209" t="s">
        <v>133</v>
      </c>
    </row>
    <row r="17" spans="1:6" x14ac:dyDescent="0.55000000000000004">
      <c r="A17" s="209" t="s">
        <v>1882</v>
      </c>
      <c r="B17" s="209" t="s">
        <v>1883</v>
      </c>
      <c r="C17" s="209" t="s">
        <v>133</v>
      </c>
      <c r="D17" s="209" t="s">
        <v>133</v>
      </c>
      <c r="E17" s="209" t="s">
        <v>133</v>
      </c>
      <c r="F17" s="209" t="s">
        <v>133</v>
      </c>
    </row>
    <row r="18" spans="1:6" x14ac:dyDescent="0.55000000000000004">
      <c r="A18" s="209" t="s">
        <v>1884</v>
      </c>
      <c r="B18" s="209" t="s">
        <v>1885</v>
      </c>
      <c r="C18" s="209" t="s">
        <v>133</v>
      </c>
      <c r="D18" s="209" t="s">
        <v>133</v>
      </c>
      <c r="E18" s="209" t="s">
        <v>133</v>
      </c>
      <c r="F18" s="209" t="s">
        <v>133</v>
      </c>
    </row>
    <row r="19" spans="1:6" x14ac:dyDescent="0.55000000000000004">
      <c r="A19" s="209" t="s">
        <v>1886</v>
      </c>
      <c r="B19" s="209" t="s">
        <v>1887</v>
      </c>
      <c r="C19" s="209" t="s">
        <v>133</v>
      </c>
      <c r="D19" s="209" t="s">
        <v>133</v>
      </c>
      <c r="E19" s="209" t="s">
        <v>133</v>
      </c>
      <c r="F19" s="209" t="s">
        <v>133</v>
      </c>
    </row>
    <row r="20" spans="1:6" x14ac:dyDescent="0.55000000000000004">
      <c r="A20" s="209" t="s">
        <v>1888</v>
      </c>
      <c r="B20" s="209" t="s">
        <v>1889</v>
      </c>
      <c r="C20" s="209" t="s">
        <v>133</v>
      </c>
      <c r="D20" s="209" t="s">
        <v>133</v>
      </c>
      <c r="E20" s="209" t="s">
        <v>133</v>
      </c>
      <c r="F20" s="209" t="s">
        <v>133</v>
      </c>
    </row>
    <row r="21" spans="1:6" x14ac:dyDescent="0.55000000000000004">
      <c r="A21" s="209" t="s">
        <v>1890</v>
      </c>
      <c r="B21" s="209" t="s">
        <v>1891</v>
      </c>
      <c r="C21" s="209" t="s">
        <v>133</v>
      </c>
      <c r="D21" s="209" t="s">
        <v>133</v>
      </c>
      <c r="E21" s="209" t="s">
        <v>133</v>
      </c>
      <c r="F21" s="209" t="s">
        <v>133</v>
      </c>
    </row>
    <row r="22" spans="1:6" x14ac:dyDescent="0.55000000000000004">
      <c r="A22" s="209" t="s">
        <v>1892</v>
      </c>
      <c r="B22" s="209" t="s">
        <v>1893</v>
      </c>
      <c r="C22" s="209" t="s">
        <v>133</v>
      </c>
      <c r="D22" s="209" t="s">
        <v>133</v>
      </c>
      <c r="E22" s="209" t="s">
        <v>133</v>
      </c>
      <c r="F22" s="209" t="s">
        <v>133</v>
      </c>
    </row>
    <row r="23" spans="1:6" x14ac:dyDescent="0.55000000000000004">
      <c r="A23" s="209" t="s">
        <v>1894</v>
      </c>
      <c r="B23" s="209" t="s">
        <v>1895</v>
      </c>
      <c r="C23" s="209" t="s">
        <v>133</v>
      </c>
      <c r="D23" s="209" t="s">
        <v>133</v>
      </c>
      <c r="E23" s="209" t="s">
        <v>133</v>
      </c>
      <c r="F23" s="209" t="s">
        <v>133</v>
      </c>
    </row>
    <row r="24" spans="1:6" x14ac:dyDescent="0.55000000000000004">
      <c r="A24" s="209" t="s">
        <v>1896</v>
      </c>
      <c r="B24" s="209" t="s">
        <v>1897</v>
      </c>
      <c r="C24" s="209" t="s">
        <v>133</v>
      </c>
      <c r="D24" s="209" t="s">
        <v>133</v>
      </c>
      <c r="E24" s="209" t="s">
        <v>133</v>
      </c>
      <c r="F24" s="209" t="s">
        <v>133</v>
      </c>
    </row>
    <row r="25" spans="1:6" x14ac:dyDescent="0.55000000000000004">
      <c r="A25" s="209" t="s">
        <v>1898</v>
      </c>
      <c r="B25" s="209" t="s">
        <v>1899</v>
      </c>
      <c r="C25" s="209" t="s">
        <v>133</v>
      </c>
      <c r="D25" s="209" t="s">
        <v>133</v>
      </c>
      <c r="E25" s="209" t="s">
        <v>133</v>
      </c>
      <c r="F25" s="209" t="s">
        <v>133</v>
      </c>
    </row>
    <row r="26" spans="1:6" x14ac:dyDescent="0.55000000000000004">
      <c r="A26" s="209" t="s">
        <v>1900</v>
      </c>
      <c r="B26" s="209" t="s">
        <v>1901</v>
      </c>
      <c r="C26" s="209" t="s">
        <v>133</v>
      </c>
      <c r="D26" s="209" t="s">
        <v>133</v>
      </c>
      <c r="E26" s="209" t="s">
        <v>133</v>
      </c>
      <c r="F26" s="209" t="s">
        <v>133</v>
      </c>
    </row>
    <row r="27" spans="1:6" x14ac:dyDescent="0.55000000000000004">
      <c r="A27" s="209" t="s">
        <v>1902</v>
      </c>
      <c r="B27" s="209" t="s">
        <v>1903</v>
      </c>
      <c r="C27" s="209" t="s">
        <v>133</v>
      </c>
      <c r="D27" s="209" t="s">
        <v>133</v>
      </c>
      <c r="E27" s="209" t="s">
        <v>133</v>
      </c>
      <c r="F27" s="209" t="s">
        <v>133</v>
      </c>
    </row>
    <row r="28" spans="1:6" x14ac:dyDescent="0.55000000000000004">
      <c r="A28" s="209" t="s">
        <v>1904</v>
      </c>
      <c r="B28" s="209" t="s">
        <v>1905</v>
      </c>
      <c r="C28" s="209" t="s">
        <v>133</v>
      </c>
      <c r="D28" s="209" t="s">
        <v>133</v>
      </c>
      <c r="E28" s="209" t="s">
        <v>133</v>
      </c>
      <c r="F28" s="209" t="s">
        <v>133</v>
      </c>
    </row>
    <row r="29" spans="1:6" x14ac:dyDescent="0.55000000000000004">
      <c r="A29" s="209" t="s">
        <v>1906</v>
      </c>
      <c r="B29" s="209" t="s">
        <v>1907</v>
      </c>
      <c r="C29" s="209" t="s">
        <v>133</v>
      </c>
      <c r="D29" s="209" t="s">
        <v>133</v>
      </c>
      <c r="E29" s="209" t="s">
        <v>133</v>
      </c>
      <c r="F29" s="209" t="s">
        <v>133</v>
      </c>
    </row>
    <row r="30" spans="1:6" x14ac:dyDescent="0.55000000000000004">
      <c r="A30" s="209" t="s">
        <v>1908</v>
      </c>
      <c r="B30" s="209" t="s">
        <v>1909</v>
      </c>
      <c r="C30" s="209" t="s">
        <v>133</v>
      </c>
      <c r="D30" s="209" t="s">
        <v>133</v>
      </c>
      <c r="E30" s="209" t="s">
        <v>133</v>
      </c>
      <c r="F30" s="209" t="s">
        <v>133</v>
      </c>
    </row>
    <row r="31" spans="1:6" x14ac:dyDescent="0.55000000000000004">
      <c r="A31" s="209" t="s">
        <v>5997</v>
      </c>
      <c r="B31" s="209" t="s">
        <v>1970</v>
      </c>
      <c r="C31" s="209" t="s">
        <v>1854</v>
      </c>
      <c r="D31" s="209" t="s">
        <v>6025</v>
      </c>
      <c r="E31" s="209" t="s">
        <v>6026</v>
      </c>
      <c r="F31" s="209" t="s">
        <v>1217</v>
      </c>
    </row>
    <row r="32" spans="1:6" x14ac:dyDescent="0.55000000000000004">
      <c r="A32" s="209" t="s">
        <v>5998</v>
      </c>
      <c r="B32" s="209" t="s">
        <v>1971</v>
      </c>
      <c r="C32" s="209" t="s">
        <v>1854</v>
      </c>
      <c r="D32" s="209" t="s">
        <v>6025</v>
      </c>
      <c r="E32" s="209" t="s">
        <v>6026</v>
      </c>
      <c r="F32" s="209" t="s">
        <v>1223</v>
      </c>
    </row>
    <row r="33" spans="1:6" x14ac:dyDescent="0.55000000000000004">
      <c r="A33" s="209" t="s">
        <v>1910</v>
      </c>
      <c r="B33" s="209" t="s">
        <v>1911</v>
      </c>
      <c r="C33" s="209" t="s">
        <v>1854</v>
      </c>
      <c r="D33" s="209" t="s">
        <v>5989</v>
      </c>
      <c r="E33" s="209" t="s">
        <v>996</v>
      </c>
      <c r="F33" s="209" t="s">
        <v>1756</v>
      </c>
    </row>
    <row r="34" spans="1:6" x14ac:dyDescent="0.55000000000000004">
      <c r="A34" s="209" t="s">
        <v>1912</v>
      </c>
      <c r="B34" s="209" t="s">
        <v>1913</v>
      </c>
      <c r="C34" s="209" t="s">
        <v>1854</v>
      </c>
      <c r="D34" s="209" t="s">
        <v>5989</v>
      </c>
      <c r="E34" s="209" t="s">
        <v>996</v>
      </c>
      <c r="F34" s="209" t="s">
        <v>1762</v>
      </c>
    </row>
    <row r="35" spans="1:6" x14ac:dyDescent="0.55000000000000004">
      <c r="A35" s="209" t="s">
        <v>1914</v>
      </c>
      <c r="B35" s="209" t="s">
        <v>1915</v>
      </c>
      <c r="C35" s="209" t="s">
        <v>1854</v>
      </c>
      <c r="D35" s="209" t="s">
        <v>5990</v>
      </c>
      <c r="E35" s="209" t="s">
        <v>1011</v>
      </c>
      <c r="F35" s="209" t="s">
        <v>1756</v>
      </c>
    </row>
    <row r="36" spans="1:6" x14ac:dyDescent="0.55000000000000004">
      <c r="A36" s="209" t="s">
        <v>1916</v>
      </c>
      <c r="B36" s="209" t="s">
        <v>1917</v>
      </c>
      <c r="C36" s="209" t="s">
        <v>1854</v>
      </c>
      <c r="D36" s="209" t="s">
        <v>5990</v>
      </c>
      <c r="E36" s="209" t="s">
        <v>1011</v>
      </c>
      <c r="F36" s="209" t="s">
        <v>1762</v>
      </c>
    </row>
    <row r="37" spans="1:6" x14ac:dyDescent="0.55000000000000004">
      <c r="A37" s="209" t="s">
        <v>1918</v>
      </c>
      <c r="B37" s="209" t="s">
        <v>1919</v>
      </c>
      <c r="C37" s="209" t="s">
        <v>133</v>
      </c>
      <c r="D37" s="209" t="s">
        <v>133</v>
      </c>
      <c r="E37" s="209" t="s">
        <v>133</v>
      </c>
      <c r="F37" s="209" t="s">
        <v>133</v>
      </c>
    </row>
    <row r="38" spans="1:6" x14ac:dyDescent="0.55000000000000004">
      <c r="A38" s="209" t="s">
        <v>1920</v>
      </c>
      <c r="B38" s="209" t="s">
        <v>1921</v>
      </c>
      <c r="C38" s="209" t="s">
        <v>133</v>
      </c>
      <c r="D38" s="209" t="s">
        <v>133</v>
      </c>
      <c r="E38" s="209" t="s">
        <v>133</v>
      </c>
      <c r="F38" s="209" t="s">
        <v>133</v>
      </c>
    </row>
    <row r="39" spans="1:6" x14ac:dyDescent="0.55000000000000004">
      <c r="A39" s="209" t="s">
        <v>1922</v>
      </c>
      <c r="B39" s="209" t="s">
        <v>1923</v>
      </c>
      <c r="C39" s="209" t="s">
        <v>133</v>
      </c>
      <c r="D39" s="209" t="s">
        <v>133</v>
      </c>
      <c r="E39" s="209" t="s">
        <v>133</v>
      </c>
      <c r="F39" s="209" t="s">
        <v>133</v>
      </c>
    </row>
    <row r="40" spans="1:6" x14ac:dyDescent="0.55000000000000004">
      <c r="A40" s="209" t="s">
        <v>1924</v>
      </c>
      <c r="B40" s="209" t="s">
        <v>1925</v>
      </c>
      <c r="C40" s="209" t="s">
        <v>133</v>
      </c>
      <c r="D40" s="209" t="s">
        <v>133</v>
      </c>
      <c r="E40" s="209" t="s">
        <v>133</v>
      </c>
      <c r="F40" s="209" t="s">
        <v>133</v>
      </c>
    </row>
    <row r="41" spans="1:6" x14ac:dyDescent="0.55000000000000004">
      <c r="A41" s="209" t="s">
        <v>1926</v>
      </c>
      <c r="B41" s="209" t="s">
        <v>1927</v>
      </c>
      <c r="C41" s="209" t="s">
        <v>133</v>
      </c>
      <c r="D41" s="209" t="s">
        <v>133</v>
      </c>
      <c r="E41" s="209" t="s">
        <v>133</v>
      </c>
      <c r="F41" s="209" t="s">
        <v>133</v>
      </c>
    </row>
    <row r="42" spans="1:6" x14ac:dyDescent="0.55000000000000004">
      <c r="A42" s="209" t="s">
        <v>1928</v>
      </c>
      <c r="B42" s="209" t="s">
        <v>1929</v>
      </c>
      <c r="C42" s="209" t="s">
        <v>133</v>
      </c>
      <c r="D42" s="209" t="s">
        <v>133</v>
      </c>
      <c r="E42" s="209" t="s">
        <v>133</v>
      </c>
      <c r="F42" s="209" t="s">
        <v>133</v>
      </c>
    </row>
    <row r="43" spans="1:6" x14ac:dyDescent="0.55000000000000004">
      <c r="A43" s="209" t="s">
        <v>1930</v>
      </c>
      <c r="B43" s="209" t="s">
        <v>1931</v>
      </c>
      <c r="C43" s="209" t="s">
        <v>133</v>
      </c>
      <c r="D43" s="209" t="s">
        <v>133</v>
      </c>
      <c r="E43" s="209" t="s">
        <v>133</v>
      </c>
      <c r="F43" s="209" t="s">
        <v>133</v>
      </c>
    </row>
    <row r="44" spans="1:6" x14ac:dyDescent="0.55000000000000004">
      <c r="A44" s="209" t="s">
        <v>1932</v>
      </c>
      <c r="B44" s="209" t="s">
        <v>1933</v>
      </c>
      <c r="C44" s="209" t="s">
        <v>133</v>
      </c>
      <c r="D44" s="209" t="s">
        <v>133</v>
      </c>
      <c r="E44" s="209" t="s">
        <v>133</v>
      </c>
      <c r="F44" s="209" t="s">
        <v>133</v>
      </c>
    </row>
    <row r="45" spans="1:6" x14ac:dyDescent="0.55000000000000004">
      <c r="A45" s="209" t="s">
        <v>1934</v>
      </c>
      <c r="B45" s="209" t="s">
        <v>1935</v>
      </c>
      <c r="C45" s="209" t="s">
        <v>133</v>
      </c>
      <c r="D45" s="209" t="s">
        <v>133</v>
      </c>
      <c r="E45" s="209" t="s">
        <v>133</v>
      </c>
      <c r="F45" s="209" t="s">
        <v>133</v>
      </c>
    </row>
    <row r="46" spans="1:6" x14ac:dyDescent="0.55000000000000004">
      <c r="A46" s="209" t="s">
        <v>1936</v>
      </c>
      <c r="B46" s="209" t="s">
        <v>1937</v>
      </c>
      <c r="C46" s="209" t="s">
        <v>133</v>
      </c>
      <c r="D46" s="209" t="s">
        <v>133</v>
      </c>
      <c r="E46" s="209" t="s">
        <v>133</v>
      </c>
      <c r="F46" s="209" t="s">
        <v>133</v>
      </c>
    </row>
    <row r="47" spans="1:6" x14ac:dyDescent="0.55000000000000004">
      <c r="A47" s="209" t="s">
        <v>1938</v>
      </c>
      <c r="B47" s="209" t="s">
        <v>1939</v>
      </c>
      <c r="C47" s="209" t="s">
        <v>133</v>
      </c>
      <c r="D47" s="209" t="s">
        <v>133</v>
      </c>
      <c r="E47" s="209" t="s">
        <v>133</v>
      </c>
      <c r="F47" s="209" t="s">
        <v>133</v>
      </c>
    </row>
    <row r="48" spans="1:6" x14ac:dyDescent="0.55000000000000004">
      <c r="A48" s="209" t="s">
        <v>1940</v>
      </c>
      <c r="B48" s="209" t="s">
        <v>1941</v>
      </c>
      <c r="C48" s="209" t="s">
        <v>133</v>
      </c>
      <c r="D48" s="209" t="s">
        <v>133</v>
      </c>
      <c r="E48" s="209" t="s">
        <v>133</v>
      </c>
      <c r="F48" s="209" t="s">
        <v>133</v>
      </c>
    </row>
    <row r="49" spans="1:6" x14ac:dyDescent="0.55000000000000004">
      <c r="A49" s="209" t="s">
        <v>1942</v>
      </c>
      <c r="B49" s="209" t="s">
        <v>1943</v>
      </c>
      <c r="C49" s="209" t="s">
        <v>133</v>
      </c>
      <c r="D49" s="209" t="s">
        <v>133</v>
      </c>
      <c r="E49" s="209" t="s">
        <v>133</v>
      </c>
      <c r="F49" s="209" t="s">
        <v>133</v>
      </c>
    </row>
    <row r="50" spans="1:6" x14ac:dyDescent="0.55000000000000004">
      <c r="A50" s="209" t="s">
        <v>1944</v>
      </c>
      <c r="B50" s="209" t="s">
        <v>1945</v>
      </c>
      <c r="C50" s="209" t="s">
        <v>133</v>
      </c>
      <c r="D50" s="209" t="s">
        <v>133</v>
      </c>
      <c r="E50" s="209" t="s">
        <v>133</v>
      </c>
      <c r="F50" s="209" t="s">
        <v>133</v>
      </c>
    </row>
    <row r="51" spans="1:6" x14ac:dyDescent="0.55000000000000004">
      <c r="A51" s="209" t="s">
        <v>1946</v>
      </c>
      <c r="B51" s="209" t="s">
        <v>1947</v>
      </c>
      <c r="C51" s="209" t="s">
        <v>133</v>
      </c>
      <c r="D51" s="209" t="s">
        <v>133</v>
      </c>
      <c r="E51" s="209" t="s">
        <v>5991</v>
      </c>
      <c r="F51" s="209" t="s">
        <v>133</v>
      </c>
    </row>
    <row r="52" spans="1:6" x14ac:dyDescent="0.55000000000000004">
      <c r="A52" s="209" t="s">
        <v>1948</v>
      </c>
      <c r="B52" s="209" t="s">
        <v>1949</v>
      </c>
      <c r="C52" s="209" t="s">
        <v>133</v>
      </c>
      <c r="D52" s="209" t="s">
        <v>133</v>
      </c>
      <c r="E52" s="209" t="s">
        <v>133</v>
      </c>
      <c r="F52" s="209" t="s">
        <v>133</v>
      </c>
    </row>
    <row r="53" spans="1:6" x14ac:dyDescent="0.55000000000000004">
      <c r="A53" s="209" t="s">
        <v>1950</v>
      </c>
      <c r="B53" s="209" t="s">
        <v>1951</v>
      </c>
      <c r="C53" s="209" t="s">
        <v>133</v>
      </c>
      <c r="D53" s="209" t="s">
        <v>133</v>
      </c>
      <c r="E53" s="209" t="s">
        <v>133</v>
      </c>
      <c r="F53" s="209" t="s">
        <v>133</v>
      </c>
    </row>
    <row r="54" spans="1:6" x14ac:dyDescent="0.55000000000000004">
      <c r="A54" s="209" t="s">
        <v>1952</v>
      </c>
      <c r="B54" s="209" t="s">
        <v>1953</v>
      </c>
      <c r="C54" s="209" t="s">
        <v>133</v>
      </c>
      <c r="D54" s="209" t="s">
        <v>133</v>
      </c>
      <c r="E54" s="209" t="s">
        <v>133</v>
      </c>
      <c r="F54" s="209" t="s">
        <v>133</v>
      </c>
    </row>
    <row r="55" spans="1:6" x14ac:dyDescent="0.55000000000000004">
      <c r="A55" s="209" t="s">
        <v>1954</v>
      </c>
      <c r="B55" s="209" t="s">
        <v>1955</v>
      </c>
      <c r="C55" s="209" t="s">
        <v>133</v>
      </c>
      <c r="D55" s="209" t="s">
        <v>133</v>
      </c>
      <c r="E55" s="209" t="s">
        <v>133</v>
      </c>
      <c r="F55" s="209" t="s">
        <v>133</v>
      </c>
    </row>
    <row r="56" spans="1:6" x14ac:dyDescent="0.55000000000000004">
      <c r="A56" s="209" t="s">
        <v>1956</v>
      </c>
      <c r="B56" s="209" t="s">
        <v>1957</v>
      </c>
      <c r="C56" s="209" t="s">
        <v>133</v>
      </c>
      <c r="D56" s="209" t="s">
        <v>133</v>
      </c>
      <c r="E56" s="209" t="s">
        <v>133</v>
      </c>
      <c r="F56" s="209" t="s">
        <v>133</v>
      </c>
    </row>
    <row r="57" spans="1:6" x14ac:dyDescent="0.55000000000000004">
      <c r="A57" s="209" t="s">
        <v>1958</v>
      </c>
      <c r="B57" s="209" t="s">
        <v>1959</v>
      </c>
      <c r="C57" s="209" t="s">
        <v>133</v>
      </c>
      <c r="D57" s="209" t="s">
        <v>133</v>
      </c>
      <c r="E57" s="209" t="s">
        <v>133</v>
      </c>
      <c r="F57" s="209" t="s">
        <v>133</v>
      </c>
    </row>
    <row r="58" spans="1:6" x14ac:dyDescent="0.55000000000000004">
      <c r="A58" s="209" t="s">
        <v>1960</v>
      </c>
      <c r="B58" s="209" t="s">
        <v>1961</v>
      </c>
      <c r="C58" s="209" t="s">
        <v>133</v>
      </c>
      <c r="D58" s="209" t="s">
        <v>133</v>
      </c>
      <c r="E58" s="209" t="s">
        <v>133</v>
      </c>
      <c r="F58" s="209" t="s">
        <v>133</v>
      </c>
    </row>
    <row r="59" spans="1:6" x14ac:dyDescent="0.55000000000000004">
      <c r="A59" s="209" t="s">
        <v>1962</v>
      </c>
      <c r="B59" s="209" t="s">
        <v>1963</v>
      </c>
      <c r="C59" s="209" t="s">
        <v>133</v>
      </c>
      <c r="D59" s="209" t="s">
        <v>133</v>
      </c>
      <c r="E59" s="209" t="s">
        <v>133</v>
      </c>
      <c r="F59" s="209" t="s">
        <v>133</v>
      </c>
    </row>
    <row r="60" spans="1:6" x14ac:dyDescent="0.55000000000000004">
      <c r="A60" s="209" t="s">
        <v>1964</v>
      </c>
      <c r="B60" s="209" t="s">
        <v>1965</v>
      </c>
      <c r="C60" s="209" t="s">
        <v>133</v>
      </c>
      <c r="D60" s="209" t="s">
        <v>133</v>
      </c>
      <c r="E60" s="209" t="s">
        <v>133</v>
      </c>
      <c r="F60" s="209" t="s">
        <v>133</v>
      </c>
    </row>
    <row r="61" spans="1:6" x14ac:dyDescent="0.55000000000000004">
      <c r="A61" s="209" t="s">
        <v>1966</v>
      </c>
      <c r="B61" s="209" t="s">
        <v>1967</v>
      </c>
      <c r="C61" s="209" t="s">
        <v>1854</v>
      </c>
      <c r="D61" s="209" t="s">
        <v>133</v>
      </c>
      <c r="E61" s="209" t="s">
        <v>133</v>
      </c>
      <c r="F61" s="209" t="s">
        <v>133</v>
      </c>
    </row>
    <row r="62" spans="1:6" x14ac:dyDescent="0.55000000000000004">
      <c r="A62" s="209" t="s">
        <v>1968</v>
      </c>
      <c r="B62" s="209" t="s">
        <v>1969</v>
      </c>
      <c r="C62" s="209" t="s">
        <v>1854</v>
      </c>
      <c r="D62" s="209" t="s">
        <v>133</v>
      </c>
      <c r="E62" s="209" t="s">
        <v>133</v>
      </c>
      <c r="F62" s="209" t="s">
        <v>133</v>
      </c>
    </row>
    <row r="63" spans="1:6" x14ac:dyDescent="0.55000000000000004">
      <c r="A63" s="209" t="s">
        <v>6399</v>
      </c>
      <c r="B63" s="209" t="s">
        <v>6404</v>
      </c>
      <c r="C63" s="209" t="s">
        <v>1854</v>
      </c>
      <c r="D63" s="209" t="s">
        <v>6102</v>
      </c>
      <c r="E63" s="209" t="s">
        <v>6103</v>
      </c>
      <c r="F63" s="209" t="s">
        <v>1799</v>
      </c>
    </row>
    <row r="64" spans="1:6" x14ac:dyDescent="0.55000000000000004">
      <c r="A64" s="209" t="s">
        <v>6400</v>
      </c>
      <c r="B64" s="209" t="s">
        <v>6405</v>
      </c>
      <c r="C64" s="209" t="s">
        <v>1854</v>
      </c>
      <c r="D64" s="209" t="s">
        <v>6102</v>
      </c>
      <c r="E64" s="209" t="s">
        <v>6103</v>
      </c>
      <c r="F64" s="209" t="s">
        <v>1805</v>
      </c>
    </row>
    <row r="65" spans="1:6" x14ac:dyDescent="0.55000000000000004">
      <c r="A65" s="209" t="s">
        <v>6402</v>
      </c>
      <c r="B65" s="209" t="s">
        <v>6404</v>
      </c>
      <c r="C65" s="209" t="s">
        <v>1859</v>
      </c>
      <c r="D65" s="209" t="s">
        <v>6102</v>
      </c>
      <c r="E65" s="209" t="s">
        <v>6103</v>
      </c>
      <c r="F65" s="209" t="s">
        <v>1460</v>
      </c>
    </row>
    <row r="66" spans="1:6" x14ac:dyDescent="0.55000000000000004">
      <c r="A66" s="209" t="s">
        <v>6403</v>
      </c>
      <c r="B66" s="209" t="s">
        <v>6405</v>
      </c>
      <c r="C66" s="209" t="s">
        <v>1859</v>
      </c>
      <c r="D66" s="209" t="s">
        <v>6102</v>
      </c>
      <c r="E66" s="209" t="s">
        <v>6103</v>
      </c>
      <c r="F66" s="209" t="s">
        <v>1466</v>
      </c>
    </row>
    <row r="67" spans="1:6" x14ac:dyDescent="0.55000000000000004">
      <c r="A67" s="209" t="s">
        <v>1972</v>
      </c>
      <c r="B67" s="209" t="s">
        <v>1973</v>
      </c>
      <c r="C67" s="209" t="s">
        <v>133</v>
      </c>
      <c r="D67" s="209" t="s">
        <v>133</v>
      </c>
      <c r="E67" s="209" t="s">
        <v>133</v>
      </c>
      <c r="F67" s="209" t="s">
        <v>133</v>
      </c>
    </row>
    <row r="68" spans="1:6" x14ac:dyDescent="0.55000000000000004">
      <c r="A68" s="209" t="s">
        <v>1974</v>
      </c>
      <c r="B68" s="209" t="s">
        <v>1975</v>
      </c>
      <c r="C68" s="209" t="s">
        <v>133</v>
      </c>
      <c r="D68" s="209" t="s">
        <v>133</v>
      </c>
      <c r="E68" s="209" t="s">
        <v>133</v>
      </c>
      <c r="F68" s="209" t="s">
        <v>133</v>
      </c>
    </row>
    <row r="69" spans="1:6" x14ac:dyDescent="0.55000000000000004">
      <c r="A69" s="209" t="s">
        <v>1976</v>
      </c>
      <c r="B69" s="209" t="s">
        <v>1977</v>
      </c>
      <c r="C69" s="209" t="s">
        <v>133</v>
      </c>
      <c r="D69" s="209" t="s">
        <v>133</v>
      </c>
      <c r="E69" s="209" t="s">
        <v>133</v>
      </c>
      <c r="F69" s="209" t="s">
        <v>133</v>
      </c>
    </row>
    <row r="70" spans="1:6" x14ac:dyDescent="0.55000000000000004">
      <c r="A70" s="209" t="s">
        <v>1978</v>
      </c>
      <c r="B70" s="209" t="s">
        <v>1979</v>
      </c>
      <c r="C70" s="209" t="s">
        <v>133</v>
      </c>
      <c r="D70" s="209" t="s">
        <v>133</v>
      </c>
      <c r="E70" s="209" t="s">
        <v>133</v>
      </c>
      <c r="F70" s="209" t="s">
        <v>133</v>
      </c>
    </row>
    <row r="71" spans="1:6" x14ac:dyDescent="0.55000000000000004">
      <c r="A71" s="209" t="s">
        <v>1980</v>
      </c>
      <c r="B71" s="209" t="s">
        <v>1981</v>
      </c>
      <c r="C71" s="209" t="s">
        <v>133</v>
      </c>
      <c r="D71" s="209" t="s">
        <v>133</v>
      </c>
      <c r="E71" s="209" t="s">
        <v>133</v>
      </c>
      <c r="F71" s="209" t="s">
        <v>133</v>
      </c>
    </row>
    <row r="72" spans="1:6" x14ac:dyDescent="0.55000000000000004">
      <c r="A72" s="209" t="s">
        <v>1982</v>
      </c>
      <c r="B72" s="209" t="s">
        <v>1983</v>
      </c>
      <c r="C72" s="209" t="s">
        <v>133</v>
      </c>
      <c r="D72" s="209" t="s">
        <v>133</v>
      </c>
      <c r="E72" s="209" t="s">
        <v>133</v>
      </c>
      <c r="F72" s="209" t="s">
        <v>133</v>
      </c>
    </row>
    <row r="73" spans="1:6" x14ac:dyDescent="0.55000000000000004">
      <c r="A73" s="209" t="s">
        <v>1984</v>
      </c>
      <c r="B73" s="209" t="s">
        <v>1985</v>
      </c>
      <c r="C73" s="209" t="s">
        <v>133</v>
      </c>
      <c r="D73" s="209" t="s">
        <v>133</v>
      </c>
      <c r="E73" s="209" t="s">
        <v>133</v>
      </c>
      <c r="F73" s="209" t="s">
        <v>133</v>
      </c>
    </row>
    <row r="74" spans="1:6" x14ac:dyDescent="0.55000000000000004">
      <c r="A74" s="209" t="s">
        <v>1986</v>
      </c>
      <c r="B74" s="209" t="s">
        <v>1987</v>
      </c>
      <c r="C74" s="209" t="s">
        <v>133</v>
      </c>
      <c r="D74" s="209" t="s">
        <v>133</v>
      </c>
      <c r="E74" s="209" t="s">
        <v>133</v>
      </c>
      <c r="F74" s="209" t="s">
        <v>133</v>
      </c>
    </row>
    <row r="75" spans="1:6" x14ac:dyDescent="0.55000000000000004">
      <c r="A75" s="209" t="s">
        <v>1988</v>
      </c>
      <c r="B75" s="209" t="s">
        <v>1989</v>
      </c>
      <c r="C75" s="209" t="s">
        <v>133</v>
      </c>
      <c r="D75" s="209" t="s">
        <v>133</v>
      </c>
      <c r="E75" s="209" t="s">
        <v>133</v>
      </c>
      <c r="F75" s="209" t="s">
        <v>5991</v>
      </c>
    </row>
    <row r="76" spans="1:6" x14ac:dyDescent="0.55000000000000004">
      <c r="A76" s="209" t="s">
        <v>1990</v>
      </c>
      <c r="B76" s="209" t="s">
        <v>1991</v>
      </c>
      <c r="C76" s="209" t="s">
        <v>133</v>
      </c>
      <c r="D76" s="209" t="s">
        <v>133</v>
      </c>
      <c r="E76" s="209" t="s">
        <v>133</v>
      </c>
      <c r="F76" s="209" t="s">
        <v>133</v>
      </c>
    </row>
    <row r="77" spans="1:6" x14ac:dyDescent="0.55000000000000004">
      <c r="A77" s="209" t="s">
        <v>1992</v>
      </c>
      <c r="B77" s="209" t="s">
        <v>1993</v>
      </c>
      <c r="C77" s="209" t="s">
        <v>133</v>
      </c>
      <c r="D77" s="209" t="s">
        <v>133</v>
      </c>
      <c r="E77" s="209" t="s">
        <v>133</v>
      </c>
      <c r="F77" s="209" t="s">
        <v>133</v>
      </c>
    </row>
    <row r="78" spans="1:6" x14ac:dyDescent="0.55000000000000004">
      <c r="A78" s="209" t="s">
        <v>1994</v>
      </c>
      <c r="B78" s="209" t="s">
        <v>1995</v>
      </c>
      <c r="C78" s="209" t="s">
        <v>133</v>
      </c>
      <c r="D78" s="209" t="s">
        <v>133</v>
      </c>
      <c r="E78" s="209" t="s">
        <v>133</v>
      </c>
      <c r="F78" s="209" t="s">
        <v>133</v>
      </c>
    </row>
    <row r="79" spans="1:6" x14ac:dyDescent="0.55000000000000004">
      <c r="A79" s="209" t="s">
        <v>1996</v>
      </c>
      <c r="B79" s="209" t="s">
        <v>1997</v>
      </c>
      <c r="C79" s="209" t="s">
        <v>1854</v>
      </c>
      <c r="D79" s="209" t="s">
        <v>133</v>
      </c>
      <c r="E79" s="209" t="s">
        <v>133</v>
      </c>
      <c r="F79" s="209" t="s">
        <v>133</v>
      </c>
    </row>
    <row r="80" spans="1:6" x14ac:dyDescent="0.55000000000000004">
      <c r="A80" s="209" t="s">
        <v>1998</v>
      </c>
      <c r="B80" s="209" t="s">
        <v>1999</v>
      </c>
      <c r="C80" s="209" t="s">
        <v>1854</v>
      </c>
      <c r="D80" s="209" t="s">
        <v>133</v>
      </c>
      <c r="E80" s="209" t="s">
        <v>133</v>
      </c>
      <c r="F80" s="209" t="s">
        <v>133</v>
      </c>
    </row>
    <row r="81" spans="1:6" x14ac:dyDescent="0.55000000000000004">
      <c r="A81" s="209" t="s">
        <v>2000</v>
      </c>
      <c r="B81" s="209" t="s">
        <v>2001</v>
      </c>
      <c r="C81" s="209" t="s">
        <v>1854</v>
      </c>
      <c r="D81" s="209" t="s">
        <v>133</v>
      </c>
      <c r="E81" s="209" t="s">
        <v>133</v>
      </c>
      <c r="F81" s="209" t="s">
        <v>133</v>
      </c>
    </row>
    <row r="82" spans="1:6" x14ac:dyDescent="0.55000000000000004">
      <c r="A82" s="209" t="s">
        <v>2002</v>
      </c>
      <c r="B82" s="209" t="s">
        <v>2003</v>
      </c>
      <c r="C82" s="209" t="s">
        <v>1854</v>
      </c>
      <c r="D82" s="209" t="s">
        <v>133</v>
      </c>
      <c r="E82" s="209" t="s">
        <v>133</v>
      </c>
      <c r="F82" s="209" t="s">
        <v>133</v>
      </c>
    </row>
    <row r="83" spans="1:6" x14ac:dyDescent="0.55000000000000004">
      <c r="A83" s="209" t="s">
        <v>2004</v>
      </c>
      <c r="B83" s="209" t="s">
        <v>2005</v>
      </c>
      <c r="C83" s="209" t="s">
        <v>1859</v>
      </c>
      <c r="D83" s="209" t="s">
        <v>133</v>
      </c>
      <c r="E83" s="209" t="s">
        <v>133</v>
      </c>
      <c r="F83" s="209" t="s">
        <v>133</v>
      </c>
    </row>
    <row r="84" spans="1:6" x14ac:dyDescent="0.55000000000000004">
      <c r="A84" s="209" t="s">
        <v>2006</v>
      </c>
      <c r="B84" s="209" t="s">
        <v>2007</v>
      </c>
      <c r="C84" s="209" t="s">
        <v>1859</v>
      </c>
      <c r="D84" s="209" t="s">
        <v>133</v>
      </c>
      <c r="E84" s="209" t="s">
        <v>133</v>
      </c>
      <c r="F84" s="209" t="s">
        <v>133</v>
      </c>
    </row>
    <row r="85" spans="1:6" x14ac:dyDescent="0.55000000000000004">
      <c r="A85" s="209" t="s">
        <v>2008</v>
      </c>
      <c r="B85" s="209" t="s">
        <v>2009</v>
      </c>
      <c r="C85" s="209" t="s">
        <v>133</v>
      </c>
      <c r="D85" s="209" t="s">
        <v>133</v>
      </c>
      <c r="E85" s="209" t="s">
        <v>133</v>
      </c>
      <c r="F85" s="209" t="s">
        <v>133</v>
      </c>
    </row>
    <row r="86" spans="1:6" x14ac:dyDescent="0.55000000000000004">
      <c r="A86" s="209" t="s">
        <v>2010</v>
      </c>
      <c r="B86" s="209" t="s">
        <v>2011</v>
      </c>
      <c r="C86" s="209" t="s">
        <v>133</v>
      </c>
      <c r="D86" s="209" t="s">
        <v>133</v>
      </c>
      <c r="E86" s="209" t="s">
        <v>133</v>
      </c>
      <c r="F86" s="209" t="s">
        <v>133</v>
      </c>
    </row>
    <row r="87" spans="1:6" x14ac:dyDescent="0.55000000000000004">
      <c r="A87" s="209" t="s">
        <v>2012</v>
      </c>
      <c r="B87" s="209" t="s">
        <v>2013</v>
      </c>
      <c r="C87" s="209" t="s">
        <v>133</v>
      </c>
      <c r="D87" s="209" t="s">
        <v>133</v>
      </c>
      <c r="E87" s="209" t="s">
        <v>133</v>
      </c>
      <c r="F87" s="209" t="s">
        <v>133</v>
      </c>
    </row>
    <row r="88" spans="1:6" x14ac:dyDescent="0.55000000000000004">
      <c r="A88" s="209" t="s">
        <v>2014</v>
      </c>
      <c r="B88" s="209" t="s">
        <v>2015</v>
      </c>
      <c r="C88" s="209" t="s">
        <v>133</v>
      </c>
      <c r="D88" s="209" t="s">
        <v>133</v>
      </c>
      <c r="E88" s="209" t="s">
        <v>133</v>
      </c>
      <c r="F88" s="209" t="s">
        <v>133</v>
      </c>
    </row>
    <row r="89" spans="1:6" x14ac:dyDescent="0.55000000000000004">
      <c r="A89" s="209" t="s">
        <v>2016</v>
      </c>
      <c r="B89" s="209" t="s">
        <v>2017</v>
      </c>
      <c r="C89" s="209" t="s">
        <v>133</v>
      </c>
      <c r="D89" s="209" t="s">
        <v>133</v>
      </c>
      <c r="E89" s="209" t="s">
        <v>133</v>
      </c>
      <c r="F89" s="209" t="s">
        <v>133</v>
      </c>
    </row>
    <row r="90" spans="1:6" x14ac:dyDescent="0.55000000000000004">
      <c r="A90" s="209" t="s">
        <v>2018</v>
      </c>
      <c r="B90" s="209" t="s">
        <v>2019</v>
      </c>
      <c r="C90" s="209" t="s">
        <v>133</v>
      </c>
      <c r="D90" s="209" t="s">
        <v>133</v>
      </c>
      <c r="E90" s="209" t="s">
        <v>133</v>
      </c>
      <c r="F90" s="209" t="s">
        <v>133</v>
      </c>
    </row>
    <row r="91" spans="1:6" x14ac:dyDescent="0.55000000000000004">
      <c r="A91" s="209" t="s">
        <v>2020</v>
      </c>
      <c r="B91" s="209" t="s">
        <v>2021</v>
      </c>
      <c r="C91" s="209" t="s">
        <v>133</v>
      </c>
      <c r="D91" s="209" t="s">
        <v>133</v>
      </c>
      <c r="E91" s="209" t="s">
        <v>133</v>
      </c>
      <c r="F91" s="209" t="s">
        <v>133</v>
      </c>
    </row>
    <row r="92" spans="1:6" x14ac:dyDescent="0.55000000000000004">
      <c r="A92" s="209" t="s">
        <v>2022</v>
      </c>
      <c r="B92" s="209" t="s">
        <v>2023</v>
      </c>
      <c r="C92" s="209" t="s">
        <v>133</v>
      </c>
      <c r="D92" s="209" t="s">
        <v>133</v>
      </c>
      <c r="E92" s="209" t="s">
        <v>133</v>
      </c>
      <c r="F92" s="209" t="s">
        <v>133</v>
      </c>
    </row>
    <row r="93" spans="1:6" x14ac:dyDescent="0.55000000000000004">
      <c r="A93" s="209" t="s">
        <v>2024</v>
      </c>
      <c r="B93" s="209" t="s">
        <v>2025</v>
      </c>
      <c r="C93" s="209" t="s">
        <v>133</v>
      </c>
      <c r="D93" s="209" t="s">
        <v>133</v>
      </c>
      <c r="E93" s="209" t="s">
        <v>133</v>
      </c>
      <c r="F93" s="209" t="s">
        <v>133</v>
      </c>
    </row>
    <row r="94" spans="1:6" x14ac:dyDescent="0.55000000000000004">
      <c r="A94" s="209" t="s">
        <v>2026</v>
      </c>
      <c r="B94" s="209" t="s">
        <v>2027</v>
      </c>
      <c r="C94" s="209" t="s">
        <v>133</v>
      </c>
      <c r="D94" s="209" t="s">
        <v>133</v>
      </c>
      <c r="E94" s="209" t="s">
        <v>133</v>
      </c>
      <c r="F94" s="209" t="s">
        <v>133</v>
      </c>
    </row>
    <row r="95" spans="1:6" x14ac:dyDescent="0.55000000000000004">
      <c r="A95" s="209" t="s">
        <v>2028</v>
      </c>
      <c r="B95" s="209" t="s">
        <v>2029</v>
      </c>
      <c r="C95" s="209" t="s">
        <v>133</v>
      </c>
      <c r="D95" s="209" t="s">
        <v>133</v>
      </c>
      <c r="E95" s="209" t="s">
        <v>133</v>
      </c>
      <c r="F95" s="209" t="s">
        <v>133</v>
      </c>
    </row>
    <row r="96" spans="1:6" x14ac:dyDescent="0.55000000000000004">
      <c r="A96" s="209" t="s">
        <v>2030</v>
      </c>
      <c r="B96" s="209" t="s">
        <v>2031</v>
      </c>
      <c r="C96" s="209" t="s">
        <v>133</v>
      </c>
      <c r="D96" s="209" t="s">
        <v>133</v>
      </c>
      <c r="E96" s="209" t="s">
        <v>133</v>
      </c>
      <c r="F96" s="209" t="s">
        <v>133</v>
      </c>
    </row>
  </sheetData>
  <phoneticPr fontId="1"/>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B8651-C67D-45C0-8E24-293479125C7B}">
  <sheetPr codeName="Sheet6">
    <tabColor theme="0" tint="-0.499984740745262"/>
  </sheetPr>
  <dimension ref="A1:E60"/>
  <sheetViews>
    <sheetView workbookViewId="0"/>
  </sheetViews>
  <sheetFormatPr defaultRowHeight="18" x14ac:dyDescent="0.55000000000000004"/>
  <cols>
    <col min="1" max="1" width="19.6640625" bestFit="1" customWidth="1"/>
    <col min="2" max="2" width="18.33203125" bestFit="1" customWidth="1"/>
    <col min="3" max="3" width="22.08203125" bestFit="1" customWidth="1"/>
    <col min="4" max="4" width="13.1640625" bestFit="1" customWidth="1"/>
    <col min="5" max="5" width="11.5" bestFit="1" customWidth="1"/>
  </cols>
  <sheetData>
    <row r="1" spans="1:5" x14ac:dyDescent="0.55000000000000004">
      <c r="A1" t="s">
        <v>119</v>
      </c>
      <c r="B1" t="s">
        <v>1850</v>
      </c>
      <c r="C1" t="s">
        <v>886</v>
      </c>
      <c r="D1" t="s">
        <v>887</v>
      </c>
      <c r="E1" t="s">
        <v>888</v>
      </c>
    </row>
    <row r="2" spans="1:5" x14ac:dyDescent="0.55000000000000004">
      <c r="A2" s="209" t="s">
        <v>132</v>
      </c>
      <c r="B2" s="209" t="s">
        <v>133</v>
      </c>
      <c r="C2" s="209" t="s">
        <v>133</v>
      </c>
      <c r="D2" s="209" t="s">
        <v>133</v>
      </c>
      <c r="E2" s="209" t="s">
        <v>133</v>
      </c>
    </row>
    <row r="3" spans="1:5" x14ac:dyDescent="0.55000000000000004">
      <c r="A3" s="209" t="s">
        <v>2032</v>
      </c>
      <c r="B3" s="209" t="s">
        <v>2033</v>
      </c>
      <c r="C3" s="209" t="s">
        <v>133</v>
      </c>
      <c r="D3" s="209" t="s">
        <v>133</v>
      </c>
      <c r="E3" s="209" t="s">
        <v>133</v>
      </c>
    </row>
    <row r="4" spans="1:5" x14ac:dyDescent="0.55000000000000004">
      <c r="A4" s="209" t="s">
        <v>2034</v>
      </c>
      <c r="B4" s="209" t="s">
        <v>2035</v>
      </c>
      <c r="C4" s="209" t="s">
        <v>133</v>
      </c>
      <c r="D4" s="209" t="s">
        <v>133</v>
      </c>
      <c r="E4" s="209" t="s">
        <v>133</v>
      </c>
    </row>
    <row r="5" spans="1:5" x14ac:dyDescent="0.55000000000000004">
      <c r="A5" s="209" t="s">
        <v>2036</v>
      </c>
      <c r="B5" s="209" t="s">
        <v>2037</v>
      </c>
      <c r="C5" s="209" t="s">
        <v>133</v>
      </c>
      <c r="D5" s="209" t="s">
        <v>133</v>
      </c>
      <c r="E5" s="209" t="s">
        <v>133</v>
      </c>
    </row>
    <row r="6" spans="1:5" x14ac:dyDescent="0.55000000000000004">
      <c r="A6" s="209" t="s">
        <v>2038</v>
      </c>
      <c r="B6" s="209" t="s">
        <v>2039</v>
      </c>
      <c r="C6" s="209" t="s">
        <v>133</v>
      </c>
      <c r="D6" s="209" t="s">
        <v>133</v>
      </c>
      <c r="E6" s="209" t="s">
        <v>133</v>
      </c>
    </row>
    <row r="7" spans="1:5" x14ac:dyDescent="0.55000000000000004">
      <c r="A7" s="209" t="s">
        <v>2040</v>
      </c>
      <c r="B7" s="209" t="s">
        <v>133</v>
      </c>
      <c r="C7" s="209" t="s">
        <v>133</v>
      </c>
      <c r="D7" s="209" t="s">
        <v>133</v>
      </c>
      <c r="E7" s="209" t="s">
        <v>133</v>
      </c>
    </row>
    <row r="8" spans="1:5" x14ac:dyDescent="0.55000000000000004">
      <c r="A8" s="209" t="s">
        <v>2041</v>
      </c>
      <c r="B8" s="209" t="s">
        <v>133</v>
      </c>
      <c r="C8" s="209" t="s">
        <v>133</v>
      </c>
      <c r="D8" s="209" t="s">
        <v>133</v>
      </c>
      <c r="E8" s="209" t="s">
        <v>133</v>
      </c>
    </row>
    <row r="9" spans="1:5" x14ac:dyDescent="0.55000000000000004">
      <c r="A9" s="209" t="s">
        <v>2042</v>
      </c>
      <c r="B9" s="209" t="s">
        <v>2043</v>
      </c>
      <c r="C9" s="209" t="s">
        <v>133</v>
      </c>
      <c r="D9" s="209" t="s">
        <v>133</v>
      </c>
      <c r="E9" s="209" t="s">
        <v>133</v>
      </c>
    </row>
    <row r="10" spans="1:5" x14ac:dyDescent="0.55000000000000004">
      <c r="A10" s="209" t="s">
        <v>2044</v>
      </c>
      <c r="B10" s="209" t="s">
        <v>2045</v>
      </c>
      <c r="C10" s="209" t="s">
        <v>133</v>
      </c>
      <c r="D10" s="209" t="s">
        <v>133</v>
      </c>
      <c r="E10" s="209" t="s">
        <v>133</v>
      </c>
    </row>
    <row r="11" spans="1:5" x14ac:dyDescent="0.55000000000000004">
      <c r="A11" s="209" t="s">
        <v>2046</v>
      </c>
      <c r="B11" s="209" t="s">
        <v>2047</v>
      </c>
      <c r="C11" s="209" t="s">
        <v>133</v>
      </c>
      <c r="D11" s="209" t="s">
        <v>133</v>
      </c>
      <c r="E11" s="209" t="s">
        <v>133</v>
      </c>
    </row>
    <row r="12" spans="1:5" x14ac:dyDescent="0.55000000000000004">
      <c r="A12" s="209" t="s">
        <v>2048</v>
      </c>
      <c r="B12" s="209" t="s">
        <v>2049</v>
      </c>
      <c r="C12" s="209" t="s">
        <v>133</v>
      </c>
      <c r="D12" s="209" t="s">
        <v>133</v>
      </c>
      <c r="E12" s="209" t="s">
        <v>133</v>
      </c>
    </row>
    <row r="13" spans="1:5" x14ac:dyDescent="0.55000000000000004">
      <c r="A13" s="209" t="s">
        <v>2050</v>
      </c>
      <c r="B13" s="209" t="s">
        <v>2051</v>
      </c>
      <c r="C13" s="209" t="s">
        <v>133</v>
      </c>
      <c r="D13" s="209" t="s">
        <v>133</v>
      </c>
      <c r="E13" s="209" t="s">
        <v>133</v>
      </c>
    </row>
    <row r="14" spans="1:5" x14ac:dyDescent="0.55000000000000004">
      <c r="A14" s="209" t="s">
        <v>2052</v>
      </c>
      <c r="B14" s="209" t="s">
        <v>2053</v>
      </c>
      <c r="C14" s="209" t="s">
        <v>133</v>
      </c>
      <c r="D14" s="209" t="s">
        <v>133</v>
      </c>
      <c r="E14" s="209" t="s">
        <v>133</v>
      </c>
    </row>
    <row r="15" spans="1:5" x14ac:dyDescent="0.55000000000000004">
      <c r="A15" s="209" t="s">
        <v>2054</v>
      </c>
      <c r="B15" s="209" t="s">
        <v>2055</v>
      </c>
      <c r="C15" s="209" t="s">
        <v>133</v>
      </c>
      <c r="D15" s="209" t="s">
        <v>133</v>
      </c>
      <c r="E15" s="209" t="s">
        <v>133</v>
      </c>
    </row>
    <row r="16" spans="1:5" x14ac:dyDescent="0.55000000000000004">
      <c r="A16" s="209" t="s">
        <v>2056</v>
      </c>
      <c r="B16" s="209" t="s">
        <v>2057</v>
      </c>
      <c r="C16" s="209" t="s">
        <v>133</v>
      </c>
      <c r="D16" s="209" t="s">
        <v>133</v>
      </c>
      <c r="E16" s="209" t="s">
        <v>133</v>
      </c>
    </row>
    <row r="17" spans="1:5" x14ac:dyDescent="0.55000000000000004">
      <c r="A17" s="209" t="s">
        <v>2058</v>
      </c>
      <c r="B17" s="209" t="s">
        <v>2059</v>
      </c>
      <c r="C17" s="209" t="s">
        <v>133</v>
      </c>
      <c r="D17" s="209" t="s">
        <v>133</v>
      </c>
      <c r="E17" s="209" t="s">
        <v>133</v>
      </c>
    </row>
    <row r="18" spans="1:5" x14ac:dyDescent="0.55000000000000004">
      <c r="A18" s="209" t="s">
        <v>2060</v>
      </c>
      <c r="B18" s="209" t="s">
        <v>2061</v>
      </c>
      <c r="C18" s="209" t="s">
        <v>133</v>
      </c>
      <c r="D18" s="209" t="s">
        <v>133</v>
      </c>
      <c r="E18" s="209" t="s">
        <v>133</v>
      </c>
    </row>
    <row r="19" spans="1:5" x14ac:dyDescent="0.55000000000000004">
      <c r="A19" s="209" t="s">
        <v>2062</v>
      </c>
      <c r="B19" s="209" t="s">
        <v>2063</v>
      </c>
      <c r="C19" s="209" t="s">
        <v>133</v>
      </c>
      <c r="D19" s="209" t="s">
        <v>133</v>
      </c>
      <c r="E19" s="209" t="s">
        <v>133</v>
      </c>
    </row>
    <row r="20" spans="1:5" x14ac:dyDescent="0.55000000000000004">
      <c r="A20" s="209" t="s">
        <v>2064</v>
      </c>
      <c r="B20" s="209" t="s">
        <v>2065</v>
      </c>
      <c r="C20" s="209" t="s">
        <v>133</v>
      </c>
      <c r="D20" s="209" t="s">
        <v>133</v>
      </c>
      <c r="E20" s="209" t="s">
        <v>133</v>
      </c>
    </row>
    <row r="21" spans="1:5" x14ac:dyDescent="0.55000000000000004">
      <c r="A21" s="209" t="s">
        <v>2066</v>
      </c>
      <c r="B21" s="209" t="s">
        <v>2067</v>
      </c>
      <c r="C21" s="209" t="s">
        <v>133</v>
      </c>
      <c r="D21" s="209" t="s">
        <v>133</v>
      </c>
      <c r="E21" s="209" t="s">
        <v>133</v>
      </c>
    </row>
    <row r="22" spans="1:5" x14ac:dyDescent="0.55000000000000004">
      <c r="A22" s="209" t="s">
        <v>2068</v>
      </c>
      <c r="B22" s="209" t="s">
        <v>2069</v>
      </c>
      <c r="C22" s="209" t="s">
        <v>133</v>
      </c>
      <c r="D22" s="209" t="s">
        <v>133</v>
      </c>
      <c r="E22" s="209" t="s">
        <v>133</v>
      </c>
    </row>
    <row r="23" spans="1:5" x14ac:dyDescent="0.55000000000000004">
      <c r="A23" s="209" t="s">
        <v>5995</v>
      </c>
      <c r="B23" s="209" t="s">
        <v>2106</v>
      </c>
      <c r="C23" s="209" t="s">
        <v>6025</v>
      </c>
      <c r="D23" s="209" t="s">
        <v>6026</v>
      </c>
      <c r="E23" s="209" t="s">
        <v>1756</v>
      </c>
    </row>
    <row r="24" spans="1:5" x14ac:dyDescent="0.55000000000000004">
      <c r="A24" s="209" t="s">
        <v>5996</v>
      </c>
      <c r="B24" s="209" t="s">
        <v>2107</v>
      </c>
      <c r="C24" s="209" t="s">
        <v>6025</v>
      </c>
      <c r="D24" s="209" t="s">
        <v>6026</v>
      </c>
      <c r="E24" s="209" t="s">
        <v>1762</v>
      </c>
    </row>
    <row r="25" spans="1:5" x14ac:dyDescent="0.55000000000000004">
      <c r="A25" s="209" t="s">
        <v>2070</v>
      </c>
      <c r="B25" s="209" t="s">
        <v>2071</v>
      </c>
      <c r="C25" s="209" t="s">
        <v>5989</v>
      </c>
      <c r="D25" s="209" t="s">
        <v>996</v>
      </c>
      <c r="E25" s="209" t="s">
        <v>1257</v>
      </c>
    </row>
    <row r="26" spans="1:5" x14ac:dyDescent="0.55000000000000004">
      <c r="A26" s="209" t="s">
        <v>2072</v>
      </c>
      <c r="B26" s="209" t="s">
        <v>2073</v>
      </c>
      <c r="C26" s="209" t="s">
        <v>5989</v>
      </c>
      <c r="D26" s="209" t="s">
        <v>996</v>
      </c>
      <c r="E26" s="209" t="s">
        <v>1263</v>
      </c>
    </row>
    <row r="27" spans="1:5" x14ac:dyDescent="0.55000000000000004">
      <c r="A27" s="209" t="s">
        <v>2074</v>
      </c>
      <c r="B27" s="209" t="s">
        <v>2075</v>
      </c>
      <c r="C27" s="209" t="s">
        <v>5990</v>
      </c>
      <c r="D27" s="209" t="s">
        <v>1011</v>
      </c>
      <c r="E27" s="209" t="s">
        <v>1257</v>
      </c>
    </row>
    <row r="28" spans="1:5" x14ac:dyDescent="0.55000000000000004">
      <c r="A28" s="209" t="s">
        <v>2076</v>
      </c>
      <c r="B28" s="209" t="s">
        <v>2077</v>
      </c>
      <c r="C28" s="209" t="s">
        <v>5990</v>
      </c>
      <c r="D28" s="209" t="s">
        <v>1011</v>
      </c>
      <c r="E28" s="209" t="s">
        <v>1263</v>
      </c>
    </row>
    <row r="29" spans="1:5" x14ac:dyDescent="0.55000000000000004">
      <c r="A29" s="209" t="s">
        <v>2078</v>
      </c>
      <c r="B29" s="209" t="s">
        <v>2079</v>
      </c>
      <c r="C29" s="209" t="s">
        <v>133</v>
      </c>
      <c r="D29" s="209" t="s">
        <v>133</v>
      </c>
      <c r="E29" s="209" t="s">
        <v>133</v>
      </c>
    </row>
    <row r="30" spans="1:5" x14ac:dyDescent="0.55000000000000004">
      <c r="A30" s="209" t="s">
        <v>2080</v>
      </c>
      <c r="B30" s="209" t="s">
        <v>2081</v>
      </c>
      <c r="C30" s="209" t="s">
        <v>133</v>
      </c>
      <c r="D30" s="209" t="s">
        <v>133</v>
      </c>
      <c r="E30" s="209" t="s">
        <v>133</v>
      </c>
    </row>
    <row r="31" spans="1:5" x14ac:dyDescent="0.55000000000000004">
      <c r="A31" s="209" t="s">
        <v>2082</v>
      </c>
      <c r="B31" s="209" t="s">
        <v>2083</v>
      </c>
      <c r="C31" s="209" t="s">
        <v>133</v>
      </c>
      <c r="D31" s="209" t="s">
        <v>133</v>
      </c>
      <c r="E31" s="209" t="s">
        <v>133</v>
      </c>
    </row>
    <row r="32" spans="1:5" x14ac:dyDescent="0.55000000000000004">
      <c r="A32" s="209" t="s">
        <v>2084</v>
      </c>
      <c r="B32" s="209" t="s">
        <v>2085</v>
      </c>
      <c r="C32" s="209" t="s">
        <v>133</v>
      </c>
      <c r="D32" s="209" t="s">
        <v>133</v>
      </c>
      <c r="E32" s="209" t="s">
        <v>133</v>
      </c>
    </row>
    <row r="33" spans="1:5" x14ac:dyDescent="0.55000000000000004">
      <c r="A33" s="209" t="s">
        <v>2086</v>
      </c>
      <c r="B33" s="209" t="s">
        <v>2087</v>
      </c>
      <c r="C33" s="209" t="s">
        <v>133</v>
      </c>
      <c r="D33" s="209" t="s">
        <v>133</v>
      </c>
      <c r="E33" s="209" t="s">
        <v>133</v>
      </c>
    </row>
    <row r="34" spans="1:5" x14ac:dyDescent="0.55000000000000004">
      <c r="A34" s="209" t="s">
        <v>2088</v>
      </c>
      <c r="B34" s="209" t="s">
        <v>2089</v>
      </c>
      <c r="C34" s="209" t="s">
        <v>133</v>
      </c>
      <c r="D34" s="209" t="s">
        <v>133</v>
      </c>
      <c r="E34" s="209" t="s">
        <v>133</v>
      </c>
    </row>
    <row r="35" spans="1:5" x14ac:dyDescent="0.55000000000000004">
      <c r="A35" s="209" t="s">
        <v>2090</v>
      </c>
      <c r="B35" s="209" t="s">
        <v>2091</v>
      </c>
      <c r="C35" s="209" t="s">
        <v>133</v>
      </c>
      <c r="D35" s="209" t="s">
        <v>133</v>
      </c>
      <c r="E35" s="209" t="s">
        <v>133</v>
      </c>
    </row>
    <row r="36" spans="1:5" x14ac:dyDescent="0.55000000000000004">
      <c r="A36" s="209" t="s">
        <v>2092</v>
      </c>
      <c r="B36" s="209" t="s">
        <v>2093</v>
      </c>
      <c r="C36" s="209" t="s">
        <v>133</v>
      </c>
      <c r="D36" s="209" t="s">
        <v>133</v>
      </c>
      <c r="E36" s="209" t="s">
        <v>133</v>
      </c>
    </row>
    <row r="37" spans="1:5" x14ac:dyDescent="0.55000000000000004">
      <c r="A37" s="209" t="s">
        <v>2094</v>
      </c>
      <c r="B37" s="209" t="s">
        <v>2095</v>
      </c>
      <c r="C37" s="209" t="s">
        <v>133</v>
      </c>
      <c r="D37" s="209" t="s">
        <v>133</v>
      </c>
      <c r="E37" s="209" t="s">
        <v>133</v>
      </c>
    </row>
    <row r="38" spans="1:5" x14ac:dyDescent="0.55000000000000004">
      <c r="A38" s="209" t="s">
        <v>2096</v>
      </c>
      <c r="B38" s="209" t="s">
        <v>2097</v>
      </c>
      <c r="C38" s="209" t="s">
        <v>133</v>
      </c>
      <c r="D38" s="209" t="s">
        <v>133</v>
      </c>
      <c r="E38" s="209" t="s">
        <v>133</v>
      </c>
    </row>
    <row r="39" spans="1:5" x14ac:dyDescent="0.55000000000000004">
      <c r="A39" s="209" t="s">
        <v>2098</v>
      </c>
      <c r="B39" s="209" t="s">
        <v>2099</v>
      </c>
      <c r="C39" s="209" t="s">
        <v>133</v>
      </c>
      <c r="D39" s="209" t="s">
        <v>133</v>
      </c>
      <c r="E39" s="209" t="s">
        <v>133</v>
      </c>
    </row>
    <row r="40" spans="1:5" x14ac:dyDescent="0.55000000000000004">
      <c r="A40" s="209" t="s">
        <v>2100</v>
      </c>
      <c r="B40" s="209" t="s">
        <v>2101</v>
      </c>
      <c r="C40" s="209" t="s">
        <v>133</v>
      </c>
      <c r="D40" s="209" t="s">
        <v>133</v>
      </c>
      <c r="E40" s="209" t="s">
        <v>133</v>
      </c>
    </row>
    <row r="41" spans="1:5" x14ac:dyDescent="0.55000000000000004">
      <c r="A41" s="209" t="s">
        <v>2102</v>
      </c>
      <c r="B41" s="209" t="s">
        <v>2103</v>
      </c>
      <c r="C41" s="209" t="s">
        <v>133</v>
      </c>
      <c r="D41" s="209" t="s">
        <v>133</v>
      </c>
      <c r="E41" s="209" t="s">
        <v>133</v>
      </c>
    </row>
    <row r="42" spans="1:5" x14ac:dyDescent="0.55000000000000004">
      <c r="A42" s="209" t="s">
        <v>2104</v>
      </c>
      <c r="B42" s="209" t="s">
        <v>2105</v>
      </c>
      <c r="C42" s="209" t="s">
        <v>133</v>
      </c>
      <c r="D42" s="209" t="s">
        <v>133</v>
      </c>
      <c r="E42" s="209" t="s">
        <v>133</v>
      </c>
    </row>
    <row r="43" spans="1:5" x14ac:dyDescent="0.55000000000000004">
      <c r="A43" s="209" t="s">
        <v>6109</v>
      </c>
      <c r="B43" s="209" t="s">
        <v>6110</v>
      </c>
      <c r="C43" s="209" t="s">
        <v>6102</v>
      </c>
      <c r="D43" s="209" t="s">
        <v>6103</v>
      </c>
      <c r="E43" s="209" t="s">
        <v>1423</v>
      </c>
    </row>
    <row r="44" spans="1:5" x14ac:dyDescent="0.55000000000000004">
      <c r="A44" s="209" t="s">
        <v>6111</v>
      </c>
      <c r="B44" s="209" t="s">
        <v>6112</v>
      </c>
      <c r="C44" s="209" t="s">
        <v>6102</v>
      </c>
      <c r="D44" s="209" t="s">
        <v>6103</v>
      </c>
      <c r="E44" s="209" t="s">
        <v>1429</v>
      </c>
    </row>
    <row r="45" spans="1:5" x14ac:dyDescent="0.55000000000000004">
      <c r="A45" s="209" t="s">
        <v>2108</v>
      </c>
      <c r="B45" s="209" t="s">
        <v>2109</v>
      </c>
      <c r="C45" s="209" t="s">
        <v>133</v>
      </c>
      <c r="D45" s="209" t="s">
        <v>133</v>
      </c>
      <c r="E45" s="209" t="s">
        <v>133</v>
      </c>
    </row>
    <row r="46" spans="1:5" x14ac:dyDescent="0.55000000000000004">
      <c r="A46" s="209" t="s">
        <v>2110</v>
      </c>
      <c r="B46" s="209" t="s">
        <v>2111</v>
      </c>
      <c r="C46" s="209" t="s">
        <v>133</v>
      </c>
      <c r="D46" s="209" t="s">
        <v>133</v>
      </c>
      <c r="E46" s="209" t="s">
        <v>133</v>
      </c>
    </row>
    <row r="47" spans="1:5" x14ac:dyDescent="0.55000000000000004">
      <c r="A47" s="209" t="s">
        <v>2112</v>
      </c>
      <c r="B47" s="209" t="s">
        <v>2113</v>
      </c>
      <c r="C47" s="209" t="s">
        <v>133</v>
      </c>
      <c r="D47" s="209" t="s">
        <v>133</v>
      </c>
      <c r="E47" s="209" t="s">
        <v>133</v>
      </c>
    </row>
    <row r="48" spans="1:5" x14ac:dyDescent="0.55000000000000004">
      <c r="A48" s="209" t="s">
        <v>2114</v>
      </c>
      <c r="B48" s="209" t="s">
        <v>2115</v>
      </c>
      <c r="C48" s="209" t="s">
        <v>133</v>
      </c>
      <c r="D48" s="209" t="s">
        <v>133</v>
      </c>
      <c r="E48" s="209" t="s">
        <v>133</v>
      </c>
    </row>
    <row r="49" spans="1:5" x14ac:dyDescent="0.55000000000000004">
      <c r="A49" s="209" t="s">
        <v>2116</v>
      </c>
      <c r="B49" s="209" t="s">
        <v>2117</v>
      </c>
      <c r="C49" s="209" t="s">
        <v>133</v>
      </c>
      <c r="D49" s="209" t="s">
        <v>133</v>
      </c>
      <c r="E49" s="209" t="s">
        <v>133</v>
      </c>
    </row>
    <row r="50" spans="1:5" x14ac:dyDescent="0.55000000000000004">
      <c r="A50" s="209" t="s">
        <v>2118</v>
      </c>
      <c r="B50" s="209" t="s">
        <v>2119</v>
      </c>
      <c r="C50" s="209" t="s">
        <v>133</v>
      </c>
      <c r="D50" s="209" t="s">
        <v>133</v>
      </c>
      <c r="E50" s="209" t="s">
        <v>133</v>
      </c>
    </row>
    <row r="51" spans="1:5" x14ac:dyDescent="0.55000000000000004">
      <c r="A51" s="209" t="s">
        <v>2120</v>
      </c>
      <c r="B51" s="209" t="s">
        <v>2121</v>
      </c>
      <c r="C51" s="209" t="s">
        <v>1131</v>
      </c>
      <c r="D51" s="209" t="s">
        <v>1132</v>
      </c>
      <c r="E51" s="209" t="s">
        <v>1217</v>
      </c>
    </row>
    <row r="52" spans="1:5" x14ac:dyDescent="0.55000000000000004">
      <c r="A52" s="209" t="s">
        <v>2122</v>
      </c>
      <c r="B52" s="209" t="s">
        <v>2123</v>
      </c>
      <c r="C52" s="209" t="s">
        <v>1131</v>
      </c>
      <c r="D52" s="209" t="s">
        <v>1132</v>
      </c>
      <c r="E52" s="209" t="s">
        <v>1223</v>
      </c>
    </row>
    <row r="53" spans="1:5" x14ac:dyDescent="0.55000000000000004">
      <c r="A53" s="209" t="s">
        <v>2124</v>
      </c>
      <c r="B53" s="209" t="s">
        <v>2125</v>
      </c>
      <c r="C53" s="209" t="s">
        <v>995</v>
      </c>
      <c r="D53" s="209" t="s">
        <v>1146</v>
      </c>
      <c r="E53" s="209" t="s">
        <v>2126</v>
      </c>
    </row>
    <row r="54" spans="1:5" x14ac:dyDescent="0.55000000000000004">
      <c r="A54" s="209" t="s">
        <v>2127</v>
      </c>
      <c r="B54" s="209" t="s">
        <v>2128</v>
      </c>
      <c r="C54" s="209" t="s">
        <v>995</v>
      </c>
      <c r="D54" s="209" t="s">
        <v>1146</v>
      </c>
      <c r="E54" s="209" t="s">
        <v>2129</v>
      </c>
    </row>
    <row r="55" spans="1:5" x14ac:dyDescent="0.55000000000000004">
      <c r="A55" s="209" t="s">
        <v>2130</v>
      </c>
      <c r="B55" s="209" t="s">
        <v>2131</v>
      </c>
      <c r="C55" s="209" t="s">
        <v>133</v>
      </c>
      <c r="D55" s="209" t="s">
        <v>133</v>
      </c>
      <c r="E55" s="209" t="s">
        <v>133</v>
      </c>
    </row>
    <row r="56" spans="1:5" x14ac:dyDescent="0.55000000000000004">
      <c r="A56" s="209" t="s">
        <v>2132</v>
      </c>
      <c r="B56" s="209" t="s">
        <v>2133</v>
      </c>
      <c r="C56" s="209" t="s">
        <v>133</v>
      </c>
      <c r="D56" s="209" t="s">
        <v>133</v>
      </c>
      <c r="E56" s="209" t="s">
        <v>133</v>
      </c>
    </row>
    <row r="57" spans="1:5" x14ac:dyDescent="0.55000000000000004">
      <c r="A57" s="209" t="s">
        <v>2134</v>
      </c>
      <c r="B57" s="209" t="s">
        <v>2135</v>
      </c>
      <c r="C57" s="209" t="s">
        <v>133</v>
      </c>
      <c r="D57" s="209" t="s">
        <v>133</v>
      </c>
      <c r="E57" s="209" t="s">
        <v>133</v>
      </c>
    </row>
    <row r="58" spans="1:5" x14ac:dyDescent="0.55000000000000004">
      <c r="A58" s="209" t="s">
        <v>2136</v>
      </c>
      <c r="B58" s="209" t="s">
        <v>2137</v>
      </c>
      <c r="C58" s="209" t="s">
        <v>133</v>
      </c>
      <c r="D58" s="209" t="s">
        <v>133</v>
      </c>
      <c r="E58" s="209" t="s">
        <v>133</v>
      </c>
    </row>
    <row r="59" spans="1:5" x14ac:dyDescent="0.55000000000000004">
      <c r="A59" s="209" t="s">
        <v>2138</v>
      </c>
      <c r="B59" s="209" t="s">
        <v>2139</v>
      </c>
      <c r="C59" s="209" t="s">
        <v>133</v>
      </c>
      <c r="D59" s="209" t="s">
        <v>133</v>
      </c>
      <c r="E59" s="209" t="s">
        <v>133</v>
      </c>
    </row>
    <row r="60" spans="1:5" x14ac:dyDescent="0.55000000000000004">
      <c r="A60" s="209" t="s">
        <v>2140</v>
      </c>
      <c r="B60" s="209" t="s">
        <v>2141</v>
      </c>
      <c r="C60" s="209" t="s">
        <v>133</v>
      </c>
      <c r="D60" s="209" t="s">
        <v>133</v>
      </c>
      <c r="E60" s="209" t="s">
        <v>133</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DD425-2D73-4737-BA27-96F18F4893D5}">
  <sheetPr codeName="Sheet7">
    <tabColor theme="0" tint="-0.499984740745262"/>
  </sheetPr>
  <dimension ref="A1:K122"/>
  <sheetViews>
    <sheetView workbookViewId="0"/>
  </sheetViews>
  <sheetFormatPr defaultRowHeight="18" x14ac:dyDescent="0.55000000000000004"/>
  <cols>
    <col min="1" max="1" width="17.4140625" bestFit="1" customWidth="1"/>
    <col min="2" max="2" width="22.83203125" bestFit="1" customWidth="1"/>
    <col min="3" max="3" width="26.6640625" bestFit="1" customWidth="1"/>
    <col min="4" max="4" width="21" bestFit="1" customWidth="1"/>
    <col min="5" max="5" width="26.58203125" bestFit="1" customWidth="1"/>
    <col min="6" max="6" width="27.58203125" bestFit="1" customWidth="1"/>
    <col min="7" max="7" width="18.1640625" bestFit="1" customWidth="1"/>
    <col min="8" max="8" width="14.1640625" bestFit="1" customWidth="1"/>
    <col min="9" max="9" width="22.08203125" bestFit="1" customWidth="1"/>
    <col min="10" max="10" width="13.1640625" bestFit="1" customWidth="1"/>
    <col min="11" max="11" width="11.5" bestFit="1" customWidth="1"/>
  </cols>
  <sheetData>
    <row r="1" spans="1:11" x14ac:dyDescent="0.55000000000000004">
      <c r="A1" t="s">
        <v>119</v>
      </c>
      <c r="B1" t="s">
        <v>1185</v>
      </c>
      <c r="C1" t="s">
        <v>1186</v>
      </c>
      <c r="D1" t="s">
        <v>1187</v>
      </c>
      <c r="E1" t="s">
        <v>1188</v>
      </c>
      <c r="F1" t="s">
        <v>1189</v>
      </c>
      <c r="G1" t="s">
        <v>1190</v>
      </c>
      <c r="H1" t="s">
        <v>1289</v>
      </c>
      <c r="I1" t="s">
        <v>886</v>
      </c>
      <c r="J1" t="s">
        <v>887</v>
      </c>
      <c r="K1" t="s">
        <v>888</v>
      </c>
    </row>
    <row r="2" spans="1:11" x14ac:dyDescent="0.55000000000000004">
      <c r="A2" s="209" t="s">
        <v>132</v>
      </c>
      <c r="B2" s="209" t="s">
        <v>133</v>
      </c>
      <c r="C2" s="209" t="s">
        <v>133</v>
      </c>
      <c r="D2" s="209" t="s">
        <v>133</v>
      </c>
      <c r="E2" s="209" t="s">
        <v>133</v>
      </c>
      <c r="F2" s="209" t="s">
        <v>133</v>
      </c>
      <c r="G2" s="209" t="s">
        <v>133</v>
      </c>
      <c r="H2" s="209" t="s">
        <v>133</v>
      </c>
      <c r="I2" s="209" t="s">
        <v>133</v>
      </c>
      <c r="J2" s="209" t="s">
        <v>133</v>
      </c>
      <c r="K2" s="209" t="s">
        <v>133</v>
      </c>
    </row>
    <row r="3" spans="1:11" x14ac:dyDescent="0.55000000000000004">
      <c r="A3" s="209" t="s">
        <v>1290</v>
      </c>
      <c r="B3" s="209" t="s">
        <v>1291</v>
      </c>
      <c r="C3" s="209" t="s">
        <v>1292</v>
      </c>
      <c r="D3" s="209" t="s">
        <v>1293</v>
      </c>
      <c r="E3" s="209" t="s">
        <v>1292</v>
      </c>
      <c r="F3" s="209" t="s">
        <v>1195</v>
      </c>
      <c r="G3" s="209" t="s">
        <v>1294</v>
      </c>
      <c r="H3" s="209" t="s">
        <v>1295</v>
      </c>
      <c r="I3" s="209" t="s">
        <v>133</v>
      </c>
      <c r="J3" s="209" t="s">
        <v>133</v>
      </c>
      <c r="K3" s="209" t="s">
        <v>133</v>
      </c>
    </row>
    <row r="4" spans="1:11" x14ac:dyDescent="0.55000000000000004">
      <c r="A4" s="209" t="s">
        <v>1296</v>
      </c>
      <c r="B4" s="209" t="s">
        <v>1297</v>
      </c>
      <c r="C4" s="209" t="s">
        <v>1298</v>
      </c>
      <c r="D4" s="209" t="s">
        <v>1299</v>
      </c>
      <c r="E4" s="209" t="s">
        <v>1298</v>
      </c>
      <c r="F4" s="209" t="s">
        <v>1195</v>
      </c>
      <c r="G4" s="209" t="s">
        <v>1300</v>
      </c>
      <c r="H4" s="209" t="s">
        <v>1295</v>
      </c>
      <c r="I4" s="209" t="s">
        <v>133</v>
      </c>
      <c r="J4" s="209" t="s">
        <v>133</v>
      </c>
      <c r="K4" s="209" t="s">
        <v>133</v>
      </c>
    </row>
    <row r="5" spans="1:11" x14ac:dyDescent="0.55000000000000004">
      <c r="A5" s="209" t="s">
        <v>1301</v>
      </c>
      <c r="B5" s="209" t="s">
        <v>1302</v>
      </c>
      <c r="C5" s="209" t="s">
        <v>1303</v>
      </c>
      <c r="D5" s="209" t="s">
        <v>1304</v>
      </c>
      <c r="E5" s="209" t="s">
        <v>1303</v>
      </c>
      <c r="F5" s="209" t="s">
        <v>1195</v>
      </c>
      <c r="G5" s="209" t="s">
        <v>1305</v>
      </c>
      <c r="H5" s="209" t="s">
        <v>1295</v>
      </c>
      <c r="I5" s="209" t="s">
        <v>133</v>
      </c>
      <c r="J5" s="209" t="s">
        <v>133</v>
      </c>
      <c r="K5" s="209" t="s">
        <v>133</v>
      </c>
    </row>
    <row r="6" spans="1:11" x14ac:dyDescent="0.55000000000000004">
      <c r="A6" s="209" t="s">
        <v>1306</v>
      </c>
      <c r="B6" s="209" t="s">
        <v>1307</v>
      </c>
      <c r="C6" s="209" t="s">
        <v>1308</v>
      </c>
      <c r="D6" s="209" t="s">
        <v>1309</v>
      </c>
      <c r="E6" s="209" t="s">
        <v>1308</v>
      </c>
      <c r="F6" s="209" t="s">
        <v>1195</v>
      </c>
      <c r="G6" s="209" t="s">
        <v>1310</v>
      </c>
      <c r="H6" s="209" t="s">
        <v>1295</v>
      </c>
      <c r="I6" s="209" t="s">
        <v>133</v>
      </c>
      <c r="J6" s="209" t="s">
        <v>133</v>
      </c>
      <c r="K6" s="209" t="s">
        <v>133</v>
      </c>
    </row>
    <row r="7" spans="1:11" x14ac:dyDescent="0.55000000000000004">
      <c r="A7" s="209" t="s">
        <v>1311</v>
      </c>
      <c r="B7" s="209" t="s">
        <v>1312</v>
      </c>
      <c r="C7" s="209" t="s">
        <v>1313</v>
      </c>
      <c r="D7" s="209" t="s">
        <v>1314</v>
      </c>
      <c r="E7" s="209" t="s">
        <v>1313</v>
      </c>
      <c r="F7" s="209" t="s">
        <v>1195</v>
      </c>
      <c r="G7" s="209" t="s">
        <v>1315</v>
      </c>
      <c r="H7" s="209" t="s">
        <v>1295</v>
      </c>
      <c r="I7" s="209" t="s">
        <v>133</v>
      </c>
      <c r="J7" s="209" t="s">
        <v>133</v>
      </c>
      <c r="K7" s="209" t="s">
        <v>133</v>
      </c>
    </row>
    <row r="8" spans="1:11" x14ac:dyDescent="0.55000000000000004">
      <c r="A8" s="209" t="s">
        <v>1316</v>
      </c>
      <c r="B8" s="209" t="s">
        <v>1317</v>
      </c>
      <c r="C8" s="209" t="s">
        <v>1318</v>
      </c>
      <c r="D8" s="209" t="s">
        <v>1319</v>
      </c>
      <c r="E8" s="209" t="s">
        <v>1318</v>
      </c>
      <c r="F8" s="209" t="s">
        <v>1195</v>
      </c>
      <c r="G8" s="209" t="s">
        <v>1320</v>
      </c>
      <c r="H8" s="209" t="s">
        <v>1295</v>
      </c>
      <c r="I8" s="209" t="s">
        <v>133</v>
      </c>
      <c r="J8" s="209" t="s">
        <v>133</v>
      </c>
      <c r="K8" s="209" t="s">
        <v>133</v>
      </c>
    </row>
    <row r="9" spans="1:11" x14ac:dyDescent="0.55000000000000004">
      <c r="A9" s="209" t="s">
        <v>1321</v>
      </c>
      <c r="B9" s="209" t="s">
        <v>1322</v>
      </c>
      <c r="C9" s="209" t="s">
        <v>1323</v>
      </c>
      <c r="D9" s="209" t="s">
        <v>1324</v>
      </c>
      <c r="E9" s="209" t="s">
        <v>1323</v>
      </c>
      <c r="F9" s="209" t="s">
        <v>1195</v>
      </c>
      <c r="G9" s="209" t="s">
        <v>1325</v>
      </c>
      <c r="H9" s="209" t="s">
        <v>1326</v>
      </c>
      <c r="I9" s="209" t="s">
        <v>133</v>
      </c>
      <c r="J9" s="209" t="s">
        <v>133</v>
      </c>
      <c r="K9" s="209" t="s">
        <v>133</v>
      </c>
    </row>
    <row r="10" spans="1:11" x14ac:dyDescent="0.55000000000000004">
      <c r="A10" s="209" t="s">
        <v>1327</v>
      </c>
      <c r="B10" s="209" t="s">
        <v>1328</v>
      </c>
      <c r="C10" s="209" t="s">
        <v>1329</v>
      </c>
      <c r="D10" s="209" t="s">
        <v>1330</v>
      </c>
      <c r="E10" s="209" t="s">
        <v>1329</v>
      </c>
      <c r="F10" s="209" t="s">
        <v>1195</v>
      </c>
      <c r="G10" s="209" t="s">
        <v>1331</v>
      </c>
      <c r="H10" s="209" t="s">
        <v>1326</v>
      </c>
      <c r="I10" s="209" t="s">
        <v>133</v>
      </c>
      <c r="J10" s="209" t="s">
        <v>133</v>
      </c>
      <c r="K10" s="209" t="s">
        <v>133</v>
      </c>
    </row>
    <row r="11" spans="1:11" x14ac:dyDescent="0.55000000000000004">
      <c r="A11" s="209" t="s">
        <v>1332</v>
      </c>
      <c r="B11" s="209" t="s">
        <v>1333</v>
      </c>
      <c r="C11" s="209" t="s">
        <v>1334</v>
      </c>
      <c r="D11" s="209" t="s">
        <v>1335</v>
      </c>
      <c r="E11" s="209" t="s">
        <v>1334</v>
      </c>
      <c r="F11" s="209" t="s">
        <v>1195</v>
      </c>
      <c r="G11" s="209" t="s">
        <v>1336</v>
      </c>
      <c r="H11" s="209" t="s">
        <v>1337</v>
      </c>
      <c r="I11" s="209" t="s">
        <v>133</v>
      </c>
      <c r="J11" s="209" t="s">
        <v>133</v>
      </c>
      <c r="K11" s="209" t="s">
        <v>133</v>
      </c>
    </row>
    <row r="12" spans="1:11" x14ac:dyDescent="0.55000000000000004">
      <c r="A12" s="209" t="s">
        <v>1338</v>
      </c>
      <c r="B12" s="209" t="s">
        <v>1339</v>
      </c>
      <c r="C12" s="209" t="s">
        <v>1340</v>
      </c>
      <c r="D12" s="209" t="s">
        <v>1341</v>
      </c>
      <c r="E12" s="209" t="s">
        <v>1340</v>
      </c>
      <c r="F12" s="209" t="s">
        <v>1195</v>
      </c>
      <c r="G12" s="209" t="s">
        <v>1342</v>
      </c>
      <c r="H12" s="209" t="s">
        <v>1337</v>
      </c>
      <c r="I12" s="209" t="s">
        <v>133</v>
      </c>
      <c r="J12" s="209" t="s">
        <v>133</v>
      </c>
      <c r="K12" s="209" t="s">
        <v>133</v>
      </c>
    </row>
    <row r="13" spans="1:11" x14ac:dyDescent="0.55000000000000004">
      <c r="A13" s="209" t="s">
        <v>1343</v>
      </c>
      <c r="B13" s="209" t="s">
        <v>1344</v>
      </c>
      <c r="C13" s="209" t="s">
        <v>1345</v>
      </c>
      <c r="D13" s="209" t="s">
        <v>1346</v>
      </c>
      <c r="E13" s="209" t="s">
        <v>1345</v>
      </c>
      <c r="F13" s="209" t="s">
        <v>1195</v>
      </c>
      <c r="G13" s="209" t="s">
        <v>1347</v>
      </c>
      <c r="H13" s="209" t="s">
        <v>1337</v>
      </c>
      <c r="I13" s="209" t="s">
        <v>133</v>
      </c>
      <c r="J13" s="209" t="s">
        <v>133</v>
      </c>
      <c r="K13" s="209" t="s">
        <v>133</v>
      </c>
    </row>
    <row r="14" spans="1:11" x14ac:dyDescent="0.55000000000000004">
      <c r="A14" s="209" t="s">
        <v>1348</v>
      </c>
      <c r="B14" s="209" t="s">
        <v>1349</v>
      </c>
      <c r="C14" s="209" t="s">
        <v>1350</v>
      </c>
      <c r="D14" s="209" t="s">
        <v>1351</v>
      </c>
      <c r="E14" s="209" t="s">
        <v>1350</v>
      </c>
      <c r="F14" s="209" t="s">
        <v>1195</v>
      </c>
      <c r="G14" s="209" t="s">
        <v>1352</v>
      </c>
      <c r="H14" s="209" t="s">
        <v>1337</v>
      </c>
      <c r="I14" s="209" t="s">
        <v>133</v>
      </c>
      <c r="J14" s="209" t="s">
        <v>133</v>
      </c>
      <c r="K14" s="209" t="s">
        <v>133</v>
      </c>
    </row>
    <row r="15" spans="1:11" x14ac:dyDescent="0.55000000000000004">
      <c r="A15" s="209" t="s">
        <v>1353</v>
      </c>
      <c r="B15" s="209" t="s">
        <v>1354</v>
      </c>
      <c r="C15" s="209" t="s">
        <v>1355</v>
      </c>
      <c r="D15" s="209" t="s">
        <v>1356</v>
      </c>
      <c r="E15" s="209" t="s">
        <v>1355</v>
      </c>
      <c r="F15" s="209" t="s">
        <v>1195</v>
      </c>
      <c r="G15" s="209" t="s">
        <v>1357</v>
      </c>
      <c r="H15" s="209" t="s">
        <v>1358</v>
      </c>
      <c r="I15" s="209" t="s">
        <v>133</v>
      </c>
      <c r="J15" s="209" t="s">
        <v>133</v>
      </c>
      <c r="K15" s="209" t="s">
        <v>133</v>
      </c>
    </row>
    <row r="16" spans="1:11" x14ac:dyDescent="0.55000000000000004">
      <c r="A16" s="209" t="s">
        <v>1359</v>
      </c>
      <c r="B16" s="209" t="s">
        <v>1360</v>
      </c>
      <c r="C16" s="209" t="s">
        <v>1361</v>
      </c>
      <c r="D16" s="209" t="s">
        <v>1362</v>
      </c>
      <c r="E16" s="209" t="s">
        <v>1361</v>
      </c>
      <c r="F16" s="209" t="s">
        <v>1195</v>
      </c>
      <c r="G16" s="209" t="s">
        <v>1363</v>
      </c>
      <c r="H16" s="209" t="s">
        <v>1358</v>
      </c>
      <c r="I16" s="209" t="s">
        <v>133</v>
      </c>
      <c r="J16" s="209" t="s">
        <v>133</v>
      </c>
      <c r="K16" s="209" t="s">
        <v>133</v>
      </c>
    </row>
    <row r="17" spans="1:11" x14ac:dyDescent="0.55000000000000004">
      <c r="A17" s="209" t="s">
        <v>1364</v>
      </c>
      <c r="B17" s="209" t="s">
        <v>1365</v>
      </c>
      <c r="C17" s="209" t="s">
        <v>1366</v>
      </c>
      <c r="D17" s="209" t="s">
        <v>1367</v>
      </c>
      <c r="E17" s="209" t="s">
        <v>1366</v>
      </c>
      <c r="F17" s="209" t="s">
        <v>1195</v>
      </c>
      <c r="G17" s="209" t="s">
        <v>1368</v>
      </c>
      <c r="H17" s="209" t="s">
        <v>1369</v>
      </c>
      <c r="I17" s="209" t="s">
        <v>133</v>
      </c>
      <c r="J17" s="209" t="s">
        <v>133</v>
      </c>
      <c r="K17" s="209" t="s">
        <v>133</v>
      </c>
    </row>
    <row r="18" spans="1:11" x14ac:dyDescent="0.55000000000000004">
      <c r="A18" s="209" t="s">
        <v>1370</v>
      </c>
      <c r="B18" s="209" t="s">
        <v>1371</v>
      </c>
      <c r="C18" s="209" t="s">
        <v>1372</v>
      </c>
      <c r="D18" s="209" t="s">
        <v>1373</v>
      </c>
      <c r="E18" s="209" t="s">
        <v>1372</v>
      </c>
      <c r="F18" s="209" t="s">
        <v>1195</v>
      </c>
      <c r="G18" s="209" t="s">
        <v>1374</v>
      </c>
      <c r="H18" s="209" t="s">
        <v>1369</v>
      </c>
      <c r="I18" s="209" t="s">
        <v>133</v>
      </c>
      <c r="J18" s="209" t="s">
        <v>133</v>
      </c>
      <c r="K18" s="209" t="s">
        <v>133</v>
      </c>
    </row>
    <row r="19" spans="1:11" x14ac:dyDescent="0.55000000000000004">
      <c r="A19" s="209" t="s">
        <v>1375</v>
      </c>
      <c r="B19" s="209" t="s">
        <v>1376</v>
      </c>
      <c r="C19" s="209" t="s">
        <v>1377</v>
      </c>
      <c r="D19" s="209" t="s">
        <v>1378</v>
      </c>
      <c r="E19" s="209" t="s">
        <v>1377</v>
      </c>
      <c r="F19" s="209" t="s">
        <v>1195</v>
      </c>
      <c r="G19" s="209" t="s">
        <v>1379</v>
      </c>
      <c r="H19" s="209" t="s">
        <v>1369</v>
      </c>
      <c r="I19" s="209" t="s">
        <v>133</v>
      </c>
      <c r="J19" s="209" t="s">
        <v>133</v>
      </c>
      <c r="K19" s="209" t="s">
        <v>133</v>
      </c>
    </row>
    <row r="20" spans="1:11" x14ac:dyDescent="0.55000000000000004">
      <c r="A20" s="209" t="s">
        <v>1380</v>
      </c>
      <c r="B20" s="209" t="s">
        <v>1381</v>
      </c>
      <c r="C20" s="209" t="s">
        <v>1382</v>
      </c>
      <c r="D20" s="209" t="s">
        <v>1383</v>
      </c>
      <c r="E20" s="209" t="s">
        <v>1382</v>
      </c>
      <c r="F20" s="209" t="s">
        <v>1195</v>
      </c>
      <c r="G20" s="209" t="s">
        <v>1384</v>
      </c>
      <c r="H20" s="209" t="s">
        <v>1369</v>
      </c>
      <c r="I20" s="209" t="s">
        <v>133</v>
      </c>
      <c r="J20" s="209" t="s">
        <v>133</v>
      </c>
      <c r="K20" s="209" t="s">
        <v>133</v>
      </c>
    </row>
    <row r="21" spans="1:11" x14ac:dyDescent="0.55000000000000004">
      <c r="A21" s="209" t="s">
        <v>1385</v>
      </c>
      <c r="B21" s="209" t="s">
        <v>1386</v>
      </c>
      <c r="C21" s="209" t="s">
        <v>1387</v>
      </c>
      <c r="D21" s="209" t="s">
        <v>1388</v>
      </c>
      <c r="E21" s="209" t="s">
        <v>1387</v>
      </c>
      <c r="F21" s="209" t="s">
        <v>1195</v>
      </c>
      <c r="G21" s="209" t="s">
        <v>1389</v>
      </c>
      <c r="H21" s="209" t="s">
        <v>1369</v>
      </c>
      <c r="I21" s="209" t="s">
        <v>133</v>
      </c>
      <c r="J21" s="209" t="s">
        <v>133</v>
      </c>
      <c r="K21" s="209" t="s">
        <v>133</v>
      </c>
    </row>
    <row r="22" spans="1:11" x14ac:dyDescent="0.55000000000000004">
      <c r="A22" s="209" t="s">
        <v>1390</v>
      </c>
      <c r="B22" s="209" t="s">
        <v>1391</v>
      </c>
      <c r="C22" s="209" t="s">
        <v>1392</v>
      </c>
      <c r="D22" s="209" t="s">
        <v>1393</v>
      </c>
      <c r="E22" s="209" t="s">
        <v>1392</v>
      </c>
      <c r="F22" s="209" t="s">
        <v>1195</v>
      </c>
      <c r="G22" s="209" t="s">
        <v>1394</v>
      </c>
      <c r="H22" s="209" t="s">
        <v>1369</v>
      </c>
      <c r="I22" s="209" t="s">
        <v>133</v>
      </c>
      <c r="J22" s="209" t="s">
        <v>133</v>
      </c>
      <c r="K22" s="209" t="s">
        <v>133</v>
      </c>
    </row>
    <row r="23" spans="1:11" x14ac:dyDescent="0.55000000000000004">
      <c r="A23" s="209" t="s">
        <v>1395</v>
      </c>
      <c r="B23" s="209" t="s">
        <v>1396</v>
      </c>
      <c r="C23" s="209" t="s">
        <v>1397</v>
      </c>
      <c r="D23" s="209" t="s">
        <v>1398</v>
      </c>
      <c r="E23" s="209" t="s">
        <v>1397</v>
      </c>
      <c r="F23" s="209" t="s">
        <v>1195</v>
      </c>
      <c r="G23" s="209" t="s">
        <v>1399</v>
      </c>
      <c r="H23" s="209" t="s">
        <v>1369</v>
      </c>
      <c r="I23" s="209" t="s">
        <v>133</v>
      </c>
      <c r="J23" s="209" t="s">
        <v>133</v>
      </c>
      <c r="K23" s="209" t="s">
        <v>133</v>
      </c>
    </row>
    <row r="24" spans="1:11" x14ac:dyDescent="0.55000000000000004">
      <c r="A24" s="209" t="s">
        <v>1400</v>
      </c>
      <c r="B24" s="209" t="s">
        <v>1401</v>
      </c>
      <c r="C24" s="209" t="s">
        <v>1402</v>
      </c>
      <c r="D24" s="209" t="s">
        <v>1403</v>
      </c>
      <c r="E24" s="209" t="s">
        <v>1402</v>
      </c>
      <c r="F24" s="209" t="s">
        <v>1195</v>
      </c>
      <c r="G24" s="209" t="s">
        <v>1404</v>
      </c>
      <c r="H24" s="209" t="s">
        <v>1369</v>
      </c>
      <c r="I24" s="209" t="s">
        <v>133</v>
      </c>
      <c r="J24" s="209" t="s">
        <v>133</v>
      </c>
      <c r="K24" s="209" t="s">
        <v>133</v>
      </c>
    </row>
    <row r="25" spans="1:11" x14ac:dyDescent="0.55000000000000004">
      <c r="A25" s="209" t="s">
        <v>6013</v>
      </c>
      <c r="B25" s="209" t="s">
        <v>1664</v>
      </c>
      <c r="C25" s="209" t="s">
        <v>1665</v>
      </c>
      <c r="D25" s="209" t="s">
        <v>1666</v>
      </c>
      <c r="E25" s="209" t="s">
        <v>1665</v>
      </c>
      <c r="F25" s="209" t="s">
        <v>1195</v>
      </c>
      <c r="G25" s="209" t="s">
        <v>1667</v>
      </c>
      <c r="H25" s="209" t="s">
        <v>1668</v>
      </c>
      <c r="I25" s="209" t="s">
        <v>6025</v>
      </c>
      <c r="J25" s="209" t="s">
        <v>6026</v>
      </c>
      <c r="K25" s="209" t="s">
        <v>1411</v>
      </c>
    </row>
    <row r="26" spans="1:11" x14ac:dyDescent="0.55000000000000004">
      <c r="A26" s="209" t="s">
        <v>6014</v>
      </c>
      <c r="B26" s="209" t="s">
        <v>1669</v>
      </c>
      <c r="C26" s="209" t="s">
        <v>1670</v>
      </c>
      <c r="D26" s="209" t="s">
        <v>1671</v>
      </c>
      <c r="E26" s="209" t="s">
        <v>1670</v>
      </c>
      <c r="F26" s="209" t="s">
        <v>1195</v>
      </c>
      <c r="G26" s="209" t="s">
        <v>1672</v>
      </c>
      <c r="H26" s="209" t="s">
        <v>1668</v>
      </c>
      <c r="I26" s="209" t="s">
        <v>6025</v>
      </c>
      <c r="J26" s="209" t="s">
        <v>6026</v>
      </c>
      <c r="K26" s="209" t="s">
        <v>1417</v>
      </c>
    </row>
    <row r="27" spans="1:11" x14ac:dyDescent="0.55000000000000004">
      <c r="A27" s="209" t="s">
        <v>6015</v>
      </c>
      <c r="B27" s="209" t="s">
        <v>1673</v>
      </c>
      <c r="C27" s="209" t="s">
        <v>1674</v>
      </c>
      <c r="D27" s="209" t="s">
        <v>1675</v>
      </c>
      <c r="E27" s="209" t="s">
        <v>1674</v>
      </c>
      <c r="F27" s="209" t="s">
        <v>1195</v>
      </c>
      <c r="G27" s="209" t="s">
        <v>1676</v>
      </c>
      <c r="H27" s="209" t="s">
        <v>1668</v>
      </c>
      <c r="I27" s="209" t="s">
        <v>6025</v>
      </c>
      <c r="J27" s="209" t="s">
        <v>6026</v>
      </c>
      <c r="K27" s="209" t="s">
        <v>1423</v>
      </c>
    </row>
    <row r="28" spans="1:11" x14ac:dyDescent="0.55000000000000004">
      <c r="A28" s="209" t="s">
        <v>6016</v>
      </c>
      <c r="B28" s="209" t="s">
        <v>1677</v>
      </c>
      <c r="C28" s="209" t="s">
        <v>1678</v>
      </c>
      <c r="D28" s="209" t="s">
        <v>1679</v>
      </c>
      <c r="E28" s="209" t="s">
        <v>1678</v>
      </c>
      <c r="F28" s="209" t="s">
        <v>1195</v>
      </c>
      <c r="G28" s="209" t="s">
        <v>1680</v>
      </c>
      <c r="H28" s="209" t="s">
        <v>1668</v>
      </c>
      <c r="I28" s="209" t="s">
        <v>6025</v>
      </c>
      <c r="J28" s="209" t="s">
        <v>6026</v>
      </c>
      <c r="K28" s="209" t="s">
        <v>1429</v>
      </c>
    </row>
    <row r="29" spans="1:11" x14ac:dyDescent="0.55000000000000004">
      <c r="A29" s="209" t="s">
        <v>6017</v>
      </c>
      <c r="B29" s="209" t="s">
        <v>1681</v>
      </c>
      <c r="C29" s="209" t="s">
        <v>1682</v>
      </c>
      <c r="D29" s="209" t="s">
        <v>1683</v>
      </c>
      <c r="E29" s="209" t="s">
        <v>1682</v>
      </c>
      <c r="F29" s="209" t="s">
        <v>1195</v>
      </c>
      <c r="G29" s="209" t="s">
        <v>1684</v>
      </c>
      <c r="H29" s="209" t="s">
        <v>1668</v>
      </c>
      <c r="I29" s="209" t="s">
        <v>6025</v>
      </c>
      <c r="J29" s="209" t="s">
        <v>6026</v>
      </c>
      <c r="K29" s="209" t="s">
        <v>1435</v>
      </c>
    </row>
    <row r="30" spans="1:11" x14ac:dyDescent="0.55000000000000004">
      <c r="A30" s="209" t="s">
        <v>6018</v>
      </c>
      <c r="B30" s="209" t="s">
        <v>1685</v>
      </c>
      <c r="C30" s="209" t="s">
        <v>1686</v>
      </c>
      <c r="D30" s="209" t="s">
        <v>1687</v>
      </c>
      <c r="E30" s="209" t="s">
        <v>1686</v>
      </c>
      <c r="F30" s="209" t="s">
        <v>1195</v>
      </c>
      <c r="G30" s="209" t="s">
        <v>1688</v>
      </c>
      <c r="H30" s="209" t="s">
        <v>1668</v>
      </c>
      <c r="I30" s="209" t="s">
        <v>6025</v>
      </c>
      <c r="J30" s="209" t="s">
        <v>6026</v>
      </c>
      <c r="K30" s="209" t="s">
        <v>1441</v>
      </c>
    </row>
    <row r="31" spans="1:11" x14ac:dyDescent="0.55000000000000004">
      <c r="A31" s="209" t="s">
        <v>6019</v>
      </c>
      <c r="B31" s="209" t="s">
        <v>1689</v>
      </c>
      <c r="C31" s="209" t="s">
        <v>1690</v>
      </c>
      <c r="D31" s="209" t="s">
        <v>1691</v>
      </c>
      <c r="E31" s="209" t="s">
        <v>1690</v>
      </c>
      <c r="F31" s="209" t="s">
        <v>1195</v>
      </c>
      <c r="G31" s="209" t="s">
        <v>1692</v>
      </c>
      <c r="H31" s="209" t="s">
        <v>1693</v>
      </c>
      <c r="I31" s="209" t="s">
        <v>6025</v>
      </c>
      <c r="J31" s="209" t="s">
        <v>6026</v>
      </c>
      <c r="K31" s="209" t="s">
        <v>1448</v>
      </c>
    </row>
    <row r="32" spans="1:11" x14ac:dyDescent="0.55000000000000004">
      <c r="A32" s="209" t="s">
        <v>6020</v>
      </c>
      <c r="B32" s="209" t="s">
        <v>1694</v>
      </c>
      <c r="C32" s="209" t="s">
        <v>1695</v>
      </c>
      <c r="D32" s="209" t="s">
        <v>1696</v>
      </c>
      <c r="E32" s="209" t="s">
        <v>1695</v>
      </c>
      <c r="F32" s="209" t="s">
        <v>1195</v>
      </c>
      <c r="G32" s="209" t="s">
        <v>1697</v>
      </c>
      <c r="H32" s="209" t="s">
        <v>1693</v>
      </c>
      <c r="I32" s="209" t="s">
        <v>6025</v>
      </c>
      <c r="J32" s="209" t="s">
        <v>6026</v>
      </c>
      <c r="K32" s="209" t="s">
        <v>1454</v>
      </c>
    </row>
    <row r="33" spans="1:11" x14ac:dyDescent="0.55000000000000004">
      <c r="A33" s="209" t="s">
        <v>6021</v>
      </c>
      <c r="B33" s="209" t="s">
        <v>1698</v>
      </c>
      <c r="C33" s="209" t="s">
        <v>1699</v>
      </c>
      <c r="D33" s="209" t="s">
        <v>1700</v>
      </c>
      <c r="E33" s="209" t="s">
        <v>1699</v>
      </c>
      <c r="F33" s="209" t="s">
        <v>1195</v>
      </c>
      <c r="G33" s="209" t="s">
        <v>1701</v>
      </c>
      <c r="H33" s="209" t="s">
        <v>1693</v>
      </c>
      <c r="I33" s="209" t="s">
        <v>6025</v>
      </c>
      <c r="J33" s="209" t="s">
        <v>6026</v>
      </c>
      <c r="K33" s="209" t="s">
        <v>1460</v>
      </c>
    </row>
    <row r="34" spans="1:11" x14ac:dyDescent="0.55000000000000004">
      <c r="A34" s="209" t="s">
        <v>6022</v>
      </c>
      <c r="B34" s="209" t="s">
        <v>1702</v>
      </c>
      <c r="C34" s="209" t="s">
        <v>1703</v>
      </c>
      <c r="D34" s="209" t="s">
        <v>1704</v>
      </c>
      <c r="E34" s="209" t="s">
        <v>1703</v>
      </c>
      <c r="F34" s="209" t="s">
        <v>1195</v>
      </c>
      <c r="G34" s="209" t="s">
        <v>1705</v>
      </c>
      <c r="H34" s="209" t="s">
        <v>1693</v>
      </c>
      <c r="I34" s="209" t="s">
        <v>6025</v>
      </c>
      <c r="J34" s="209" t="s">
        <v>6026</v>
      </c>
      <c r="K34" s="209" t="s">
        <v>1466</v>
      </c>
    </row>
    <row r="35" spans="1:11" x14ac:dyDescent="0.55000000000000004">
      <c r="A35" s="209" t="s">
        <v>1405</v>
      </c>
      <c r="B35" s="209" t="s">
        <v>1406</v>
      </c>
      <c r="C35" s="209" t="s">
        <v>1407</v>
      </c>
      <c r="D35" s="209" t="s">
        <v>1408</v>
      </c>
      <c r="E35" s="209" t="s">
        <v>1407</v>
      </c>
      <c r="F35" s="209" t="s">
        <v>1195</v>
      </c>
      <c r="G35" s="209" t="s">
        <v>1409</v>
      </c>
      <c r="H35" s="209" t="s">
        <v>1410</v>
      </c>
      <c r="I35" s="209" t="s">
        <v>5989</v>
      </c>
      <c r="J35" s="209" t="s">
        <v>996</v>
      </c>
      <c r="K35" s="209" t="s">
        <v>1411</v>
      </c>
    </row>
    <row r="36" spans="1:11" x14ac:dyDescent="0.55000000000000004">
      <c r="A36" s="209" t="s">
        <v>1412</v>
      </c>
      <c r="B36" s="209" t="s">
        <v>1413</v>
      </c>
      <c r="C36" s="209" t="s">
        <v>1414</v>
      </c>
      <c r="D36" s="209" t="s">
        <v>1415</v>
      </c>
      <c r="E36" s="209" t="s">
        <v>1414</v>
      </c>
      <c r="F36" s="209" t="s">
        <v>1195</v>
      </c>
      <c r="G36" s="209" t="s">
        <v>1416</v>
      </c>
      <c r="H36" s="209" t="s">
        <v>1410</v>
      </c>
      <c r="I36" s="209" t="s">
        <v>5989</v>
      </c>
      <c r="J36" s="209" t="s">
        <v>996</v>
      </c>
      <c r="K36" s="209" t="s">
        <v>1417</v>
      </c>
    </row>
    <row r="37" spans="1:11" x14ac:dyDescent="0.55000000000000004">
      <c r="A37" s="209" t="s">
        <v>1418</v>
      </c>
      <c r="B37" s="209" t="s">
        <v>1419</v>
      </c>
      <c r="C37" s="209" t="s">
        <v>1420</v>
      </c>
      <c r="D37" s="209" t="s">
        <v>1421</v>
      </c>
      <c r="E37" s="209" t="s">
        <v>1420</v>
      </c>
      <c r="F37" s="209" t="s">
        <v>1195</v>
      </c>
      <c r="G37" s="209" t="s">
        <v>1422</v>
      </c>
      <c r="H37" s="209" t="s">
        <v>1410</v>
      </c>
      <c r="I37" s="209" t="s">
        <v>5989</v>
      </c>
      <c r="J37" s="209" t="s">
        <v>996</v>
      </c>
      <c r="K37" s="209" t="s">
        <v>1423</v>
      </c>
    </row>
    <row r="38" spans="1:11" x14ac:dyDescent="0.55000000000000004">
      <c r="A38" s="209" t="s">
        <v>1424</v>
      </c>
      <c r="B38" s="209" t="s">
        <v>1425</v>
      </c>
      <c r="C38" s="209" t="s">
        <v>1426</v>
      </c>
      <c r="D38" s="209" t="s">
        <v>1427</v>
      </c>
      <c r="E38" s="209" t="s">
        <v>1426</v>
      </c>
      <c r="F38" s="209" t="s">
        <v>1195</v>
      </c>
      <c r="G38" s="209" t="s">
        <v>1428</v>
      </c>
      <c r="H38" s="209" t="s">
        <v>1410</v>
      </c>
      <c r="I38" s="209" t="s">
        <v>5989</v>
      </c>
      <c r="J38" s="209" t="s">
        <v>996</v>
      </c>
      <c r="K38" s="209" t="s">
        <v>1429</v>
      </c>
    </row>
    <row r="39" spans="1:11" x14ac:dyDescent="0.55000000000000004">
      <c r="A39" s="209" t="s">
        <v>1430</v>
      </c>
      <c r="B39" s="209" t="s">
        <v>1431</v>
      </c>
      <c r="C39" s="209" t="s">
        <v>1432</v>
      </c>
      <c r="D39" s="209" t="s">
        <v>1433</v>
      </c>
      <c r="E39" s="209" t="s">
        <v>1432</v>
      </c>
      <c r="F39" s="209" t="s">
        <v>1195</v>
      </c>
      <c r="G39" s="209" t="s">
        <v>1434</v>
      </c>
      <c r="H39" s="209" t="s">
        <v>1410</v>
      </c>
      <c r="I39" s="209" t="s">
        <v>5989</v>
      </c>
      <c r="J39" s="209" t="s">
        <v>996</v>
      </c>
      <c r="K39" s="209" t="s">
        <v>1435</v>
      </c>
    </row>
    <row r="40" spans="1:11" x14ac:dyDescent="0.55000000000000004">
      <c r="A40" s="209" t="s">
        <v>1436</v>
      </c>
      <c r="B40" s="209" t="s">
        <v>1437</v>
      </c>
      <c r="C40" s="209" t="s">
        <v>1438</v>
      </c>
      <c r="D40" s="209" t="s">
        <v>1439</v>
      </c>
      <c r="E40" s="209" t="s">
        <v>1438</v>
      </c>
      <c r="F40" s="209" t="s">
        <v>1195</v>
      </c>
      <c r="G40" s="209" t="s">
        <v>1440</v>
      </c>
      <c r="H40" s="209" t="s">
        <v>1410</v>
      </c>
      <c r="I40" s="209" t="s">
        <v>5989</v>
      </c>
      <c r="J40" s="209" t="s">
        <v>996</v>
      </c>
      <c r="K40" s="209" t="s">
        <v>1441</v>
      </c>
    </row>
    <row r="41" spans="1:11" x14ac:dyDescent="0.55000000000000004">
      <c r="A41" s="209" t="s">
        <v>1442</v>
      </c>
      <c r="B41" s="209" t="s">
        <v>1443</v>
      </c>
      <c r="C41" s="209" t="s">
        <v>1444</v>
      </c>
      <c r="D41" s="209" t="s">
        <v>1445</v>
      </c>
      <c r="E41" s="209" t="s">
        <v>1444</v>
      </c>
      <c r="F41" s="209" t="s">
        <v>1195</v>
      </c>
      <c r="G41" s="209" t="s">
        <v>1446</v>
      </c>
      <c r="H41" s="209" t="s">
        <v>1447</v>
      </c>
      <c r="I41" s="209" t="s">
        <v>5989</v>
      </c>
      <c r="J41" s="209" t="s">
        <v>996</v>
      </c>
      <c r="K41" s="209" t="s">
        <v>1448</v>
      </c>
    </row>
    <row r="42" spans="1:11" x14ac:dyDescent="0.55000000000000004">
      <c r="A42" s="209" t="s">
        <v>1449</v>
      </c>
      <c r="B42" s="209" t="s">
        <v>1450</v>
      </c>
      <c r="C42" s="209" t="s">
        <v>1451</v>
      </c>
      <c r="D42" s="209" t="s">
        <v>1452</v>
      </c>
      <c r="E42" s="209" t="s">
        <v>1451</v>
      </c>
      <c r="F42" s="209" t="s">
        <v>1195</v>
      </c>
      <c r="G42" s="209" t="s">
        <v>1453</v>
      </c>
      <c r="H42" s="209" t="s">
        <v>1447</v>
      </c>
      <c r="I42" s="209" t="s">
        <v>5989</v>
      </c>
      <c r="J42" s="209" t="s">
        <v>996</v>
      </c>
      <c r="K42" s="209" t="s">
        <v>1454</v>
      </c>
    </row>
    <row r="43" spans="1:11" x14ac:dyDescent="0.55000000000000004">
      <c r="A43" s="209" t="s">
        <v>1455</v>
      </c>
      <c r="B43" s="209" t="s">
        <v>1456</v>
      </c>
      <c r="C43" s="209" t="s">
        <v>1457</v>
      </c>
      <c r="D43" s="209" t="s">
        <v>1458</v>
      </c>
      <c r="E43" s="209" t="s">
        <v>1457</v>
      </c>
      <c r="F43" s="209" t="s">
        <v>1195</v>
      </c>
      <c r="G43" s="209" t="s">
        <v>1459</v>
      </c>
      <c r="H43" s="209" t="s">
        <v>1447</v>
      </c>
      <c r="I43" s="209" t="s">
        <v>5989</v>
      </c>
      <c r="J43" s="209" t="s">
        <v>996</v>
      </c>
      <c r="K43" s="209" t="s">
        <v>1460</v>
      </c>
    </row>
    <row r="44" spans="1:11" x14ac:dyDescent="0.55000000000000004">
      <c r="A44" s="209" t="s">
        <v>1461</v>
      </c>
      <c r="B44" s="209" t="s">
        <v>1462</v>
      </c>
      <c r="C44" s="209" t="s">
        <v>1463</v>
      </c>
      <c r="D44" s="209" t="s">
        <v>1464</v>
      </c>
      <c r="E44" s="209" t="s">
        <v>1463</v>
      </c>
      <c r="F44" s="209" t="s">
        <v>1195</v>
      </c>
      <c r="G44" s="209" t="s">
        <v>1465</v>
      </c>
      <c r="H44" s="209" t="s">
        <v>1447</v>
      </c>
      <c r="I44" s="209" t="s">
        <v>5989</v>
      </c>
      <c r="J44" s="209" t="s">
        <v>996</v>
      </c>
      <c r="K44" s="209" t="s">
        <v>1466</v>
      </c>
    </row>
    <row r="45" spans="1:11" x14ac:dyDescent="0.55000000000000004">
      <c r="A45" s="209" t="s">
        <v>1467</v>
      </c>
      <c r="B45" s="209" t="s">
        <v>1468</v>
      </c>
      <c r="C45" s="209" t="s">
        <v>1469</v>
      </c>
      <c r="D45" s="209" t="s">
        <v>1470</v>
      </c>
      <c r="E45" s="209" t="s">
        <v>1469</v>
      </c>
      <c r="F45" s="209" t="s">
        <v>1195</v>
      </c>
      <c r="G45" s="209" t="s">
        <v>1471</v>
      </c>
      <c r="H45" s="209" t="s">
        <v>1447</v>
      </c>
      <c r="I45" s="209" t="s">
        <v>5989</v>
      </c>
      <c r="J45" s="209" t="s">
        <v>996</v>
      </c>
      <c r="K45" s="209" t="s">
        <v>1472</v>
      </c>
    </row>
    <row r="46" spans="1:11" x14ac:dyDescent="0.55000000000000004">
      <c r="A46" s="209" t="s">
        <v>1473</v>
      </c>
      <c r="B46" s="209" t="s">
        <v>1474</v>
      </c>
      <c r="C46" s="209" t="s">
        <v>1475</v>
      </c>
      <c r="D46" s="209" t="s">
        <v>1476</v>
      </c>
      <c r="E46" s="209" t="s">
        <v>1475</v>
      </c>
      <c r="F46" s="209" t="s">
        <v>1195</v>
      </c>
      <c r="G46" s="209" t="s">
        <v>1477</v>
      </c>
      <c r="H46" s="209" t="s">
        <v>1447</v>
      </c>
      <c r="I46" s="209" t="s">
        <v>5989</v>
      </c>
      <c r="J46" s="209" t="s">
        <v>996</v>
      </c>
      <c r="K46" s="209" t="s">
        <v>1478</v>
      </c>
    </row>
    <row r="47" spans="1:11" x14ac:dyDescent="0.55000000000000004">
      <c r="A47" s="209" t="s">
        <v>1479</v>
      </c>
      <c r="B47" s="209" t="s">
        <v>1480</v>
      </c>
      <c r="C47" s="209" t="s">
        <v>1481</v>
      </c>
      <c r="D47" s="209" t="s">
        <v>1482</v>
      </c>
      <c r="E47" s="209" t="s">
        <v>1481</v>
      </c>
      <c r="F47" s="209" t="s">
        <v>1195</v>
      </c>
      <c r="G47" s="209" t="s">
        <v>1483</v>
      </c>
      <c r="H47" s="209" t="s">
        <v>1484</v>
      </c>
      <c r="I47" s="209" t="s">
        <v>133</v>
      </c>
      <c r="J47" s="209" t="s">
        <v>133</v>
      </c>
      <c r="K47" s="209" t="s">
        <v>133</v>
      </c>
    </row>
    <row r="48" spans="1:11" x14ac:dyDescent="0.55000000000000004">
      <c r="A48" s="209" t="s">
        <v>1485</v>
      </c>
      <c r="B48" s="209" t="s">
        <v>1486</v>
      </c>
      <c r="C48" s="209" t="s">
        <v>1487</v>
      </c>
      <c r="D48" s="209" t="s">
        <v>1488</v>
      </c>
      <c r="E48" s="209" t="s">
        <v>1487</v>
      </c>
      <c r="F48" s="209" t="s">
        <v>1195</v>
      </c>
      <c r="G48" s="209" t="s">
        <v>1489</v>
      </c>
      <c r="H48" s="209" t="s">
        <v>1484</v>
      </c>
      <c r="I48" s="209" t="s">
        <v>133</v>
      </c>
      <c r="J48" s="209" t="s">
        <v>133</v>
      </c>
      <c r="K48" s="209" t="s">
        <v>133</v>
      </c>
    </row>
    <row r="49" spans="1:11" x14ac:dyDescent="0.55000000000000004">
      <c r="A49" s="209" t="s">
        <v>1490</v>
      </c>
      <c r="B49" s="209" t="s">
        <v>1491</v>
      </c>
      <c r="C49" s="209" t="s">
        <v>1492</v>
      </c>
      <c r="D49" s="209" t="s">
        <v>1493</v>
      </c>
      <c r="E49" s="209" t="s">
        <v>1492</v>
      </c>
      <c r="F49" s="209" t="s">
        <v>1195</v>
      </c>
      <c r="G49" s="209" t="s">
        <v>1494</v>
      </c>
      <c r="H49" s="209" t="s">
        <v>1495</v>
      </c>
      <c r="I49" s="209" t="s">
        <v>5990</v>
      </c>
      <c r="J49" s="209" t="s">
        <v>1011</v>
      </c>
      <c r="K49" s="209" t="s">
        <v>1411</v>
      </c>
    </row>
    <row r="50" spans="1:11" x14ac:dyDescent="0.55000000000000004">
      <c r="A50" s="209" t="s">
        <v>1496</v>
      </c>
      <c r="B50" s="209" t="s">
        <v>1497</v>
      </c>
      <c r="C50" s="209" t="s">
        <v>1498</v>
      </c>
      <c r="D50" s="209" t="s">
        <v>1499</v>
      </c>
      <c r="E50" s="209" t="s">
        <v>1498</v>
      </c>
      <c r="F50" s="209" t="s">
        <v>1195</v>
      </c>
      <c r="G50" s="209" t="s">
        <v>1500</v>
      </c>
      <c r="H50" s="209" t="s">
        <v>1495</v>
      </c>
      <c r="I50" s="209" t="s">
        <v>5990</v>
      </c>
      <c r="J50" s="209" t="s">
        <v>1011</v>
      </c>
      <c r="K50" s="209" t="s">
        <v>1417</v>
      </c>
    </row>
    <row r="51" spans="1:11" x14ac:dyDescent="0.55000000000000004">
      <c r="A51" s="209" t="s">
        <v>1501</v>
      </c>
      <c r="B51" s="209" t="s">
        <v>1502</v>
      </c>
      <c r="C51" s="209" t="s">
        <v>1503</v>
      </c>
      <c r="D51" s="209" t="s">
        <v>1504</v>
      </c>
      <c r="E51" s="209" t="s">
        <v>1503</v>
      </c>
      <c r="F51" s="209" t="s">
        <v>1195</v>
      </c>
      <c r="G51" s="209" t="s">
        <v>1505</v>
      </c>
      <c r="H51" s="209" t="s">
        <v>1495</v>
      </c>
      <c r="I51" s="209" t="s">
        <v>5990</v>
      </c>
      <c r="J51" s="209" t="s">
        <v>1011</v>
      </c>
      <c r="K51" s="209" t="s">
        <v>1423</v>
      </c>
    </row>
    <row r="52" spans="1:11" x14ac:dyDescent="0.55000000000000004">
      <c r="A52" s="209" t="s">
        <v>1506</v>
      </c>
      <c r="B52" s="209" t="s">
        <v>1507</v>
      </c>
      <c r="C52" s="209" t="s">
        <v>1508</v>
      </c>
      <c r="D52" s="209" t="s">
        <v>1509</v>
      </c>
      <c r="E52" s="209" t="s">
        <v>1508</v>
      </c>
      <c r="F52" s="209" t="s">
        <v>1195</v>
      </c>
      <c r="G52" s="209" t="s">
        <v>1510</v>
      </c>
      <c r="H52" s="209" t="s">
        <v>1495</v>
      </c>
      <c r="I52" s="209" t="s">
        <v>5990</v>
      </c>
      <c r="J52" s="209" t="s">
        <v>1011</v>
      </c>
      <c r="K52" s="209" t="s">
        <v>1429</v>
      </c>
    </row>
    <row r="53" spans="1:11" x14ac:dyDescent="0.55000000000000004">
      <c r="A53" s="209" t="s">
        <v>1511</v>
      </c>
      <c r="B53" s="209" t="s">
        <v>1512</v>
      </c>
      <c r="C53" s="209" t="s">
        <v>1513</v>
      </c>
      <c r="D53" s="209" t="s">
        <v>1514</v>
      </c>
      <c r="E53" s="209" t="s">
        <v>1513</v>
      </c>
      <c r="F53" s="209" t="s">
        <v>1195</v>
      </c>
      <c r="G53" s="209" t="s">
        <v>1515</v>
      </c>
      <c r="H53" s="209" t="s">
        <v>1495</v>
      </c>
      <c r="I53" s="209" t="s">
        <v>5990</v>
      </c>
      <c r="J53" s="209" t="s">
        <v>1011</v>
      </c>
      <c r="K53" s="209" t="s">
        <v>1435</v>
      </c>
    </row>
    <row r="54" spans="1:11" x14ac:dyDescent="0.55000000000000004">
      <c r="A54" s="209" t="s">
        <v>1516</v>
      </c>
      <c r="B54" s="209" t="s">
        <v>1517</v>
      </c>
      <c r="C54" s="209" t="s">
        <v>1518</v>
      </c>
      <c r="D54" s="209" t="s">
        <v>1519</v>
      </c>
      <c r="E54" s="209" t="s">
        <v>1518</v>
      </c>
      <c r="F54" s="209" t="s">
        <v>1195</v>
      </c>
      <c r="G54" s="209" t="s">
        <v>1520</v>
      </c>
      <c r="H54" s="209" t="s">
        <v>1495</v>
      </c>
      <c r="I54" s="209" t="s">
        <v>5990</v>
      </c>
      <c r="J54" s="209" t="s">
        <v>1011</v>
      </c>
      <c r="K54" s="209" t="s">
        <v>1441</v>
      </c>
    </row>
    <row r="55" spans="1:11" x14ac:dyDescent="0.55000000000000004">
      <c r="A55" s="209" t="s">
        <v>1521</v>
      </c>
      <c r="B55" s="209" t="s">
        <v>1522</v>
      </c>
      <c r="C55" s="209" t="s">
        <v>1523</v>
      </c>
      <c r="D55" s="209" t="s">
        <v>1524</v>
      </c>
      <c r="E55" s="209" t="s">
        <v>1523</v>
      </c>
      <c r="F55" s="209" t="s">
        <v>1195</v>
      </c>
      <c r="G55" s="209" t="s">
        <v>1525</v>
      </c>
      <c r="H55" s="209" t="s">
        <v>1526</v>
      </c>
      <c r="I55" s="209" t="s">
        <v>5990</v>
      </c>
      <c r="J55" s="209" t="s">
        <v>1011</v>
      </c>
      <c r="K55" s="209" t="s">
        <v>1448</v>
      </c>
    </row>
    <row r="56" spans="1:11" x14ac:dyDescent="0.55000000000000004">
      <c r="A56" s="209" t="s">
        <v>1527</v>
      </c>
      <c r="B56" s="209" t="s">
        <v>1528</v>
      </c>
      <c r="C56" s="209" t="s">
        <v>1529</v>
      </c>
      <c r="D56" s="209" t="s">
        <v>1530</v>
      </c>
      <c r="E56" s="209" t="s">
        <v>1529</v>
      </c>
      <c r="F56" s="209" t="s">
        <v>1195</v>
      </c>
      <c r="G56" s="209" t="s">
        <v>1531</v>
      </c>
      <c r="H56" s="209" t="s">
        <v>1526</v>
      </c>
      <c r="I56" s="209" t="s">
        <v>5990</v>
      </c>
      <c r="J56" s="209" t="s">
        <v>1011</v>
      </c>
      <c r="K56" s="209" t="s">
        <v>1454</v>
      </c>
    </row>
    <row r="57" spans="1:11" x14ac:dyDescent="0.55000000000000004">
      <c r="A57" s="209" t="s">
        <v>1532</v>
      </c>
      <c r="B57" s="209" t="s">
        <v>1533</v>
      </c>
      <c r="C57" s="209" t="s">
        <v>1534</v>
      </c>
      <c r="D57" s="209" t="s">
        <v>1535</v>
      </c>
      <c r="E57" s="209" t="s">
        <v>1534</v>
      </c>
      <c r="F57" s="209" t="s">
        <v>1195</v>
      </c>
      <c r="G57" s="209" t="s">
        <v>1536</v>
      </c>
      <c r="H57" s="209" t="s">
        <v>1526</v>
      </c>
      <c r="I57" s="209" t="s">
        <v>5990</v>
      </c>
      <c r="J57" s="209" t="s">
        <v>1011</v>
      </c>
      <c r="K57" s="209" t="s">
        <v>1460</v>
      </c>
    </row>
    <row r="58" spans="1:11" x14ac:dyDescent="0.55000000000000004">
      <c r="A58" s="209" t="s">
        <v>1537</v>
      </c>
      <c r="B58" s="209" t="s">
        <v>1538</v>
      </c>
      <c r="C58" s="209" t="s">
        <v>1539</v>
      </c>
      <c r="D58" s="209" t="s">
        <v>1540</v>
      </c>
      <c r="E58" s="209" t="s">
        <v>1539</v>
      </c>
      <c r="F58" s="209" t="s">
        <v>1195</v>
      </c>
      <c r="G58" s="209" t="s">
        <v>1541</v>
      </c>
      <c r="H58" s="209" t="s">
        <v>1526</v>
      </c>
      <c r="I58" s="209" t="s">
        <v>5990</v>
      </c>
      <c r="J58" s="209" t="s">
        <v>1011</v>
      </c>
      <c r="K58" s="209" t="s">
        <v>1466</v>
      </c>
    </row>
    <row r="59" spans="1:11" x14ac:dyDescent="0.55000000000000004">
      <c r="A59" s="209" t="s">
        <v>1542</v>
      </c>
      <c r="B59" s="209" t="s">
        <v>1543</v>
      </c>
      <c r="C59" s="209" t="s">
        <v>1544</v>
      </c>
      <c r="D59" s="209" t="s">
        <v>1545</v>
      </c>
      <c r="E59" s="209" t="s">
        <v>1544</v>
      </c>
      <c r="F59" s="209" t="s">
        <v>1195</v>
      </c>
      <c r="G59" s="209" t="s">
        <v>1546</v>
      </c>
      <c r="H59" s="209" t="s">
        <v>1526</v>
      </c>
      <c r="I59" s="209" t="s">
        <v>5990</v>
      </c>
      <c r="J59" s="209" t="s">
        <v>1011</v>
      </c>
      <c r="K59" s="209" t="s">
        <v>1472</v>
      </c>
    </row>
    <row r="60" spans="1:11" x14ac:dyDescent="0.55000000000000004">
      <c r="A60" s="209" t="s">
        <v>1547</v>
      </c>
      <c r="B60" s="209" t="s">
        <v>1548</v>
      </c>
      <c r="C60" s="209" t="s">
        <v>1549</v>
      </c>
      <c r="D60" s="209" t="s">
        <v>1550</v>
      </c>
      <c r="E60" s="209" t="s">
        <v>1549</v>
      </c>
      <c r="F60" s="209" t="s">
        <v>1195</v>
      </c>
      <c r="G60" s="209" t="s">
        <v>1551</v>
      </c>
      <c r="H60" s="209" t="s">
        <v>1526</v>
      </c>
      <c r="I60" s="209" t="s">
        <v>5990</v>
      </c>
      <c r="J60" s="209" t="s">
        <v>1011</v>
      </c>
      <c r="K60" s="209" t="s">
        <v>1478</v>
      </c>
    </row>
    <row r="61" spans="1:11" x14ac:dyDescent="0.55000000000000004">
      <c r="A61" s="209" t="s">
        <v>1552</v>
      </c>
      <c r="B61" s="209" t="s">
        <v>1553</v>
      </c>
      <c r="C61" s="209" t="s">
        <v>1554</v>
      </c>
      <c r="D61" s="209" t="s">
        <v>1031</v>
      </c>
      <c r="E61" s="209" t="s">
        <v>1554</v>
      </c>
      <c r="F61" s="209" t="s">
        <v>1195</v>
      </c>
      <c r="G61" s="209" t="s">
        <v>1555</v>
      </c>
      <c r="H61" s="209" t="s">
        <v>1556</v>
      </c>
      <c r="I61" s="209" t="s">
        <v>133</v>
      </c>
      <c r="J61" s="209" t="s">
        <v>133</v>
      </c>
      <c r="K61" s="209" t="s">
        <v>133</v>
      </c>
    </row>
    <row r="62" spans="1:11" x14ac:dyDescent="0.55000000000000004">
      <c r="A62" s="209" t="s">
        <v>1557</v>
      </c>
      <c r="B62" s="209" t="s">
        <v>1558</v>
      </c>
      <c r="C62" s="209" t="s">
        <v>1559</v>
      </c>
      <c r="D62" s="209" t="s">
        <v>1036</v>
      </c>
      <c r="E62" s="209" t="s">
        <v>1559</v>
      </c>
      <c r="F62" s="209" t="s">
        <v>1195</v>
      </c>
      <c r="G62" s="209" t="s">
        <v>1560</v>
      </c>
      <c r="H62" s="209" t="s">
        <v>1556</v>
      </c>
      <c r="I62" s="209" t="s">
        <v>133</v>
      </c>
      <c r="J62" s="209" t="s">
        <v>133</v>
      </c>
      <c r="K62" s="209" t="s">
        <v>133</v>
      </c>
    </row>
    <row r="63" spans="1:11" x14ac:dyDescent="0.55000000000000004">
      <c r="A63" s="209" t="s">
        <v>1561</v>
      </c>
      <c r="B63" s="209" t="s">
        <v>1562</v>
      </c>
      <c r="C63" s="209" t="s">
        <v>1563</v>
      </c>
      <c r="D63" s="209" t="s">
        <v>1564</v>
      </c>
      <c r="E63" s="209" t="s">
        <v>1563</v>
      </c>
      <c r="F63" s="209" t="s">
        <v>1195</v>
      </c>
      <c r="G63" s="209" t="s">
        <v>1565</v>
      </c>
      <c r="H63" s="209" t="s">
        <v>1556</v>
      </c>
      <c r="I63" s="209" t="s">
        <v>133</v>
      </c>
      <c r="J63" s="209" t="s">
        <v>133</v>
      </c>
      <c r="K63" s="209" t="s">
        <v>133</v>
      </c>
    </row>
    <row r="64" spans="1:11" x14ac:dyDescent="0.55000000000000004">
      <c r="A64" s="209" t="s">
        <v>1566</v>
      </c>
      <c r="B64" s="209" t="s">
        <v>1567</v>
      </c>
      <c r="C64" s="209" t="s">
        <v>1568</v>
      </c>
      <c r="D64" s="209" t="s">
        <v>1569</v>
      </c>
      <c r="E64" s="209" t="s">
        <v>1568</v>
      </c>
      <c r="F64" s="209" t="s">
        <v>1195</v>
      </c>
      <c r="G64" s="209" t="s">
        <v>1570</v>
      </c>
      <c r="H64" s="209" t="s">
        <v>1556</v>
      </c>
      <c r="I64" s="209" t="s">
        <v>133</v>
      </c>
      <c r="J64" s="209" t="s">
        <v>133</v>
      </c>
      <c r="K64" s="209" t="s">
        <v>133</v>
      </c>
    </row>
    <row r="65" spans="1:11" x14ac:dyDescent="0.55000000000000004">
      <c r="A65" s="209" t="s">
        <v>1571</v>
      </c>
      <c r="B65" s="209" t="s">
        <v>1572</v>
      </c>
      <c r="C65" s="209" t="s">
        <v>1573</v>
      </c>
      <c r="D65" s="209" t="s">
        <v>1574</v>
      </c>
      <c r="E65" s="209" t="s">
        <v>1573</v>
      </c>
      <c r="F65" s="209" t="s">
        <v>1195</v>
      </c>
      <c r="G65" s="209" t="s">
        <v>1575</v>
      </c>
      <c r="H65" s="209" t="s">
        <v>1576</v>
      </c>
      <c r="I65" s="209" t="s">
        <v>133</v>
      </c>
      <c r="J65" s="209" t="s">
        <v>133</v>
      </c>
      <c r="K65" s="209" t="s">
        <v>133</v>
      </c>
    </row>
    <row r="66" spans="1:11" x14ac:dyDescent="0.55000000000000004">
      <c r="A66" s="209" t="s">
        <v>1577</v>
      </c>
      <c r="B66" s="209" t="s">
        <v>1578</v>
      </c>
      <c r="C66" s="209" t="s">
        <v>1579</v>
      </c>
      <c r="D66" s="209" t="s">
        <v>1580</v>
      </c>
      <c r="E66" s="209" t="s">
        <v>1579</v>
      </c>
      <c r="F66" s="209" t="s">
        <v>1195</v>
      </c>
      <c r="G66" s="209" t="s">
        <v>1581</v>
      </c>
      <c r="H66" s="209" t="s">
        <v>1576</v>
      </c>
      <c r="I66" s="209" t="s">
        <v>133</v>
      </c>
      <c r="J66" s="209" t="s">
        <v>133</v>
      </c>
      <c r="K66" s="209" t="s">
        <v>133</v>
      </c>
    </row>
    <row r="67" spans="1:11" x14ac:dyDescent="0.55000000000000004">
      <c r="A67" s="209" t="s">
        <v>1582</v>
      </c>
      <c r="B67" s="209" t="s">
        <v>1583</v>
      </c>
      <c r="C67" s="209" t="s">
        <v>1584</v>
      </c>
      <c r="D67" s="209" t="s">
        <v>1585</v>
      </c>
      <c r="E67" s="209" t="s">
        <v>1584</v>
      </c>
      <c r="F67" s="209" t="s">
        <v>1195</v>
      </c>
      <c r="G67" s="209" t="s">
        <v>1586</v>
      </c>
      <c r="H67" s="209" t="s">
        <v>1576</v>
      </c>
      <c r="I67" s="209" t="s">
        <v>133</v>
      </c>
      <c r="J67" s="209" t="s">
        <v>133</v>
      </c>
      <c r="K67" s="209" t="s">
        <v>133</v>
      </c>
    </row>
    <row r="68" spans="1:11" x14ac:dyDescent="0.55000000000000004">
      <c r="A68" s="209" t="s">
        <v>1587</v>
      </c>
      <c r="B68" s="209" t="s">
        <v>1588</v>
      </c>
      <c r="C68" s="209" t="s">
        <v>1589</v>
      </c>
      <c r="D68" s="209" t="s">
        <v>1590</v>
      </c>
      <c r="E68" s="209" t="s">
        <v>1589</v>
      </c>
      <c r="F68" s="209" t="s">
        <v>1195</v>
      </c>
      <c r="G68" s="209" t="s">
        <v>1591</v>
      </c>
      <c r="H68" s="209" t="s">
        <v>1576</v>
      </c>
      <c r="I68" s="209" t="s">
        <v>133</v>
      </c>
      <c r="J68" s="209" t="s">
        <v>133</v>
      </c>
      <c r="K68" s="209" t="s">
        <v>133</v>
      </c>
    </row>
    <row r="69" spans="1:11" x14ac:dyDescent="0.55000000000000004">
      <c r="A69" s="209" t="s">
        <v>1592</v>
      </c>
      <c r="B69" s="209" t="s">
        <v>1593</v>
      </c>
      <c r="C69" s="209" t="s">
        <v>1594</v>
      </c>
      <c r="D69" s="209" t="s">
        <v>1595</v>
      </c>
      <c r="E69" s="209" t="s">
        <v>1594</v>
      </c>
      <c r="F69" s="209" t="s">
        <v>1195</v>
      </c>
      <c r="G69" s="209" t="s">
        <v>1596</v>
      </c>
      <c r="H69" s="209" t="s">
        <v>1576</v>
      </c>
      <c r="I69" s="209" t="s">
        <v>133</v>
      </c>
      <c r="J69" s="209" t="s">
        <v>133</v>
      </c>
      <c r="K69" s="209" t="s">
        <v>133</v>
      </c>
    </row>
    <row r="70" spans="1:11" x14ac:dyDescent="0.55000000000000004">
      <c r="A70" s="209" t="s">
        <v>1597</v>
      </c>
      <c r="B70" s="209" t="s">
        <v>1598</v>
      </c>
      <c r="C70" s="209" t="s">
        <v>1599</v>
      </c>
      <c r="D70" s="209" t="s">
        <v>1600</v>
      </c>
      <c r="E70" s="209" t="s">
        <v>1599</v>
      </c>
      <c r="F70" s="209" t="s">
        <v>1195</v>
      </c>
      <c r="G70" s="209" t="s">
        <v>1601</v>
      </c>
      <c r="H70" s="209" t="s">
        <v>1576</v>
      </c>
      <c r="I70" s="209" t="s">
        <v>133</v>
      </c>
      <c r="J70" s="209" t="s">
        <v>133</v>
      </c>
      <c r="K70" s="209" t="s">
        <v>133</v>
      </c>
    </row>
    <row r="71" spans="1:11" x14ac:dyDescent="0.55000000000000004">
      <c r="A71" s="209" t="s">
        <v>1602</v>
      </c>
      <c r="B71" s="209" t="s">
        <v>1603</v>
      </c>
      <c r="C71" s="209" t="s">
        <v>1604</v>
      </c>
      <c r="D71" s="209" t="s">
        <v>1605</v>
      </c>
      <c r="E71" s="209" t="s">
        <v>1604</v>
      </c>
      <c r="F71" s="209" t="s">
        <v>1195</v>
      </c>
      <c r="G71" s="209" t="s">
        <v>1606</v>
      </c>
      <c r="H71" s="209" t="s">
        <v>1576</v>
      </c>
      <c r="I71" s="209" t="s">
        <v>133</v>
      </c>
      <c r="J71" s="209" t="s">
        <v>133</v>
      </c>
      <c r="K71" s="209" t="s">
        <v>133</v>
      </c>
    </row>
    <row r="72" spans="1:11" x14ac:dyDescent="0.55000000000000004">
      <c r="A72" s="209" t="s">
        <v>1607</v>
      </c>
      <c r="B72" s="209" t="s">
        <v>1608</v>
      </c>
      <c r="C72" s="209" t="s">
        <v>1609</v>
      </c>
      <c r="D72" s="209" t="s">
        <v>1610</v>
      </c>
      <c r="E72" s="209" t="s">
        <v>1609</v>
      </c>
      <c r="F72" s="209" t="s">
        <v>1195</v>
      </c>
      <c r="G72" s="209" t="s">
        <v>1611</v>
      </c>
      <c r="H72" s="209" t="s">
        <v>1576</v>
      </c>
      <c r="I72" s="209" t="s">
        <v>133</v>
      </c>
      <c r="J72" s="209" t="s">
        <v>133</v>
      </c>
      <c r="K72" s="209" t="s">
        <v>133</v>
      </c>
    </row>
    <row r="73" spans="1:11" x14ac:dyDescent="0.55000000000000004">
      <c r="A73" s="209" t="s">
        <v>1612</v>
      </c>
      <c r="B73" s="209" t="s">
        <v>1613</v>
      </c>
      <c r="C73" s="209" t="s">
        <v>1614</v>
      </c>
      <c r="D73" s="209" t="s">
        <v>1615</v>
      </c>
      <c r="E73" s="209" t="s">
        <v>1614</v>
      </c>
      <c r="F73" s="209" t="s">
        <v>1195</v>
      </c>
      <c r="G73" s="209" t="s">
        <v>1616</v>
      </c>
      <c r="H73" s="209" t="s">
        <v>1617</v>
      </c>
      <c r="I73" s="209" t="s">
        <v>133</v>
      </c>
      <c r="J73" s="209" t="s">
        <v>133</v>
      </c>
      <c r="K73" s="209" t="s">
        <v>133</v>
      </c>
    </row>
    <row r="74" spans="1:11" x14ac:dyDescent="0.55000000000000004">
      <c r="A74" s="209" t="s">
        <v>1618</v>
      </c>
      <c r="B74" s="209" t="s">
        <v>1619</v>
      </c>
      <c r="C74" s="209" t="s">
        <v>1620</v>
      </c>
      <c r="D74" s="209" t="s">
        <v>1621</v>
      </c>
      <c r="E74" s="209" t="s">
        <v>1620</v>
      </c>
      <c r="F74" s="209" t="s">
        <v>1195</v>
      </c>
      <c r="G74" s="209" t="s">
        <v>1622</v>
      </c>
      <c r="H74" s="209" t="s">
        <v>1617</v>
      </c>
      <c r="I74" s="209" t="s">
        <v>133</v>
      </c>
      <c r="J74" s="209" t="s">
        <v>133</v>
      </c>
      <c r="K74" s="209" t="s">
        <v>133</v>
      </c>
    </row>
    <row r="75" spans="1:11" x14ac:dyDescent="0.55000000000000004">
      <c r="A75" s="209" t="s">
        <v>1623</v>
      </c>
      <c r="B75" s="209" t="s">
        <v>1624</v>
      </c>
      <c r="C75" s="209" t="s">
        <v>1625</v>
      </c>
      <c r="D75" s="209" t="s">
        <v>1626</v>
      </c>
      <c r="E75" s="209" t="s">
        <v>1625</v>
      </c>
      <c r="F75" s="209" t="s">
        <v>1195</v>
      </c>
      <c r="G75" s="209" t="s">
        <v>1627</v>
      </c>
      <c r="H75" s="209" t="s">
        <v>1617</v>
      </c>
      <c r="I75" s="209" t="s">
        <v>133</v>
      </c>
      <c r="J75" s="209" t="s">
        <v>133</v>
      </c>
      <c r="K75" s="209" t="s">
        <v>133</v>
      </c>
    </row>
    <row r="76" spans="1:11" x14ac:dyDescent="0.55000000000000004">
      <c r="A76" s="209" t="s">
        <v>1628</v>
      </c>
      <c r="B76" s="209" t="s">
        <v>1629</v>
      </c>
      <c r="C76" s="209" t="s">
        <v>1630</v>
      </c>
      <c r="D76" s="209" t="s">
        <v>1631</v>
      </c>
      <c r="E76" s="209" t="s">
        <v>1630</v>
      </c>
      <c r="F76" s="209" t="s">
        <v>1195</v>
      </c>
      <c r="G76" s="209" t="s">
        <v>1632</v>
      </c>
      <c r="H76" s="209" t="s">
        <v>1617</v>
      </c>
      <c r="I76" s="209" t="s">
        <v>133</v>
      </c>
      <c r="J76" s="209" t="s">
        <v>133</v>
      </c>
      <c r="K76" s="209" t="s">
        <v>133</v>
      </c>
    </row>
    <row r="77" spans="1:11" x14ac:dyDescent="0.55000000000000004">
      <c r="A77" s="209" t="s">
        <v>1633</v>
      </c>
      <c r="B77" s="209" t="s">
        <v>1634</v>
      </c>
      <c r="C77" s="209" t="s">
        <v>1635</v>
      </c>
      <c r="D77" s="209" t="s">
        <v>1636</v>
      </c>
      <c r="E77" s="209" t="s">
        <v>1635</v>
      </c>
      <c r="F77" s="209" t="s">
        <v>1195</v>
      </c>
      <c r="G77" s="209" t="s">
        <v>1637</v>
      </c>
      <c r="H77" s="209" t="s">
        <v>1617</v>
      </c>
      <c r="I77" s="209" t="s">
        <v>133</v>
      </c>
      <c r="J77" s="209" t="s">
        <v>133</v>
      </c>
      <c r="K77" s="209" t="s">
        <v>133</v>
      </c>
    </row>
    <row r="78" spans="1:11" x14ac:dyDescent="0.55000000000000004">
      <c r="A78" s="209" t="s">
        <v>1638</v>
      </c>
      <c r="B78" s="209" t="s">
        <v>1639</v>
      </c>
      <c r="C78" s="209" t="s">
        <v>1640</v>
      </c>
      <c r="D78" s="209" t="s">
        <v>1641</v>
      </c>
      <c r="E78" s="209" t="s">
        <v>1640</v>
      </c>
      <c r="F78" s="209" t="s">
        <v>1195</v>
      </c>
      <c r="G78" s="209" t="s">
        <v>1642</v>
      </c>
      <c r="H78" s="209" t="s">
        <v>1617</v>
      </c>
      <c r="I78" s="209" t="s">
        <v>133</v>
      </c>
      <c r="J78" s="209" t="s">
        <v>133</v>
      </c>
      <c r="K78" s="209" t="s">
        <v>133</v>
      </c>
    </row>
    <row r="79" spans="1:11" x14ac:dyDescent="0.55000000000000004">
      <c r="A79" s="209" t="s">
        <v>1643</v>
      </c>
      <c r="B79" s="209" t="s">
        <v>1644</v>
      </c>
      <c r="C79" s="209" t="s">
        <v>1645</v>
      </c>
      <c r="D79" s="209" t="s">
        <v>1646</v>
      </c>
      <c r="E79" s="209" t="s">
        <v>1645</v>
      </c>
      <c r="F79" s="209" t="s">
        <v>1195</v>
      </c>
      <c r="G79" s="209" t="s">
        <v>1647</v>
      </c>
      <c r="H79" s="209" t="s">
        <v>1648</v>
      </c>
      <c r="I79" s="209" t="s">
        <v>133</v>
      </c>
      <c r="J79" s="209" t="s">
        <v>133</v>
      </c>
      <c r="K79" s="209" t="s">
        <v>133</v>
      </c>
    </row>
    <row r="80" spans="1:11" x14ac:dyDescent="0.55000000000000004">
      <c r="A80" s="209" t="s">
        <v>1649</v>
      </c>
      <c r="B80" s="209" t="s">
        <v>1650</v>
      </c>
      <c r="C80" s="209" t="s">
        <v>1651</v>
      </c>
      <c r="D80" s="209" t="s">
        <v>1652</v>
      </c>
      <c r="E80" s="209" t="s">
        <v>1651</v>
      </c>
      <c r="F80" s="209" t="s">
        <v>1195</v>
      </c>
      <c r="G80" s="209" t="s">
        <v>1653</v>
      </c>
      <c r="H80" s="209" t="s">
        <v>1648</v>
      </c>
      <c r="I80" s="209" t="s">
        <v>133</v>
      </c>
      <c r="J80" s="209" t="s">
        <v>133</v>
      </c>
      <c r="K80" s="209" t="s">
        <v>133</v>
      </c>
    </row>
    <row r="81" spans="1:11" x14ac:dyDescent="0.55000000000000004">
      <c r="A81" s="209" t="s">
        <v>1654</v>
      </c>
      <c r="B81" s="209" t="s">
        <v>1655</v>
      </c>
      <c r="C81" s="209" t="s">
        <v>1656</v>
      </c>
      <c r="D81" s="209" t="s">
        <v>1657</v>
      </c>
      <c r="E81" s="209" t="s">
        <v>1656</v>
      </c>
      <c r="F81" s="209" t="s">
        <v>1195</v>
      </c>
      <c r="G81" s="209" t="s">
        <v>1658</v>
      </c>
      <c r="H81" s="209" t="s">
        <v>1648</v>
      </c>
      <c r="I81" s="209" t="s">
        <v>133</v>
      </c>
      <c r="J81" s="209" t="s">
        <v>133</v>
      </c>
      <c r="K81" s="209" t="s">
        <v>133</v>
      </c>
    </row>
    <row r="82" spans="1:11" x14ac:dyDescent="0.55000000000000004">
      <c r="A82" s="209" t="s">
        <v>1659</v>
      </c>
      <c r="B82" s="209" t="s">
        <v>1660</v>
      </c>
      <c r="C82" s="209" t="s">
        <v>1661</v>
      </c>
      <c r="D82" s="209" t="s">
        <v>1662</v>
      </c>
      <c r="E82" s="209" t="s">
        <v>1661</v>
      </c>
      <c r="F82" s="209" t="s">
        <v>1195</v>
      </c>
      <c r="G82" s="209" t="s">
        <v>1663</v>
      </c>
      <c r="H82" s="209" t="s">
        <v>1648</v>
      </c>
      <c r="I82" s="209" t="s">
        <v>133</v>
      </c>
      <c r="J82" s="209" t="s">
        <v>133</v>
      </c>
      <c r="K82" s="209" t="s">
        <v>133</v>
      </c>
    </row>
    <row r="83" spans="1:11" x14ac:dyDescent="0.55000000000000004">
      <c r="A83" s="209" t="s">
        <v>6133</v>
      </c>
      <c r="B83" s="209" t="s">
        <v>6134</v>
      </c>
      <c r="C83" s="209" t="s">
        <v>6135</v>
      </c>
      <c r="D83" s="209" t="s">
        <v>6136</v>
      </c>
      <c r="E83" s="209" t="s">
        <v>6135</v>
      </c>
      <c r="F83" s="209" t="s">
        <v>1195</v>
      </c>
      <c r="G83" s="209" t="s">
        <v>6137</v>
      </c>
      <c r="H83" s="209" t="s">
        <v>6138</v>
      </c>
      <c r="I83" s="209" t="s">
        <v>6102</v>
      </c>
      <c r="J83" s="209" t="s">
        <v>6103</v>
      </c>
      <c r="K83" s="209" t="s">
        <v>1472</v>
      </c>
    </row>
    <row r="84" spans="1:11" x14ac:dyDescent="0.55000000000000004">
      <c r="A84" s="209" t="s">
        <v>6139</v>
      </c>
      <c r="B84" s="209" t="s">
        <v>6140</v>
      </c>
      <c r="C84" s="209" t="s">
        <v>6141</v>
      </c>
      <c r="D84" s="209" t="s">
        <v>6142</v>
      </c>
      <c r="E84" s="209" t="s">
        <v>6141</v>
      </c>
      <c r="F84" s="209" t="s">
        <v>1195</v>
      </c>
      <c r="G84" s="209" t="s">
        <v>6143</v>
      </c>
      <c r="H84" s="209" t="s">
        <v>6138</v>
      </c>
      <c r="I84" s="209" t="s">
        <v>6102</v>
      </c>
      <c r="J84" s="209" t="s">
        <v>6103</v>
      </c>
      <c r="K84" s="209" t="s">
        <v>1478</v>
      </c>
    </row>
    <row r="85" spans="1:11" x14ac:dyDescent="0.55000000000000004">
      <c r="A85" s="209" t="s">
        <v>6144</v>
      </c>
      <c r="B85" s="209" t="s">
        <v>6145</v>
      </c>
      <c r="C85" s="209" t="s">
        <v>6146</v>
      </c>
      <c r="D85" s="209" t="s">
        <v>6147</v>
      </c>
      <c r="E85" s="209" t="s">
        <v>6146</v>
      </c>
      <c r="F85" s="209" t="s">
        <v>1195</v>
      </c>
      <c r="G85" s="209" t="s">
        <v>6148</v>
      </c>
      <c r="H85" s="209" t="s">
        <v>6138</v>
      </c>
      <c r="I85" s="209" t="s">
        <v>6102</v>
      </c>
      <c r="J85" s="209" t="s">
        <v>6103</v>
      </c>
      <c r="K85" s="209" t="s">
        <v>5906</v>
      </c>
    </row>
    <row r="86" spans="1:11" x14ac:dyDescent="0.55000000000000004">
      <c r="A86" s="209" t="s">
        <v>6149</v>
      </c>
      <c r="B86" s="209" t="s">
        <v>6150</v>
      </c>
      <c r="C86" s="209" t="s">
        <v>6151</v>
      </c>
      <c r="D86" s="209" t="s">
        <v>6152</v>
      </c>
      <c r="E86" s="209" t="s">
        <v>6151</v>
      </c>
      <c r="F86" s="209" t="s">
        <v>1195</v>
      </c>
      <c r="G86" s="209" t="s">
        <v>6153</v>
      </c>
      <c r="H86" s="209" t="s">
        <v>6138</v>
      </c>
      <c r="I86" s="209" t="s">
        <v>6102</v>
      </c>
      <c r="J86" s="209" t="s">
        <v>6103</v>
      </c>
      <c r="K86" s="209" t="s">
        <v>6030</v>
      </c>
    </row>
    <row r="87" spans="1:11" x14ac:dyDescent="0.55000000000000004">
      <c r="A87" s="209" t="s">
        <v>6154</v>
      </c>
      <c r="B87" s="209" t="s">
        <v>6155</v>
      </c>
      <c r="C87" s="209" t="s">
        <v>6156</v>
      </c>
      <c r="D87" s="209" t="s">
        <v>6157</v>
      </c>
      <c r="E87" s="209" t="s">
        <v>6156</v>
      </c>
      <c r="F87" s="209" t="s">
        <v>1195</v>
      </c>
      <c r="G87" s="209" t="s">
        <v>6158</v>
      </c>
      <c r="H87" s="209" t="s">
        <v>6138</v>
      </c>
      <c r="I87" s="209" t="s">
        <v>6102</v>
      </c>
      <c r="J87" s="209" t="s">
        <v>6103</v>
      </c>
      <c r="K87" s="209" t="s">
        <v>997</v>
      </c>
    </row>
    <row r="88" spans="1:11" x14ac:dyDescent="0.55000000000000004">
      <c r="A88" s="209" t="s">
        <v>6159</v>
      </c>
      <c r="B88" s="209" t="s">
        <v>6160</v>
      </c>
      <c r="C88" s="209" t="s">
        <v>6161</v>
      </c>
      <c r="D88" s="209" t="s">
        <v>6162</v>
      </c>
      <c r="E88" s="209" t="s">
        <v>6161</v>
      </c>
      <c r="F88" s="209" t="s">
        <v>1195</v>
      </c>
      <c r="G88" s="209" t="s">
        <v>6163</v>
      </c>
      <c r="H88" s="209" t="s">
        <v>6138</v>
      </c>
      <c r="I88" s="209" t="s">
        <v>6102</v>
      </c>
      <c r="J88" s="209" t="s">
        <v>6103</v>
      </c>
      <c r="K88" s="209" t="s">
        <v>1004</v>
      </c>
    </row>
    <row r="89" spans="1:11" x14ac:dyDescent="0.55000000000000004">
      <c r="A89" s="209" t="s">
        <v>6164</v>
      </c>
      <c r="B89" s="209" t="s">
        <v>6165</v>
      </c>
      <c r="C89" s="209" t="s">
        <v>6166</v>
      </c>
      <c r="D89" s="209" t="s">
        <v>6167</v>
      </c>
      <c r="E89" s="209" t="s">
        <v>6166</v>
      </c>
      <c r="F89" s="209" t="s">
        <v>1195</v>
      </c>
      <c r="G89" s="209" t="s">
        <v>6168</v>
      </c>
      <c r="H89" s="209" t="s">
        <v>6169</v>
      </c>
      <c r="I89" s="209" t="s">
        <v>6102</v>
      </c>
      <c r="J89" s="209" t="s">
        <v>6103</v>
      </c>
      <c r="K89" s="209" t="s">
        <v>1756</v>
      </c>
    </row>
    <row r="90" spans="1:11" x14ac:dyDescent="0.55000000000000004">
      <c r="A90" s="209" t="s">
        <v>6170</v>
      </c>
      <c r="B90" s="209" t="s">
        <v>6171</v>
      </c>
      <c r="C90" s="209" t="s">
        <v>6172</v>
      </c>
      <c r="D90" s="209" t="s">
        <v>6173</v>
      </c>
      <c r="E90" s="209" t="s">
        <v>6172</v>
      </c>
      <c r="F90" s="209" t="s">
        <v>1195</v>
      </c>
      <c r="G90" s="209" t="s">
        <v>6174</v>
      </c>
      <c r="H90" s="209" t="s">
        <v>6169</v>
      </c>
      <c r="I90" s="209" t="s">
        <v>6102</v>
      </c>
      <c r="J90" s="209" t="s">
        <v>6103</v>
      </c>
      <c r="K90" s="209" t="s">
        <v>1762</v>
      </c>
    </row>
    <row r="91" spans="1:11" x14ac:dyDescent="0.55000000000000004">
      <c r="A91" s="209" t="s">
        <v>6175</v>
      </c>
      <c r="B91" s="209" t="s">
        <v>6176</v>
      </c>
      <c r="C91" s="209" t="s">
        <v>6177</v>
      </c>
      <c r="D91" s="209" t="s">
        <v>6178</v>
      </c>
      <c r="E91" s="209" t="s">
        <v>6177</v>
      </c>
      <c r="F91" s="209" t="s">
        <v>1195</v>
      </c>
      <c r="G91" s="209" t="s">
        <v>6179</v>
      </c>
      <c r="H91" s="209" t="s">
        <v>6169</v>
      </c>
      <c r="I91" s="209" t="s">
        <v>6102</v>
      </c>
      <c r="J91" s="209" t="s">
        <v>6103</v>
      </c>
      <c r="K91" s="209" t="s">
        <v>1257</v>
      </c>
    </row>
    <row r="92" spans="1:11" x14ac:dyDescent="0.55000000000000004">
      <c r="A92" s="209" t="s">
        <v>6180</v>
      </c>
      <c r="B92" s="209" t="s">
        <v>6181</v>
      </c>
      <c r="C92" s="209" t="s">
        <v>6182</v>
      </c>
      <c r="D92" s="209" t="s">
        <v>6183</v>
      </c>
      <c r="E92" s="209" t="s">
        <v>6182</v>
      </c>
      <c r="F92" s="209" t="s">
        <v>1195</v>
      </c>
      <c r="G92" s="209" t="s">
        <v>6184</v>
      </c>
      <c r="H92" s="209" t="s">
        <v>6169</v>
      </c>
      <c r="I92" s="209" t="s">
        <v>6102</v>
      </c>
      <c r="J92" s="209" t="s">
        <v>6103</v>
      </c>
      <c r="K92" s="209" t="s">
        <v>1263</v>
      </c>
    </row>
    <row r="93" spans="1:11" x14ac:dyDescent="0.55000000000000004">
      <c r="A93" s="209" t="s">
        <v>6185</v>
      </c>
      <c r="B93" s="209" t="s">
        <v>6186</v>
      </c>
      <c r="C93" s="209" t="s">
        <v>6187</v>
      </c>
      <c r="D93" s="209" t="s">
        <v>6188</v>
      </c>
      <c r="E93" s="209" t="s">
        <v>6187</v>
      </c>
      <c r="F93" s="209" t="s">
        <v>1195</v>
      </c>
      <c r="G93" s="209" t="s">
        <v>6189</v>
      </c>
      <c r="H93" s="209" t="s">
        <v>6169</v>
      </c>
      <c r="I93" s="209" t="s">
        <v>6102</v>
      </c>
      <c r="J93" s="209" t="s">
        <v>6103</v>
      </c>
      <c r="K93" s="209" t="s">
        <v>2126</v>
      </c>
    </row>
    <row r="94" spans="1:11" x14ac:dyDescent="0.55000000000000004">
      <c r="A94" s="209" t="s">
        <v>6190</v>
      </c>
      <c r="B94" s="209" t="s">
        <v>6191</v>
      </c>
      <c r="C94" s="209" t="s">
        <v>6192</v>
      </c>
      <c r="D94" s="209" t="s">
        <v>6193</v>
      </c>
      <c r="E94" s="209" t="s">
        <v>6192</v>
      </c>
      <c r="F94" s="209" t="s">
        <v>1195</v>
      </c>
      <c r="G94" s="209" t="s">
        <v>6194</v>
      </c>
      <c r="H94" s="209" t="s">
        <v>6169</v>
      </c>
      <c r="I94" s="209" t="s">
        <v>6102</v>
      </c>
      <c r="J94" s="209" t="s">
        <v>6103</v>
      </c>
      <c r="K94" s="209" t="s">
        <v>2129</v>
      </c>
    </row>
    <row r="95" spans="1:11" x14ac:dyDescent="0.55000000000000004">
      <c r="A95" s="209" t="s">
        <v>6195</v>
      </c>
      <c r="B95" s="209" t="s">
        <v>6196</v>
      </c>
      <c r="C95" s="209" t="s">
        <v>6197</v>
      </c>
      <c r="D95" s="209" t="s">
        <v>6198</v>
      </c>
      <c r="E95" s="209" t="s">
        <v>6197</v>
      </c>
      <c r="F95" s="209" t="s">
        <v>1195</v>
      </c>
      <c r="G95" s="209" t="s">
        <v>6199</v>
      </c>
      <c r="H95" s="209" t="s">
        <v>6200</v>
      </c>
      <c r="I95" s="209" t="s">
        <v>6102</v>
      </c>
      <c r="J95" s="209" t="s">
        <v>6103</v>
      </c>
      <c r="K95" s="209" t="s">
        <v>1288</v>
      </c>
    </row>
    <row r="96" spans="1:11" x14ac:dyDescent="0.55000000000000004">
      <c r="A96" s="209" t="s">
        <v>6201</v>
      </c>
      <c r="B96" s="209" t="s">
        <v>6202</v>
      </c>
      <c r="C96" s="209" t="s">
        <v>6203</v>
      </c>
      <c r="D96" s="209" t="s">
        <v>6204</v>
      </c>
      <c r="E96" s="209" t="s">
        <v>6203</v>
      </c>
      <c r="F96" s="209" t="s">
        <v>1195</v>
      </c>
      <c r="G96" s="209" t="s">
        <v>6205</v>
      </c>
      <c r="H96" s="209" t="s">
        <v>6200</v>
      </c>
      <c r="I96" s="209" t="s">
        <v>6102</v>
      </c>
      <c r="J96" s="209" t="s">
        <v>6103</v>
      </c>
      <c r="K96" s="209" t="s">
        <v>1727</v>
      </c>
    </row>
    <row r="97" spans="1:11" x14ac:dyDescent="0.55000000000000004">
      <c r="A97" s="209" t="s">
        <v>1706</v>
      </c>
      <c r="B97" s="209" t="s">
        <v>1707</v>
      </c>
      <c r="C97" s="209" t="s">
        <v>1708</v>
      </c>
      <c r="D97" s="209" t="s">
        <v>1709</v>
      </c>
      <c r="E97" s="209" t="s">
        <v>1708</v>
      </c>
      <c r="F97" s="209" t="s">
        <v>1195</v>
      </c>
      <c r="G97" s="209" t="s">
        <v>1710</v>
      </c>
      <c r="H97" s="209" t="s">
        <v>1711</v>
      </c>
      <c r="I97" s="209" t="s">
        <v>1131</v>
      </c>
      <c r="J97" s="209" t="s">
        <v>1132</v>
      </c>
      <c r="K97" s="209" t="s">
        <v>1147</v>
      </c>
    </row>
    <row r="98" spans="1:11" x14ac:dyDescent="0.55000000000000004">
      <c r="A98" s="209" t="s">
        <v>1712</v>
      </c>
      <c r="B98" s="209" t="s">
        <v>1713</v>
      </c>
      <c r="C98" s="209" t="s">
        <v>1714</v>
      </c>
      <c r="D98" s="209" t="s">
        <v>1715</v>
      </c>
      <c r="E98" s="209" t="s">
        <v>1714</v>
      </c>
      <c r="F98" s="209" t="s">
        <v>1195</v>
      </c>
      <c r="G98" s="209" t="s">
        <v>1716</v>
      </c>
      <c r="H98" s="209" t="s">
        <v>1711</v>
      </c>
      <c r="I98" s="209" t="s">
        <v>1131</v>
      </c>
      <c r="J98" s="209" t="s">
        <v>1132</v>
      </c>
      <c r="K98" s="209" t="s">
        <v>1154</v>
      </c>
    </row>
    <row r="99" spans="1:11" x14ac:dyDescent="0.55000000000000004">
      <c r="A99" s="209" t="s">
        <v>1717</v>
      </c>
      <c r="B99" s="209" t="s">
        <v>1718</v>
      </c>
      <c r="C99" s="209" t="s">
        <v>1719</v>
      </c>
      <c r="D99" s="209" t="s">
        <v>1720</v>
      </c>
      <c r="E99" s="209" t="s">
        <v>1719</v>
      </c>
      <c r="F99" s="209" t="s">
        <v>1195</v>
      </c>
      <c r="G99" s="209" t="s">
        <v>1721</v>
      </c>
      <c r="H99" s="209" t="s">
        <v>1711</v>
      </c>
      <c r="I99" s="209" t="s">
        <v>1131</v>
      </c>
      <c r="J99" s="209" t="s">
        <v>1132</v>
      </c>
      <c r="K99" s="209" t="s">
        <v>1288</v>
      </c>
    </row>
    <row r="100" spans="1:11" x14ac:dyDescent="0.55000000000000004">
      <c r="A100" s="209" t="s">
        <v>1722</v>
      </c>
      <c r="B100" s="209" t="s">
        <v>1723</v>
      </c>
      <c r="C100" s="209" t="s">
        <v>1724</v>
      </c>
      <c r="D100" s="209" t="s">
        <v>1725</v>
      </c>
      <c r="E100" s="209" t="s">
        <v>1724</v>
      </c>
      <c r="F100" s="209" t="s">
        <v>1195</v>
      </c>
      <c r="G100" s="209" t="s">
        <v>1726</v>
      </c>
      <c r="H100" s="209" t="s">
        <v>1711</v>
      </c>
      <c r="I100" s="209" t="s">
        <v>1131</v>
      </c>
      <c r="J100" s="209" t="s">
        <v>1132</v>
      </c>
      <c r="K100" s="209" t="s">
        <v>1727</v>
      </c>
    </row>
    <row r="101" spans="1:11" x14ac:dyDescent="0.55000000000000004">
      <c r="A101" s="209" t="s">
        <v>1728</v>
      </c>
      <c r="B101" s="209" t="s">
        <v>1729</v>
      </c>
      <c r="C101" s="209" t="s">
        <v>1730</v>
      </c>
      <c r="D101" s="209" t="s">
        <v>1731</v>
      </c>
      <c r="E101" s="209" t="s">
        <v>1730</v>
      </c>
      <c r="F101" s="209" t="s">
        <v>1195</v>
      </c>
      <c r="G101" s="209" t="s">
        <v>1732</v>
      </c>
      <c r="H101" s="209" t="s">
        <v>1711</v>
      </c>
      <c r="I101" s="209" t="s">
        <v>1733</v>
      </c>
      <c r="J101" s="209" t="s">
        <v>1734</v>
      </c>
      <c r="K101" s="209" t="s">
        <v>1411</v>
      </c>
    </row>
    <row r="102" spans="1:11" x14ac:dyDescent="0.55000000000000004">
      <c r="A102" s="209" t="s">
        <v>1735</v>
      </c>
      <c r="B102" s="209" t="s">
        <v>1736</v>
      </c>
      <c r="C102" s="209" t="s">
        <v>1737</v>
      </c>
      <c r="D102" s="209" t="s">
        <v>1738</v>
      </c>
      <c r="E102" s="209" t="s">
        <v>1737</v>
      </c>
      <c r="F102" s="209" t="s">
        <v>1195</v>
      </c>
      <c r="G102" s="209" t="s">
        <v>1739</v>
      </c>
      <c r="H102" s="209" t="s">
        <v>1711</v>
      </c>
      <c r="I102" s="209" t="s">
        <v>1733</v>
      </c>
      <c r="J102" s="209" t="s">
        <v>1734</v>
      </c>
      <c r="K102" s="209" t="s">
        <v>1417</v>
      </c>
    </row>
    <row r="103" spans="1:11" x14ac:dyDescent="0.55000000000000004">
      <c r="A103" s="209" t="s">
        <v>1740</v>
      </c>
      <c r="B103" s="209" t="s">
        <v>1741</v>
      </c>
      <c r="C103" s="209" t="s">
        <v>1742</v>
      </c>
      <c r="D103" s="209" t="s">
        <v>1743</v>
      </c>
      <c r="E103" s="209" t="s">
        <v>1742</v>
      </c>
      <c r="F103" s="209" t="s">
        <v>1195</v>
      </c>
      <c r="G103" s="209" t="s">
        <v>1744</v>
      </c>
      <c r="H103" s="209" t="s">
        <v>1745</v>
      </c>
      <c r="I103" s="209" t="s">
        <v>1733</v>
      </c>
      <c r="J103" s="209" t="s">
        <v>1734</v>
      </c>
      <c r="K103" s="209" t="s">
        <v>1217</v>
      </c>
    </row>
    <row r="104" spans="1:11" x14ac:dyDescent="0.55000000000000004">
      <c r="A104" s="209" t="s">
        <v>1746</v>
      </c>
      <c r="B104" s="209" t="s">
        <v>1747</v>
      </c>
      <c r="C104" s="209" t="s">
        <v>1748</v>
      </c>
      <c r="D104" s="209" t="s">
        <v>1749</v>
      </c>
      <c r="E104" s="209" t="s">
        <v>1748</v>
      </c>
      <c r="F104" s="209" t="s">
        <v>1195</v>
      </c>
      <c r="G104" s="209" t="s">
        <v>1750</v>
      </c>
      <c r="H104" s="209" t="s">
        <v>1745</v>
      </c>
      <c r="I104" s="209" t="s">
        <v>1733</v>
      </c>
      <c r="J104" s="209" t="s">
        <v>1734</v>
      </c>
      <c r="K104" s="209" t="s">
        <v>1223</v>
      </c>
    </row>
    <row r="105" spans="1:11" x14ac:dyDescent="0.55000000000000004">
      <c r="A105" s="209" t="s">
        <v>1751</v>
      </c>
      <c r="B105" s="209" t="s">
        <v>1752</v>
      </c>
      <c r="C105" s="209" t="s">
        <v>1753</v>
      </c>
      <c r="D105" s="209" t="s">
        <v>1754</v>
      </c>
      <c r="E105" s="209" t="s">
        <v>1753</v>
      </c>
      <c r="F105" s="209" t="s">
        <v>1195</v>
      </c>
      <c r="G105" s="209" t="s">
        <v>1755</v>
      </c>
      <c r="H105" s="209" t="s">
        <v>1745</v>
      </c>
      <c r="I105" s="209" t="s">
        <v>1733</v>
      </c>
      <c r="J105" s="209" t="s">
        <v>1734</v>
      </c>
      <c r="K105" s="209" t="s">
        <v>1756</v>
      </c>
    </row>
    <row r="106" spans="1:11" x14ac:dyDescent="0.55000000000000004">
      <c r="A106" s="209" t="s">
        <v>1757</v>
      </c>
      <c r="B106" s="209" t="s">
        <v>1758</v>
      </c>
      <c r="C106" s="209" t="s">
        <v>1759</v>
      </c>
      <c r="D106" s="209" t="s">
        <v>1760</v>
      </c>
      <c r="E106" s="209" t="s">
        <v>1759</v>
      </c>
      <c r="F106" s="209" t="s">
        <v>1195</v>
      </c>
      <c r="G106" s="209" t="s">
        <v>1761</v>
      </c>
      <c r="H106" s="209" t="s">
        <v>1745</v>
      </c>
      <c r="I106" s="209" t="s">
        <v>1733</v>
      </c>
      <c r="J106" s="209" t="s">
        <v>1734</v>
      </c>
      <c r="K106" s="209" t="s">
        <v>1762</v>
      </c>
    </row>
    <row r="107" spans="1:11" x14ac:dyDescent="0.55000000000000004">
      <c r="A107" s="209" t="s">
        <v>1763</v>
      </c>
      <c r="B107" s="209" t="s">
        <v>1764</v>
      </c>
      <c r="C107" s="209" t="s">
        <v>1765</v>
      </c>
      <c r="D107" s="209" t="s">
        <v>1766</v>
      </c>
      <c r="E107" s="209" t="s">
        <v>1765</v>
      </c>
      <c r="F107" s="209" t="s">
        <v>1195</v>
      </c>
      <c r="G107" s="209" t="s">
        <v>1767</v>
      </c>
      <c r="H107" s="209" t="s">
        <v>1745</v>
      </c>
      <c r="I107" s="209" t="s">
        <v>1733</v>
      </c>
      <c r="J107" s="209" t="s">
        <v>1734</v>
      </c>
      <c r="K107" s="209" t="s">
        <v>1257</v>
      </c>
    </row>
    <row r="108" spans="1:11" x14ac:dyDescent="0.55000000000000004">
      <c r="A108" s="209" t="s">
        <v>1768</v>
      </c>
      <c r="B108" s="209" t="s">
        <v>1769</v>
      </c>
      <c r="C108" s="209" t="s">
        <v>1770</v>
      </c>
      <c r="D108" s="209" t="s">
        <v>1771</v>
      </c>
      <c r="E108" s="209" t="s">
        <v>1770</v>
      </c>
      <c r="F108" s="209" t="s">
        <v>1195</v>
      </c>
      <c r="G108" s="209" t="s">
        <v>1772</v>
      </c>
      <c r="H108" s="209" t="s">
        <v>1745</v>
      </c>
      <c r="I108" s="209" t="s">
        <v>1733</v>
      </c>
      <c r="J108" s="209" t="s">
        <v>1734</v>
      </c>
      <c r="K108" s="209" t="s">
        <v>1263</v>
      </c>
    </row>
    <row r="109" spans="1:11" x14ac:dyDescent="0.55000000000000004">
      <c r="A109" s="209" t="s">
        <v>1773</v>
      </c>
      <c r="B109" s="209" t="s">
        <v>1774</v>
      </c>
      <c r="C109" s="209" t="s">
        <v>1775</v>
      </c>
      <c r="D109" s="209" t="s">
        <v>1776</v>
      </c>
      <c r="E109" s="209" t="s">
        <v>1775</v>
      </c>
      <c r="F109" s="209" t="s">
        <v>1195</v>
      </c>
      <c r="G109" s="209" t="s">
        <v>1777</v>
      </c>
      <c r="H109" s="209" t="s">
        <v>1778</v>
      </c>
      <c r="I109" s="209" t="s">
        <v>1281</v>
      </c>
      <c r="J109" s="209" t="s">
        <v>1282</v>
      </c>
      <c r="K109" s="209" t="s">
        <v>1411</v>
      </c>
    </row>
    <row r="110" spans="1:11" x14ac:dyDescent="0.55000000000000004">
      <c r="A110" s="209" t="s">
        <v>1779</v>
      </c>
      <c r="B110" s="209" t="s">
        <v>1780</v>
      </c>
      <c r="C110" s="209" t="s">
        <v>1781</v>
      </c>
      <c r="D110" s="209" t="s">
        <v>1782</v>
      </c>
      <c r="E110" s="209" t="s">
        <v>1781</v>
      </c>
      <c r="F110" s="209" t="s">
        <v>1195</v>
      </c>
      <c r="G110" s="209" t="s">
        <v>1783</v>
      </c>
      <c r="H110" s="209" t="s">
        <v>1778</v>
      </c>
      <c r="I110" s="209" t="s">
        <v>1281</v>
      </c>
      <c r="J110" s="209" t="s">
        <v>1282</v>
      </c>
      <c r="K110" s="209" t="s">
        <v>1417</v>
      </c>
    </row>
    <row r="111" spans="1:11" x14ac:dyDescent="0.55000000000000004">
      <c r="A111" s="209" t="s">
        <v>1784</v>
      </c>
      <c r="B111" s="209" t="s">
        <v>1785</v>
      </c>
      <c r="C111" s="209" t="s">
        <v>1786</v>
      </c>
      <c r="D111" s="209" t="s">
        <v>1787</v>
      </c>
      <c r="E111" s="209" t="s">
        <v>1786</v>
      </c>
      <c r="F111" s="209" t="s">
        <v>1195</v>
      </c>
      <c r="G111" s="209" t="s">
        <v>1788</v>
      </c>
      <c r="H111" s="209" t="s">
        <v>1778</v>
      </c>
      <c r="I111" s="209" t="s">
        <v>1281</v>
      </c>
      <c r="J111" s="209" t="s">
        <v>1282</v>
      </c>
      <c r="K111" s="209" t="s">
        <v>1423</v>
      </c>
    </row>
    <row r="112" spans="1:11" x14ac:dyDescent="0.55000000000000004">
      <c r="A112" s="209" t="s">
        <v>1789</v>
      </c>
      <c r="B112" s="209" t="s">
        <v>1790</v>
      </c>
      <c r="C112" s="209" t="s">
        <v>1791</v>
      </c>
      <c r="D112" s="209" t="s">
        <v>1792</v>
      </c>
      <c r="E112" s="209" t="s">
        <v>1791</v>
      </c>
      <c r="F112" s="209" t="s">
        <v>1195</v>
      </c>
      <c r="G112" s="209" t="s">
        <v>1793</v>
      </c>
      <c r="H112" s="209" t="s">
        <v>1778</v>
      </c>
      <c r="I112" s="209" t="s">
        <v>1281</v>
      </c>
      <c r="J112" s="209" t="s">
        <v>1282</v>
      </c>
      <c r="K112" s="209" t="s">
        <v>1429</v>
      </c>
    </row>
    <row r="113" spans="1:11" x14ac:dyDescent="0.55000000000000004">
      <c r="A113" s="209" t="s">
        <v>1794</v>
      </c>
      <c r="B113" s="209" t="s">
        <v>1795</v>
      </c>
      <c r="C113" s="209" t="s">
        <v>1796</v>
      </c>
      <c r="D113" s="209" t="s">
        <v>1797</v>
      </c>
      <c r="E113" s="209" t="s">
        <v>1796</v>
      </c>
      <c r="F113" s="209" t="s">
        <v>1195</v>
      </c>
      <c r="G113" s="209" t="s">
        <v>1798</v>
      </c>
      <c r="H113" s="209" t="s">
        <v>1778</v>
      </c>
      <c r="I113" s="209" t="s">
        <v>1281</v>
      </c>
      <c r="J113" s="209" t="s">
        <v>1282</v>
      </c>
      <c r="K113" s="209" t="s">
        <v>1799</v>
      </c>
    </row>
    <row r="114" spans="1:11" x14ac:dyDescent="0.55000000000000004">
      <c r="A114" s="209" t="s">
        <v>1800</v>
      </c>
      <c r="B114" s="209" t="s">
        <v>1801</v>
      </c>
      <c r="C114" s="209" t="s">
        <v>1802</v>
      </c>
      <c r="D114" s="209" t="s">
        <v>1803</v>
      </c>
      <c r="E114" s="209" t="s">
        <v>1802</v>
      </c>
      <c r="F114" s="209" t="s">
        <v>1195</v>
      </c>
      <c r="G114" s="209" t="s">
        <v>1804</v>
      </c>
      <c r="H114" s="209" t="s">
        <v>1778</v>
      </c>
      <c r="I114" s="209" t="s">
        <v>1281</v>
      </c>
      <c r="J114" s="209" t="s">
        <v>1282</v>
      </c>
      <c r="K114" s="209" t="s">
        <v>1805</v>
      </c>
    </row>
    <row r="115" spans="1:11" x14ac:dyDescent="0.55000000000000004">
      <c r="A115" s="209" t="s">
        <v>1806</v>
      </c>
      <c r="B115" s="209" t="s">
        <v>1807</v>
      </c>
      <c r="C115" s="209" t="s">
        <v>1808</v>
      </c>
      <c r="D115" s="209" t="s">
        <v>1809</v>
      </c>
      <c r="E115" s="209" t="s">
        <v>1808</v>
      </c>
      <c r="F115" s="209" t="s">
        <v>1195</v>
      </c>
      <c r="G115" s="209" t="s">
        <v>1810</v>
      </c>
      <c r="H115" s="209" t="s">
        <v>1811</v>
      </c>
      <c r="I115" s="209" t="s">
        <v>1281</v>
      </c>
      <c r="J115" s="209" t="s">
        <v>1282</v>
      </c>
      <c r="K115" s="209" t="s">
        <v>1448</v>
      </c>
    </row>
    <row r="116" spans="1:11" x14ac:dyDescent="0.55000000000000004">
      <c r="A116" s="209" t="s">
        <v>1812</v>
      </c>
      <c r="B116" s="209" t="s">
        <v>1813</v>
      </c>
      <c r="C116" s="209" t="s">
        <v>1814</v>
      </c>
      <c r="D116" s="209" t="s">
        <v>1815</v>
      </c>
      <c r="E116" s="209" t="s">
        <v>1814</v>
      </c>
      <c r="F116" s="209" t="s">
        <v>1195</v>
      </c>
      <c r="G116" s="209" t="s">
        <v>1816</v>
      </c>
      <c r="H116" s="209" t="s">
        <v>1811</v>
      </c>
      <c r="I116" s="209" t="s">
        <v>1281</v>
      </c>
      <c r="J116" s="209" t="s">
        <v>1282</v>
      </c>
      <c r="K116" s="209" t="s">
        <v>1454</v>
      </c>
    </row>
    <row r="117" spans="1:11" x14ac:dyDescent="0.55000000000000004">
      <c r="A117" s="209" t="s">
        <v>1817</v>
      </c>
      <c r="B117" s="209" t="s">
        <v>1818</v>
      </c>
      <c r="C117" s="209" t="s">
        <v>1819</v>
      </c>
      <c r="D117" s="209" t="s">
        <v>1820</v>
      </c>
      <c r="E117" s="209" t="s">
        <v>1819</v>
      </c>
      <c r="F117" s="209" t="s">
        <v>1195</v>
      </c>
      <c r="G117" s="209" t="s">
        <v>1821</v>
      </c>
      <c r="H117" s="209" t="s">
        <v>1811</v>
      </c>
      <c r="I117" s="209" t="s">
        <v>1281</v>
      </c>
      <c r="J117" s="209" t="s">
        <v>1282</v>
      </c>
      <c r="K117" s="209" t="s">
        <v>1472</v>
      </c>
    </row>
    <row r="118" spans="1:11" x14ac:dyDescent="0.55000000000000004">
      <c r="A118" s="209" t="s">
        <v>1822</v>
      </c>
      <c r="B118" s="209" t="s">
        <v>1823</v>
      </c>
      <c r="C118" s="209" t="s">
        <v>1824</v>
      </c>
      <c r="D118" s="209" t="s">
        <v>1825</v>
      </c>
      <c r="E118" s="209" t="s">
        <v>1824</v>
      </c>
      <c r="F118" s="209" t="s">
        <v>1195</v>
      </c>
      <c r="G118" s="209" t="s">
        <v>1826</v>
      </c>
      <c r="H118" s="209" t="s">
        <v>1811</v>
      </c>
      <c r="I118" s="209" t="s">
        <v>1281</v>
      </c>
      <c r="J118" s="209" t="s">
        <v>1282</v>
      </c>
      <c r="K118" s="209" t="s">
        <v>1478</v>
      </c>
    </row>
    <row r="119" spans="1:11" x14ac:dyDescent="0.55000000000000004">
      <c r="A119" s="209" t="s">
        <v>1827</v>
      </c>
      <c r="B119" s="209" t="s">
        <v>1828</v>
      </c>
      <c r="C119" s="209" t="s">
        <v>1829</v>
      </c>
      <c r="D119" s="209" t="s">
        <v>1830</v>
      </c>
      <c r="E119" s="209" t="s">
        <v>1829</v>
      </c>
      <c r="F119" s="209" t="s">
        <v>1195</v>
      </c>
      <c r="G119" s="209" t="s">
        <v>1831</v>
      </c>
      <c r="H119" s="209" t="s">
        <v>1811</v>
      </c>
      <c r="I119" s="209" t="s">
        <v>1281</v>
      </c>
      <c r="J119" s="209" t="s">
        <v>1282</v>
      </c>
      <c r="K119" s="209" t="s">
        <v>1727</v>
      </c>
    </row>
    <row r="120" spans="1:11" x14ac:dyDescent="0.55000000000000004">
      <c r="A120" s="209" t="s">
        <v>1832</v>
      </c>
      <c r="B120" s="209" t="s">
        <v>1833</v>
      </c>
      <c r="C120" s="209" t="s">
        <v>1834</v>
      </c>
      <c r="D120" s="209" t="s">
        <v>1835</v>
      </c>
      <c r="E120" s="209" t="s">
        <v>1834</v>
      </c>
      <c r="F120" s="209" t="s">
        <v>1195</v>
      </c>
      <c r="G120" s="209" t="s">
        <v>1836</v>
      </c>
      <c r="H120" s="209" t="s">
        <v>1811</v>
      </c>
      <c r="I120" s="209" t="s">
        <v>1281</v>
      </c>
      <c r="J120" s="209" t="s">
        <v>1282</v>
      </c>
      <c r="K120" s="209" t="s">
        <v>1269</v>
      </c>
    </row>
    <row r="121" spans="1:11" x14ac:dyDescent="0.55000000000000004">
      <c r="A121" s="209" t="s">
        <v>1837</v>
      </c>
      <c r="B121" s="209" t="s">
        <v>1838</v>
      </c>
      <c r="C121" s="209" t="s">
        <v>1839</v>
      </c>
      <c r="D121" s="209" t="s">
        <v>1840</v>
      </c>
      <c r="E121" s="209" t="s">
        <v>1839</v>
      </c>
      <c r="F121" s="209" t="s">
        <v>1195</v>
      </c>
      <c r="G121" s="209" t="s">
        <v>1841</v>
      </c>
      <c r="H121" s="209" t="s">
        <v>1842</v>
      </c>
      <c r="I121" s="209" t="s">
        <v>1843</v>
      </c>
      <c r="J121" s="209" t="s">
        <v>1844</v>
      </c>
      <c r="K121" s="209" t="s">
        <v>1435</v>
      </c>
    </row>
    <row r="122" spans="1:11" x14ac:dyDescent="0.55000000000000004">
      <c r="A122" s="209" t="s">
        <v>1845</v>
      </c>
      <c r="B122" s="209" t="s">
        <v>1846</v>
      </c>
      <c r="C122" s="209" t="s">
        <v>1847</v>
      </c>
      <c r="D122" s="209" t="s">
        <v>1848</v>
      </c>
      <c r="E122" s="209" t="s">
        <v>1847</v>
      </c>
      <c r="F122" s="209" t="s">
        <v>1195</v>
      </c>
      <c r="G122" s="209" t="s">
        <v>1849</v>
      </c>
      <c r="H122" s="209" t="s">
        <v>1842</v>
      </c>
      <c r="I122" s="209" t="s">
        <v>1843</v>
      </c>
      <c r="J122" s="209" t="s">
        <v>1844</v>
      </c>
      <c r="K122" s="209" t="s">
        <v>1441</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885F1-2BFD-458F-B749-8D88BA1FE8AD}">
  <sheetPr codeName="Sheet8">
    <tabColor theme="0" tint="-0.499984740745262"/>
  </sheetPr>
  <dimension ref="A1:J24"/>
  <sheetViews>
    <sheetView workbookViewId="0"/>
  </sheetViews>
  <sheetFormatPr defaultRowHeight="18" x14ac:dyDescent="0.55000000000000004"/>
  <cols>
    <col min="1" max="1" width="17.08203125" bestFit="1" customWidth="1"/>
    <col min="2" max="2" width="22.83203125" bestFit="1" customWidth="1"/>
    <col min="3" max="3" width="26.6640625" bestFit="1" customWidth="1"/>
    <col min="4" max="4" width="21" bestFit="1" customWidth="1"/>
    <col min="5" max="5" width="26.58203125" bestFit="1" customWidth="1"/>
    <col min="6" max="6" width="27.58203125" bestFit="1" customWidth="1"/>
    <col min="7" max="7" width="18.1640625" bestFit="1" customWidth="1"/>
    <col min="8" max="8" width="22.08203125" bestFit="1" customWidth="1"/>
    <col min="9" max="9" width="13.1640625" bestFit="1" customWidth="1"/>
    <col min="10" max="10" width="11.5" bestFit="1" customWidth="1"/>
  </cols>
  <sheetData>
    <row r="1" spans="1:10" x14ac:dyDescent="0.55000000000000004">
      <c r="A1" t="s">
        <v>119</v>
      </c>
      <c r="B1" t="s">
        <v>1185</v>
      </c>
      <c r="C1" t="s">
        <v>1186</v>
      </c>
      <c r="D1" t="s">
        <v>1187</v>
      </c>
      <c r="E1" t="s">
        <v>1188</v>
      </c>
      <c r="F1" t="s">
        <v>1189</v>
      </c>
      <c r="G1" t="s">
        <v>1190</v>
      </c>
      <c r="H1" t="s">
        <v>886</v>
      </c>
      <c r="I1" t="s">
        <v>887</v>
      </c>
      <c r="J1" t="s">
        <v>888</v>
      </c>
    </row>
    <row r="2" spans="1:10" x14ac:dyDescent="0.55000000000000004">
      <c r="A2" s="209" t="s">
        <v>132</v>
      </c>
      <c r="B2" s="209" t="s">
        <v>133</v>
      </c>
      <c r="C2" s="209" t="s">
        <v>133</v>
      </c>
      <c r="D2" s="209" t="s">
        <v>133</v>
      </c>
      <c r="E2" s="209" t="s">
        <v>133</v>
      </c>
      <c r="F2" s="209" t="s">
        <v>133</v>
      </c>
      <c r="G2" s="209" t="s">
        <v>133</v>
      </c>
      <c r="H2" s="209" t="s">
        <v>133</v>
      </c>
      <c r="I2" s="209" t="s">
        <v>133</v>
      </c>
      <c r="J2" s="209" t="s">
        <v>133</v>
      </c>
    </row>
    <row r="3" spans="1:10" x14ac:dyDescent="0.55000000000000004">
      <c r="A3" s="209" t="s">
        <v>1191</v>
      </c>
      <c r="B3" s="209" t="s">
        <v>1192</v>
      </c>
      <c r="C3" s="209" t="s">
        <v>1193</v>
      </c>
      <c r="D3" s="209" t="s">
        <v>1194</v>
      </c>
      <c r="E3" s="209" t="s">
        <v>1193</v>
      </c>
      <c r="F3" s="209" t="s">
        <v>1195</v>
      </c>
      <c r="G3" s="209" t="s">
        <v>1196</v>
      </c>
      <c r="H3" s="209" t="s">
        <v>133</v>
      </c>
      <c r="I3" s="209" t="s">
        <v>133</v>
      </c>
      <c r="J3" s="209" t="s">
        <v>133</v>
      </c>
    </row>
    <row r="4" spans="1:10" x14ac:dyDescent="0.55000000000000004">
      <c r="A4" s="209" t="s">
        <v>1197</v>
      </c>
      <c r="B4" s="209" t="s">
        <v>1198</v>
      </c>
      <c r="C4" s="209" t="s">
        <v>1199</v>
      </c>
      <c r="D4" s="209" t="s">
        <v>1200</v>
      </c>
      <c r="E4" s="209" t="s">
        <v>1199</v>
      </c>
      <c r="F4" s="209" t="s">
        <v>1195</v>
      </c>
      <c r="G4" s="209" t="s">
        <v>1201</v>
      </c>
      <c r="H4" s="209" t="s">
        <v>133</v>
      </c>
      <c r="I4" s="209" t="s">
        <v>133</v>
      </c>
      <c r="J4" s="209" t="s">
        <v>133</v>
      </c>
    </row>
    <row r="5" spans="1:10" x14ac:dyDescent="0.55000000000000004">
      <c r="A5" s="209" t="s">
        <v>1202</v>
      </c>
      <c r="B5" s="209" t="s">
        <v>1203</v>
      </c>
      <c r="C5" s="209" t="s">
        <v>1204</v>
      </c>
      <c r="D5" s="209" t="s">
        <v>1205</v>
      </c>
      <c r="E5" s="209" t="s">
        <v>1204</v>
      </c>
      <c r="F5" s="209" t="s">
        <v>1195</v>
      </c>
      <c r="G5" s="209" t="s">
        <v>1206</v>
      </c>
      <c r="H5" s="209" t="s">
        <v>133</v>
      </c>
      <c r="I5" s="209" t="s">
        <v>133</v>
      </c>
      <c r="J5" s="209" t="s">
        <v>133</v>
      </c>
    </row>
    <row r="6" spans="1:10" x14ac:dyDescent="0.55000000000000004">
      <c r="A6" s="209" t="s">
        <v>1207</v>
      </c>
      <c r="B6" s="209" t="s">
        <v>1208</v>
      </c>
      <c r="C6" s="209" t="s">
        <v>1209</v>
      </c>
      <c r="D6" s="209" t="s">
        <v>1210</v>
      </c>
      <c r="E6" s="209" t="s">
        <v>1209</v>
      </c>
      <c r="F6" s="209" t="s">
        <v>1195</v>
      </c>
      <c r="G6" s="209" t="s">
        <v>1211</v>
      </c>
      <c r="H6" s="209" t="s">
        <v>133</v>
      </c>
      <c r="I6" s="209" t="s">
        <v>133</v>
      </c>
      <c r="J6" s="209" t="s">
        <v>133</v>
      </c>
    </row>
    <row r="7" spans="1:10" x14ac:dyDescent="0.55000000000000004">
      <c r="A7" s="209" t="s">
        <v>6001</v>
      </c>
      <c r="B7" s="209" t="s">
        <v>1244</v>
      </c>
      <c r="C7" s="209" t="s">
        <v>1245</v>
      </c>
      <c r="D7" s="209" t="s">
        <v>1246</v>
      </c>
      <c r="E7" s="209" t="s">
        <v>1245</v>
      </c>
      <c r="F7" s="209" t="s">
        <v>1195</v>
      </c>
      <c r="G7" s="209" t="s">
        <v>1247</v>
      </c>
      <c r="H7" s="209" t="s">
        <v>6025</v>
      </c>
      <c r="I7" s="209" t="s">
        <v>6026</v>
      </c>
      <c r="J7" s="209" t="s">
        <v>997</v>
      </c>
    </row>
    <row r="8" spans="1:10" x14ac:dyDescent="0.55000000000000004">
      <c r="A8" s="209" t="s">
        <v>6002</v>
      </c>
      <c r="B8" s="209" t="s">
        <v>1248</v>
      </c>
      <c r="C8" s="209" t="s">
        <v>1249</v>
      </c>
      <c r="D8" s="209" t="s">
        <v>1250</v>
      </c>
      <c r="E8" s="209" t="s">
        <v>1249</v>
      </c>
      <c r="F8" s="209" t="s">
        <v>1195</v>
      </c>
      <c r="G8" s="209" t="s">
        <v>1251</v>
      </c>
      <c r="H8" s="209" t="s">
        <v>6025</v>
      </c>
      <c r="I8" s="209" t="s">
        <v>6026</v>
      </c>
      <c r="J8" s="209" t="s">
        <v>1004</v>
      </c>
    </row>
    <row r="9" spans="1:10" x14ac:dyDescent="0.55000000000000004">
      <c r="A9" s="209" t="s">
        <v>1212</v>
      </c>
      <c r="B9" s="209" t="s">
        <v>1213</v>
      </c>
      <c r="C9" s="209" t="s">
        <v>1214</v>
      </c>
      <c r="D9" s="209" t="s">
        <v>1215</v>
      </c>
      <c r="E9" s="209" t="s">
        <v>1214</v>
      </c>
      <c r="F9" s="209" t="s">
        <v>1195</v>
      </c>
      <c r="G9" s="209" t="s">
        <v>1216</v>
      </c>
      <c r="H9" s="209" t="s">
        <v>5989</v>
      </c>
      <c r="I9" s="209" t="s">
        <v>996</v>
      </c>
      <c r="J9" s="209" t="s">
        <v>1217</v>
      </c>
    </row>
    <row r="10" spans="1:10" x14ac:dyDescent="0.55000000000000004">
      <c r="A10" s="209" t="s">
        <v>1218</v>
      </c>
      <c r="B10" s="209" t="s">
        <v>1219</v>
      </c>
      <c r="C10" s="209" t="s">
        <v>1220</v>
      </c>
      <c r="D10" s="209" t="s">
        <v>1221</v>
      </c>
      <c r="E10" s="209" t="s">
        <v>1220</v>
      </c>
      <c r="F10" s="209" t="s">
        <v>1195</v>
      </c>
      <c r="G10" s="209" t="s">
        <v>1222</v>
      </c>
      <c r="H10" s="209" t="s">
        <v>5989</v>
      </c>
      <c r="I10" s="209" t="s">
        <v>996</v>
      </c>
      <c r="J10" s="209" t="s">
        <v>1223</v>
      </c>
    </row>
    <row r="11" spans="1:10" x14ac:dyDescent="0.55000000000000004">
      <c r="A11" s="209" t="s">
        <v>1224</v>
      </c>
      <c r="B11" s="209" t="s">
        <v>1225</v>
      </c>
      <c r="C11" s="209" t="s">
        <v>1226</v>
      </c>
      <c r="D11" s="209" t="s">
        <v>1227</v>
      </c>
      <c r="E11" s="209" t="s">
        <v>1226</v>
      </c>
      <c r="F11" s="209" t="s">
        <v>1195</v>
      </c>
      <c r="G11" s="209" t="s">
        <v>1228</v>
      </c>
      <c r="H11" s="209" t="s">
        <v>5990</v>
      </c>
      <c r="I11" s="209" t="s">
        <v>1011</v>
      </c>
      <c r="J11" s="209" t="s">
        <v>1217</v>
      </c>
    </row>
    <row r="12" spans="1:10" x14ac:dyDescent="0.55000000000000004">
      <c r="A12" s="209" t="s">
        <v>1229</v>
      </c>
      <c r="B12" s="209" t="s">
        <v>1230</v>
      </c>
      <c r="C12" s="209" t="s">
        <v>1231</v>
      </c>
      <c r="D12" s="209" t="s">
        <v>1232</v>
      </c>
      <c r="E12" s="209" t="s">
        <v>1231</v>
      </c>
      <c r="F12" s="209" t="s">
        <v>1195</v>
      </c>
      <c r="G12" s="209" t="s">
        <v>1233</v>
      </c>
      <c r="H12" s="209" t="s">
        <v>5990</v>
      </c>
      <c r="I12" s="209" t="s">
        <v>1011</v>
      </c>
      <c r="J12" s="209" t="s">
        <v>1223</v>
      </c>
    </row>
    <row r="13" spans="1:10" x14ac:dyDescent="0.55000000000000004">
      <c r="A13" s="209" t="s">
        <v>1234</v>
      </c>
      <c r="B13" s="209" t="s">
        <v>1235</v>
      </c>
      <c r="C13" s="209" t="s">
        <v>1236</v>
      </c>
      <c r="D13" s="209" t="s">
        <v>1237</v>
      </c>
      <c r="E13" s="209" t="s">
        <v>1236</v>
      </c>
      <c r="F13" s="209" t="s">
        <v>1195</v>
      </c>
      <c r="G13" s="209" t="s">
        <v>1238</v>
      </c>
      <c r="H13" s="209" t="s">
        <v>133</v>
      </c>
      <c r="I13" s="209" t="s">
        <v>133</v>
      </c>
      <c r="J13" s="209" t="s">
        <v>133</v>
      </c>
    </row>
    <row r="14" spans="1:10" x14ac:dyDescent="0.55000000000000004">
      <c r="A14" s="209" t="s">
        <v>1239</v>
      </c>
      <c r="B14" s="209" t="s">
        <v>1240</v>
      </c>
      <c r="C14" s="209" t="s">
        <v>1241</v>
      </c>
      <c r="D14" s="209" t="s">
        <v>1242</v>
      </c>
      <c r="E14" s="209" t="s">
        <v>1241</v>
      </c>
      <c r="F14" s="209" t="s">
        <v>1195</v>
      </c>
      <c r="G14" s="209" t="s">
        <v>1243</v>
      </c>
      <c r="H14" s="209" t="s">
        <v>133</v>
      </c>
      <c r="I14" s="209" t="s">
        <v>133</v>
      </c>
      <c r="J14" s="209" t="s">
        <v>133</v>
      </c>
    </row>
    <row r="15" spans="1:10" x14ac:dyDescent="0.55000000000000004">
      <c r="A15" s="209" t="s">
        <v>6113</v>
      </c>
      <c r="B15" s="209" t="s">
        <v>6114</v>
      </c>
      <c r="C15" s="209" t="s">
        <v>6115</v>
      </c>
      <c r="D15" s="209" t="s">
        <v>6116</v>
      </c>
      <c r="E15" s="209" t="s">
        <v>6115</v>
      </c>
      <c r="F15" s="209" t="s">
        <v>1195</v>
      </c>
      <c r="G15" s="209" t="s">
        <v>6117</v>
      </c>
      <c r="H15" s="209" t="s">
        <v>6102</v>
      </c>
      <c r="I15" s="209" t="s">
        <v>6103</v>
      </c>
      <c r="J15" s="209" t="s">
        <v>1435</v>
      </c>
    </row>
    <row r="16" spans="1:10" x14ac:dyDescent="0.55000000000000004">
      <c r="A16" s="209" t="s">
        <v>6118</v>
      </c>
      <c r="B16" s="209" t="s">
        <v>6119</v>
      </c>
      <c r="C16" s="209" t="s">
        <v>6120</v>
      </c>
      <c r="D16" s="209" t="s">
        <v>6121</v>
      </c>
      <c r="E16" s="209" t="s">
        <v>6120</v>
      </c>
      <c r="F16" s="209" t="s">
        <v>1195</v>
      </c>
      <c r="G16" s="209" t="s">
        <v>6122</v>
      </c>
      <c r="H16" s="209" t="s">
        <v>6102</v>
      </c>
      <c r="I16" s="209" t="s">
        <v>6103</v>
      </c>
      <c r="J16" s="209" t="s">
        <v>1441</v>
      </c>
    </row>
    <row r="17" spans="1:10" x14ac:dyDescent="0.55000000000000004">
      <c r="A17" s="209" t="s">
        <v>6123</v>
      </c>
      <c r="B17" s="209" t="s">
        <v>6124</v>
      </c>
      <c r="C17" s="209" t="s">
        <v>6125</v>
      </c>
      <c r="D17" s="209" t="s">
        <v>6126</v>
      </c>
      <c r="E17" s="209" t="s">
        <v>6125</v>
      </c>
      <c r="F17" s="209" t="s">
        <v>1195</v>
      </c>
      <c r="G17" s="209" t="s">
        <v>6127</v>
      </c>
      <c r="H17" s="209" t="s">
        <v>6102</v>
      </c>
      <c r="I17" s="209" t="s">
        <v>6103</v>
      </c>
      <c r="J17" s="209" t="s">
        <v>1448</v>
      </c>
    </row>
    <row r="18" spans="1:10" x14ac:dyDescent="0.55000000000000004">
      <c r="A18" s="209" t="s">
        <v>6128</v>
      </c>
      <c r="B18" s="209" t="s">
        <v>6129</v>
      </c>
      <c r="C18" s="209" t="s">
        <v>6130</v>
      </c>
      <c r="D18" s="209" t="s">
        <v>6131</v>
      </c>
      <c r="E18" s="209" t="s">
        <v>6130</v>
      </c>
      <c r="F18" s="209" t="s">
        <v>1195</v>
      </c>
      <c r="G18" s="209" t="s">
        <v>6132</v>
      </c>
      <c r="H18" s="209" t="s">
        <v>6102</v>
      </c>
      <c r="I18" s="209" t="s">
        <v>6103</v>
      </c>
      <c r="J18" s="209" t="s">
        <v>1454</v>
      </c>
    </row>
    <row r="19" spans="1:10" x14ac:dyDescent="0.55000000000000004">
      <c r="A19" s="209" t="s">
        <v>1252</v>
      </c>
      <c r="B19" s="209" t="s">
        <v>1253</v>
      </c>
      <c r="C19" s="209" t="s">
        <v>1254</v>
      </c>
      <c r="D19" s="209" t="s">
        <v>1255</v>
      </c>
      <c r="E19" s="209" t="s">
        <v>1254</v>
      </c>
      <c r="F19" s="209" t="s">
        <v>1195</v>
      </c>
      <c r="G19" s="209" t="s">
        <v>1256</v>
      </c>
      <c r="H19" s="209" t="s">
        <v>1131</v>
      </c>
      <c r="I19" s="209" t="s">
        <v>1132</v>
      </c>
      <c r="J19" s="209" t="s">
        <v>1257</v>
      </c>
    </row>
    <row r="20" spans="1:10" x14ac:dyDescent="0.55000000000000004">
      <c r="A20" s="209" t="s">
        <v>1258</v>
      </c>
      <c r="B20" s="209" t="s">
        <v>1259</v>
      </c>
      <c r="C20" s="209" t="s">
        <v>1260</v>
      </c>
      <c r="D20" s="209" t="s">
        <v>1261</v>
      </c>
      <c r="E20" s="209" t="s">
        <v>1260</v>
      </c>
      <c r="F20" s="209" t="s">
        <v>1195</v>
      </c>
      <c r="G20" s="209" t="s">
        <v>1262</v>
      </c>
      <c r="H20" s="209" t="s">
        <v>1131</v>
      </c>
      <c r="I20" s="209" t="s">
        <v>1132</v>
      </c>
      <c r="J20" s="209" t="s">
        <v>1263</v>
      </c>
    </row>
    <row r="21" spans="1:10" x14ac:dyDescent="0.55000000000000004">
      <c r="A21" s="209" t="s">
        <v>1264</v>
      </c>
      <c r="B21" s="209" t="s">
        <v>1265</v>
      </c>
      <c r="C21" s="209" t="s">
        <v>1266</v>
      </c>
      <c r="D21" s="209" t="s">
        <v>1267</v>
      </c>
      <c r="E21" s="209" t="s">
        <v>1266</v>
      </c>
      <c r="F21" s="209" t="s">
        <v>1195</v>
      </c>
      <c r="G21" s="209" t="s">
        <v>1268</v>
      </c>
      <c r="H21" s="209" t="s">
        <v>995</v>
      </c>
      <c r="I21" s="209" t="s">
        <v>1146</v>
      </c>
      <c r="J21" s="209" t="s">
        <v>1269</v>
      </c>
    </row>
    <row r="22" spans="1:10" x14ac:dyDescent="0.55000000000000004">
      <c r="A22" s="209" t="s">
        <v>1270</v>
      </c>
      <c r="B22" s="209" t="s">
        <v>1271</v>
      </c>
      <c r="C22" s="209" t="s">
        <v>1272</v>
      </c>
      <c r="D22" s="209" t="s">
        <v>1273</v>
      </c>
      <c r="E22" s="209" t="s">
        <v>1272</v>
      </c>
      <c r="F22" s="209" t="s">
        <v>1195</v>
      </c>
      <c r="G22" s="209" t="s">
        <v>1274</v>
      </c>
      <c r="H22" s="209" t="s">
        <v>995</v>
      </c>
      <c r="I22" s="209" t="s">
        <v>1146</v>
      </c>
      <c r="J22" s="209" t="s">
        <v>1275</v>
      </c>
    </row>
    <row r="23" spans="1:10" x14ac:dyDescent="0.55000000000000004">
      <c r="A23" s="209" t="s">
        <v>1276</v>
      </c>
      <c r="B23" s="209" t="s">
        <v>1277</v>
      </c>
      <c r="C23" s="209" t="s">
        <v>1278</v>
      </c>
      <c r="D23" s="209" t="s">
        <v>1279</v>
      </c>
      <c r="E23" s="209" t="s">
        <v>1278</v>
      </c>
      <c r="F23" s="209" t="s">
        <v>1195</v>
      </c>
      <c r="G23" s="209" t="s">
        <v>1280</v>
      </c>
      <c r="H23" s="209" t="s">
        <v>1281</v>
      </c>
      <c r="I23" s="209" t="s">
        <v>1282</v>
      </c>
      <c r="J23" s="209" t="s">
        <v>1154</v>
      </c>
    </row>
    <row r="24" spans="1:10" x14ac:dyDescent="0.55000000000000004">
      <c r="A24" s="209" t="s">
        <v>1283</v>
      </c>
      <c r="B24" s="209" t="s">
        <v>1284</v>
      </c>
      <c r="C24" s="209" t="s">
        <v>1285</v>
      </c>
      <c r="D24" s="209" t="s">
        <v>1286</v>
      </c>
      <c r="E24" s="209" t="s">
        <v>1285</v>
      </c>
      <c r="F24" s="209" t="s">
        <v>1195</v>
      </c>
      <c r="G24" s="209" t="s">
        <v>1287</v>
      </c>
      <c r="H24" s="209" t="s">
        <v>1281</v>
      </c>
      <c r="I24" s="209" t="s">
        <v>1282</v>
      </c>
      <c r="J24" s="209" t="s">
        <v>1288</v>
      </c>
    </row>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DF563-7F90-4C00-A6F3-6C98D7E9AB1C}">
  <sheetPr codeName="Sheet9">
    <tabColor theme="0" tint="-0.499984740745262"/>
  </sheetPr>
  <dimension ref="A1:L60"/>
  <sheetViews>
    <sheetView workbookViewId="0"/>
  </sheetViews>
  <sheetFormatPr defaultRowHeight="18" x14ac:dyDescent="0.55000000000000004"/>
  <cols>
    <col min="1" max="1" width="17.9140625" bestFit="1" customWidth="1"/>
    <col min="2" max="2" width="26.6640625" bestFit="1" customWidth="1"/>
    <col min="3" max="3" width="26.58203125" bestFit="1" customWidth="1"/>
    <col min="4" max="4" width="35.6640625" bestFit="1" customWidth="1"/>
    <col min="5" max="5" width="13.1640625" bestFit="1" customWidth="1"/>
    <col min="6" max="6" width="35" bestFit="1" customWidth="1"/>
    <col min="7" max="7" width="43.58203125" bestFit="1" customWidth="1"/>
    <col min="8" max="8" width="22.08203125" bestFit="1" customWidth="1"/>
    <col min="9" max="9" width="13.1640625" bestFit="1" customWidth="1"/>
    <col min="10" max="10" width="11.5" bestFit="1" customWidth="1"/>
    <col min="11" max="11" width="13.58203125" bestFit="1" customWidth="1"/>
    <col min="12" max="12" width="19.58203125" bestFit="1" customWidth="1"/>
  </cols>
  <sheetData>
    <row r="1" spans="1:12" x14ac:dyDescent="0.55000000000000004">
      <c r="A1" t="s">
        <v>119</v>
      </c>
      <c r="B1" t="s">
        <v>880</v>
      </c>
      <c r="C1" t="s">
        <v>881</v>
      </c>
      <c r="D1" t="s">
        <v>882</v>
      </c>
      <c r="E1" t="s">
        <v>883</v>
      </c>
      <c r="F1" t="s">
        <v>884</v>
      </c>
      <c r="G1" t="s">
        <v>885</v>
      </c>
      <c r="H1" t="s">
        <v>886</v>
      </c>
      <c r="I1" t="s">
        <v>887</v>
      </c>
      <c r="J1" t="s">
        <v>888</v>
      </c>
      <c r="K1" t="s">
        <v>889</v>
      </c>
      <c r="L1" t="s">
        <v>890</v>
      </c>
    </row>
    <row r="2" spans="1:12" x14ac:dyDescent="0.55000000000000004">
      <c r="A2" s="209" t="s">
        <v>132</v>
      </c>
      <c r="B2" s="209" t="s">
        <v>133</v>
      </c>
      <c r="C2" s="209" t="s">
        <v>133</v>
      </c>
      <c r="D2" s="209" t="s">
        <v>133</v>
      </c>
      <c r="E2" s="209" t="s">
        <v>133</v>
      </c>
      <c r="F2" s="209" t="s">
        <v>133</v>
      </c>
      <c r="G2" s="209" t="s">
        <v>133</v>
      </c>
      <c r="H2" s="209" t="s">
        <v>133</v>
      </c>
      <c r="I2" s="209" t="s">
        <v>133</v>
      </c>
      <c r="J2" s="209" t="s">
        <v>133</v>
      </c>
      <c r="K2" s="209" t="s">
        <v>133</v>
      </c>
      <c r="L2" s="209" t="s">
        <v>133</v>
      </c>
    </row>
    <row r="3" spans="1:12" x14ac:dyDescent="0.55000000000000004">
      <c r="A3" s="209" t="s">
        <v>891</v>
      </c>
      <c r="B3" s="209" t="s">
        <v>892</v>
      </c>
      <c r="C3" s="209" t="s">
        <v>893</v>
      </c>
      <c r="D3" s="209" t="s">
        <v>894</v>
      </c>
      <c r="E3" s="209" t="s">
        <v>895</v>
      </c>
      <c r="F3" s="209" t="s">
        <v>133</v>
      </c>
      <c r="G3" s="209" t="s">
        <v>133</v>
      </c>
      <c r="H3" s="209" t="s">
        <v>133</v>
      </c>
      <c r="I3" s="209" t="s">
        <v>133</v>
      </c>
      <c r="J3" s="209" t="s">
        <v>133</v>
      </c>
      <c r="K3" s="209" t="s">
        <v>133</v>
      </c>
      <c r="L3" s="209" t="s">
        <v>133</v>
      </c>
    </row>
    <row r="4" spans="1:12" x14ac:dyDescent="0.55000000000000004">
      <c r="A4" s="209" t="s">
        <v>896</v>
      </c>
      <c r="B4" s="209" t="s">
        <v>897</v>
      </c>
      <c r="C4" s="209" t="s">
        <v>898</v>
      </c>
      <c r="D4" s="209" t="s">
        <v>894</v>
      </c>
      <c r="E4" s="209" t="s">
        <v>899</v>
      </c>
      <c r="F4" s="209" t="s">
        <v>133</v>
      </c>
      <c r="G4" s="209" t="s">
        <v>133</v>
      </c>
      <c r="H4" s="209" t="s">
        <v>133</v>
      </c>
      <c r="I4" s="209" t="s">
        <v>133</v>
      </c>
      <c r="J4" s="209" t="s">
        <v>133</v>
      </c>
      <c r="K4" s="209" t="s">
        <v>133</v>
      </c>
      <c r="L4" s="209" t="s">
        <v>133</v>
      </c>
    </row>
    <row r="5" spans="1:12" x14ac:dyDescent="0.55000000000000004">
      <c r="A5" s="209" t="s">
        <v>900</v>
      </c>
      <c r="B5" s="209" t="s">
        <v>901</v>
      </c>
      <c r="C5" s="209" t="s">
        <v>902</v>
      </c>
      <c r="D5" s="209" t="s">
        <v>903</v>
      </c>
      <c r="E5" s="209" t="s">
        <v>904</v>
      </c>
      <c r="F5" s="209" t="s">
        <v>133</v>
      </c>
      <c r="G5" s="209" t="s">
        <v>133</v>
      </c>
      <c r="H5" s="209" t="s">
        <v>133</v>
      </c>
      <c r="I5" s="209" t="s">
        <v>133</v>
      </c>
      <c r="J5" s="209" t="s">
        <v>133</v>
      </c>
      <c r="K5" s="209" t="s">
        <v>133</v>
      </c>
      <c r="L5" s="209" t="s">
        <v>133</v>
      </c>
    </row>
    <row r="6" spans="1:12" x14ac:dyDescent="0.55000000000000004">
      <c r="A6" s="209" t="s">
        <v>905</v>
      </c>
      <c r="B6" s="209" t="s">
        <v>906</v>
      </c>
      <c r="C6" s="209" t="s">
        <v>907</v>
      </c>
      <c r="D6" s="209" t="s">
        <v>903</v>
      </c>
      <c r="E6" s="209" t="s">
        <v>908</v>
      </c>
      <c r="F6" s="209" t="s">
        <v>133</v>
      </c>
      <c r="G6" s="209" t="s">
        <v>133</v>
      </c>
      <c r="H6" s="209" t="s">
        <v>133</v>
      </c>
      <c r="I6" s="209" t="s">
        <v>133</v>
      </c>
      <c r="J6" s="209" t="s">
        <v>133</v>
      </c>
      <c r="K6" s="209" t="s">
        <v>133</v>
      </c>
      <c r="L6" s="209" t="s">
        <v>133</v>
      </c>
    </row>
    <row r="7" spans="1:12" x14ac:dyDescent="0.55000000000000004">
      <c r="A7" s="209" t="s">
        <v>909</v>
      </c>
      <c r="B7" s="209" t="s">
        <v>910</v>
      </c>
      <c r="C7" s="209" t="s">
        <v>911</v>
      </c>
      <c r="D7" s="209" t="s">
        <v>912</v>
      </c>
      <c r="E7" s="209" t="s">
        <v>913</v>
      </c>
      <c r="F7" s="209" t="s">
        <v>133</v>
      </c>
      <c r="G7" s="209" t="s">
        <v>133</v>
      </c>
      <c r="H7" s="209" t="s">
        <v>133</v>
      </c>
      <c r="I7" s="209" t="s">
        <v>133</v>
      </c>
      <c r="J7" s="209" t="s">
        <v>133</v>
      </c>
      <c r="K7" s="209" t="s">
        <v>133</v>
      </c>
      <c r="L7" s="209" t="s">
        <v>133</v>
      </c>
    </row>
    <row r="8" spans="1:12" x14ac:dyDescent="0.55000000000000004">
      <c r="A8" s="209" t="s">
        <v>914</v>
      </c>
      <c r="B8" s="209" t="s">
        <v>915</v>
      </c>
      <c r="C8" s="209" t="s">
        <v>916</v>
      </c>
      <c r="D8" s="209" t="s">
        <v>912</v>
      </c>
      <c r="E8" s="209" t="s">
        <v>917</v>
      </c>
      <c r="F8" s="209" t="s">
        <v>133</v>
      </c>
      <c r="G8" s="209" t="s">
        <v>133</v>
      </c>
      <c r="H8" s="209" t="s">
        <v>133</v>
      </c>
      <c r="I8" s="209" t="s">
        <v>133</v>
      </c>
      <c r="J8" s="209" t="s">
        <v>133</v>
      </c>
      <c r="K8" s="209" t="s">
        <v>133</v>
      </c>
      <c r="L8" s="209" t="s">
        <v>133</v>
      </c>
    </row>
    <row r="9" spans="1:12" x14ac:dyDescent="0.55000000000000004">
      <c r="A9" s="209" t="s">
        <v>918</v>
      </c>
      <c r="B9" s="209" t="s">
        <v>919</v>
      </c>
      <c r="C9" s="209" t="s">
        <v>920</v>
      </c>
      <c r="D9" s="209" t="s">
        <v>921</v>
      </c>
      <c r="E9" s="209" t="s">
        <v>922</v>
      </c>
      <c r="F9" s="209" t="s">
        <v>923</v>
      </c>
      <c r="G9" s="209" t="s">
        <v>133</v>
      </c>
      <c r="H9" s="209" t="s">
        <v>133</v>
      </c>
      <c r="I9" s="209" t="s">
        <v>133</v>
      </c>
      <c r="J9" s="209" t="s">
        <v>133</v>
      </c>
      <c r="K9" s="209" t="s">
        <v>133</v>
      </c>
      <c r="L9" s="209" t="s">
        <v>133</v>
      </c>
    </row>
    <row r="10" spans="1:12" x14ac:dyDescent="0.55000000000000004">
      <c r="A10" s="209" t="s">
        <v>924</v>
      </c>
      <c r="B10" s="209" t="s">
        <v>925</v>
      </c>
      <c r="C10" s="209" t="s">
        <v>926</v>
      </c>
      <c r="D10" s="209" t="s">
        <v>921</v>
      </c>
      <c r="E10" s="209" t="s">
        <v>927</v>
      </c>
      <c r="F10" s="209" t="s">
        <v>923</v>
      </c>
      <c r="G10" s="209" t="s">
        <v>133</v>
      </c>
      <c r="H10" s="209" t="s">
        <v>133</v>
      </c>
      <c r="I10" s="209" t="s">
        <v>133</v>
      </c>
      <c r="J10" s="209" t="s">
        <v>133</v>
      </c>
      <c r="K10" s="209" t="s">
        <v>133</v>
      </c>
      <c r="L10" s="209" t="s">
        <v>133</v>
      </c>
    </row>
    <row r="11" spans="1:12" x14ac:dyDescent="0.55000000000000004">
      <c r="A11" s="209" t="s">
        <v>928</v>
      </c>
      <c r="B11" s="209" t="s">
        <v>929</v>
      </c>
      <c r="C11" s="209" t="s">
        <v>930</v>
      </c>
      <c r="D11" s="209" t="s">
        <v>931</v>
      </c>
      <c r="E11" s="209" t="s">
        <v>932</v>
      </c>
      <c r="F11" s="209" t="s">
        <v>933</v>
      </c>
      <c r="G11" s="209" t="s">
        <v>133</v>
      </c>
      <c r="H11" s="209" t="s">
        <v>133</v>
      </c>
      <c r="I11" s="209" t="s">
        <v>133</v>
      </c>
      <c r="J11" s="209" t="s">
        <v>133</v>
      </c>
      <c r="K11" s="209" t="s">
        <v>133</v>
      </c>
      <c r="L11" s="209" t="s">
        <v>133</v>
      </c>
    </row>
    <row r="12" spans="1:12" x14ac:dyDescent="0.55000000000000004">
      <c r="A12" s="209" t="s">
        <v>934</v>
      </c>
      <c r="B12" s="209" t="s">
        <v>935</v>
      </c>
      <c r="C12" s="209" t="s">
        <v>936</v>
      </c>
      <c r="D12" s="209" t="s">
        <v>931</v>
      </c>
      <c r="E12" s="209" t="s">
        <v>937</v>
      </c>
      <c r="F12" s="209" t="s">
        <v>933</v>
      </c>
      <c r="G12" s="209" t="s">
        <v>133</v>
      </c>
      <c r="H12" s="209" t="s">
        <v>133</v>
      </c>
      <c r="I12" s="209" t="s">
        <v>133</v>
      </c>
      <c r="J12" s="209" t="s">
        <v>133</v>
      </c>
      <c r="K12" s="209" t="s">
        <v>133</v>
      </c>
      <c r="L12" s="209" t="s">
        <v>133</v>
      </c>
    </row>
    <row r="13" spans="1:12" x14ac:dyDescent="0.55000000000000004">
      <c r="A13" s="209" t="s">
        <v>938</v>
      </c>
      <c r="B13" s="209" t="s">
        <v>939</v>
      </c>
      <c r="C13" s="209" t="s">
        <v>940</v>
      </c>
      <c r="D13" s="209" t="s">
        <v>941</v>
      </c>
      <c r="E13" s="209" t="s">
        <v>942</v>
      </c>
      <c r="F13" s="209" t="s">
        <v>943</v>
      </c>
      <c r="G13" s="209" t="s">
        <v>133</v>
      </c>
      <c r="H13" s="209" t="s">
        <v>133</v>
      </c>
      <c r="I13" s="209" t="s">
        <v>133</v>
      </c>
      <c r="J13" s="209" t="s">
        <v>133</v>
      </c>
      <c r="K13" s="209" t="s">
        <v>133</v>
      </c>
      <c r="L13" s="209" t="s">
        <v>133</v>
      </c>
    </row>
    <row r="14" spans="1:12" x14ac:dyDescent="0.55000000000000004">
      <c r="A14" s="209" t="s">
        <v>944</v>
      </c>
      <c r="B14" s="209" t="s">
        <v>945</v>
      </c>
      <c r="C14" s="209" t="s">
        <v>946</v>
      </c>
      <c r="D14" s="209" t="s">
        <v>941</v>
      </c>
      <c r="E14" s="209" t="s">
        <v>947</v>
      </c>
      <c r="F14" s="209" t="s">
        <v>943</v>
      </c>
      <c r="G14" s="209" t="s">
        <v>133</v>
      </c>
      <c r="H14" s="209" t="s">
        <v>133</v>
      </c>
      <c r="I14" s="209" t="s">
        <v>133</v>
      </c>
      <c r="J14" s="209" t="s">
        <v>133</v>
      </c>
      <c r="K14" s="209" t="s">
        <v>133</v>
      </c>
      <c r="L14" s="209" t="s">
        <v>133</v>
      </c>
    </row>
    <row r="15" spans="1:12" x14ac:dyDescent="0.55000000000000004">
      <c r="A15" s="209" t="s">
        <v>948</v>
      </c>
      <c r="B15" s="209" t="s">
        <v>949</v>
      </c>
      <c r="C15" s="209" t="s">
        <v>950</v>
      </c>
      <c r="D15" s="209" t="s">
        <v>951</v>
      </c>
      <c r="E15" s="209" t="s">
        <v>952</v>
      </c>
      <c r="F15" s="209" t="s">
        <v>953</v>
      </c>
      <c r="G15" s="209" t="s">
        <v>133</v>
      </c>
      <c r="H15" s="209" t="s">
        <v>133</v>
      </c>
      <c r="I15" s="209" t="s">
        <v>133</v>
      </c>
      <c r="J15" s="209" t="s">
        <v>133</v>
      </c>
      <c r="K15" s="209" t="s">
        <v>133</v>
      </c>
      <c r="L15" s="209" t="s">
        <v>133</v>
      </c>
    </row>
    <row r="16" spans="1:12" x14ac:dyDescent="0.55000000000000004">
      <c r="A16" s="209" t="s">
        <v>954</v>
      </c>
      <c r="B16" s="209" t="s">
        <v>955</v>
      </c>
      <c r="C16" s="209" t="s">
        <v>956</v>
      </c>
      <c r="D16" s="209" t="s">
        <v>951</v>
      </c>
      <c r="E16" s="209" t="s">
        <v>957</v>
      </c>
      <c r="F16" s="209" t="s">
        <v>953</v>
      </c>
      <c r="G16" s="209" t="s">
        <v>133</v>
      </c>
      <c r="H16" s="209" t="s">
        <v>133</v>
      </c>
      <c r="I16" s="209" t="s">
        <v>133</v>
      </c>
      <c r="J16" s="209" t="s">
        <v>133</v>
      </c>
      <c r="K16" s="209" t="s">
        <v>133</v>
      </c>
      <c r="L16" s="209" t="s">
        <v>133</v>
      </c>
    </row>
    <row r="17" spans="1:12" x14ac:dyDescent="0.55000000000000004">
      <c r="A17" s="209" t="s">
        <v>958</v>
      </c>
      <c r="B17" s="209" t="s">
        <v>959</v>
      </c>
      <c r="C17" s="209" t="s">
        <v>960</v>
      </c>
      <c r="D17" s="209" t="s">
        <v>961</v>
      </c>
      <c r="E17" s="209" t="s">
        <v>962</v>
      </c>
      <c r="F17" s="209" t="s">
        <v>963</v>
      </c>
      <c r="G17" s="209" t="s">
        <v>133</v>
      </c>
      <c r="H17" s="209" t="s">
        <v>133</v>
      </c>
      <c r="I17" s="209" t="s">
        <v>133</v>
      </c>
      <c r="J17" s="209" t="s">
        <v>133</v>
      </c>
      <c r="K17" s="209" t="s">
        <v>133</v>
      </c>
      <c r="L17" s="209" t="s">
        <v>133</v>
      </c>
    </row>
    <row r="18" spans="1:12" x14ac:dyDescent="0.55000000000000004">
      <c r="A18" s="209" t="s">
        <v>964</v>
      </c>
      <c r="B18" s="209" t="s">
        <v>965</v>
      </c>
      <c r="C18" s="209" t="s">
        <v>966</v>
      </c>
      <c r="D18" s="209" t="s">
        <v>961</v>
      </c>
      <c r="E18" s="209" t="s">
        <v>967</v>
      </c>
      <c r="F18" s="209" t="s">
        <v>963</v>
      </c>
      <c r="G18" s="209" t="s">
        <v>133</v>
      </c>
      <c r="H18" s="209" t="s">
        <v>133</v>
      </c>
      <c r="I18" s="209" t="s">
        <v>133</v>
      </c>
      <c r="J18" s="209" t="s">
        <v>133</v>
      </c>
      <c r="K18" s="209" t="s">
        <v>133</v>
      </c>
      <c r="L18" s="209" t="s">
        <v>133</v>
      </c>
    </row>
    <row r="19" spans="1:12" x14ac:dyDescent="0.55000000000000004">
      <c r="A19" s="209" t="s">
        <v>968</v>
      </c>
      <c r="B19" s="209" t="s">
        <v>969</v>
      </c>
      <c r="C19" s="209" t="s">
        <v>970</v>
      </c>
      <c r="D19" s="209" t="s">
        <v>971</v>
      </c>
      <c r="E19" s="209" t="s">
        <v>972</v>
      </c>
      <c r="F19" s="209" t="s">
        <v>973</v>
      </c>
      <c r="G19" s="209" t="s">
        <v>133</v>
      </c>
      <c r="H19" s="209" t="s">
        <v>133</v>
      </c>
      <c r="I19" s="209" t="s">
        <v>133</v>
      </c>
      <c r="J19" s="209" t="s">
        <v>133</v>
      </c>
      <c r="K19" s="209" t="s">
        <v>133</v>
      </c>
      <c r="L19" s="209" t="s">
        <v>133</v>
      </c>
    </row>
    <row r="20" spans="1:12" x14ac:dyDescent="0.55000000000000004">
      <c r="A20" s="209" t="s">
        <v>974</v>
      </c>
      <c r="B20" s="209" t="s">
        <v>975</v>
      </c>
      <c r="C20" s="209" t="s">
        <v>976</v>
      </c>
      <c r="D20" s="209" t="s">
        <v>971</v>
      </c>
      <c r="E20" s="209" t="s">
        <v>977</v>
      </c>
      <c r="F20" s="209" t="s">
        <v>973</v>
      </c>
      <c r="G20" s="209" t="s">
        <v>133</v>
      </c>
      <c r="H20" s="209" t="s">
        <v>133</v>
      </c>
      <c r="I20" s="209" t="s">
        <v>133</v>
      </c>
      <c r="J20" s="209" t="s">
        <v>133</v>
      </c>
      <c r="K20" s="209" t="s">
        <v>133</v>
      </c>
      <c r="L20" s="209" t="s">
        <v>133</v>
      </c>
    </row>
    <row r="21" spans="1:12" x14ac:dyDescent="0.55000000000000004">
      <c r="A21" s="209" t="s">
        <v>978</v>
      </c>
      <c r="B21" s="209" t="s">
        <v>979</v>
      </c>
      <c r="C21" s="209" t="s">
        <v>980</v>
      </c>
      <c r="D21" s="209" t="s">
        <v>981</v>
      </c>
      <c r="E21" s="209" t="s">
        <v>982</v>
      </c>
      <c r="F21" s="209" t="s">
        <v>983</v>
      </c>
      <c r="G21" s="209" t="s">
        <v>133</v>
      </c>
      <c r="H21" s="209" t="s">
        <v>133</v>
      </c>
      <c r="I21" s="209" t="s">
        <v>133</v>
      </c>
      <c r="J21" s="209" t="s">
        <v>133</v>
      </c>
      <c r="K21" s="209" t="s">
        <v>133</v>
      </c>
      <c r="L21" s="209" t="s">
        <v>133</v>
      </c>
    </row>
    <row r="22" spans="1:12" x14ac:dyDescent="0.55000000000000004">
      <c r="A22" s="209" t="s">
        <v>984</v>
      </c>
      <c r="B22" s="209" t="s">
        <v>985</v>
      </c>
      <c r="C22" s="209" t="s">
        <v>986</v>
      </c>
      <c r="D22" s="209" t="s">
        <v>981</v>
      </c>
      <c r="E22" s="209" t="s">
        <v>987</v>
      </c>
      <c r="F22" s="209" t="s">
        <v>983</v>
      </c>
      <c r="G22" s="209" t="s">
        <v>133</v>
      </c>
      <c r="H22" s="209" t="s">
        <v>133</v>
      </c>
      <c r="I22" s="209" t="s">
        <v>133</v>
      </c>
      <c r="J22" s="209" t="s">
        <v>133</v>
      </c>
      <c r="K22" s="209" t="s">
        <v>133</v>
      </c>
      <c r="L22" s="209" t="s">
        <v>133</v>
      </c>
    </row>
    <row r="23" spans="1:12" x14ac:dyDescent="0.55000000000000004">
      <c r="A23" s="209" t="s">
        <v>5993</v>
      </c>
      <c r="B23" s="209" t="s">
        <v>1087</v>
      </c>
      <c r="C23" s="209" t="s">
        <v>1088</v>
      </c>
      <c r="D23" s="209" t="s">
        <v>1089</v>
      </c>
      <c r="E23" s="209" t="s">
        <v>1090</v>
      </c>
      <c r="F23" s="209" t="s">
        <v>1082</v>
      </c>
      <c r="G23" s="209" t="s">
        <v>6095</v>
      </c>
      <c r="H23" s="209" t="s">
        <v>6027</v>
      </c>
      <c r="I23" s="209" t="s">
        <v>6026</v>
      </c>
      <c r="J23" s="209" t="s">
        <v>5906</v>
      </c>
      <c r="K23" s="209" t="s">
        <v>6028</v>
      </c>
      <c r="L23" s="209" t="s">
        <v>6029</v>
      </c>
    </row>
    <row r="24" spans="1:12" x14ac:dyDescent="0.55000000000000004">
      <c r="A24" s="209" t="s">
        <v>5994</v>
      </c>
      <c r="B24" s="209" t="s">
        <v>1091</v>
      </c>
      <c r="C24" s="209" t="s">
        <v>1092</v>
      </c>
      <c r="D24" s="209" t="s">
        <v>1089</v>
      </c>
      <c r="E24" s="209" t="s">
        <v>1093</v>
      </c>
      <c r="F24" s="209" t="s">
        <v>1082</v>
      </c>
      <c r="G24" s="209" t="s">
        <v>6095</v>
      </c>
      <c r="H24" s="209" t="s">
        <v>6027</v>
      </c>
      <c r="I24" s="209" t="s">
        <v>6026</v>
      </c>
      <c r="J24" s="209" t="s">
        <v>6030</v>
      </c>
      <c r="K24" s="209" t="s">
        <v>6028</v>
      </c>
      <c r="L24" s="209" t="s">
        <v>6029</v>
      </c>
    </row>
    <row r="25" spans="1:12" x14ac:dyDescent="0.55000000000000004">
      <c r="A25" s="209" t="s">
        <v>988</v>
      </c>
      <c r="B25" s="209" t="s">
        <v>989</v>
      </c>
      <c r="C25" s="209" t="s">
        <v>990</v>
      </c>
      <c r="D25" s="209" t="s">
        <v>991</v>
      </c>
      <c r="E25" s="209" t="s">
        <v>992</v>
      </c>
      <c r="F25" s="209" t="s">
        <v>993</v>
      </c>
      <c r="G25" s="209" t="s">
        <v>994</v>
      </c>
      <c r="H25" s="209" t="s">
        <v>5989</v>
      </c>
      <c r="I25" s="209" t="s">
        <v>996</v>
      </c>
      <c r="J25" s="209" t="s">
        <v>997</v>
      </c>
      <c r="K25" s="209" t="s">
        <v>998</v>
      </c>
      <c r="L25" s="209" t="s">
        <v>999</v>
      </c>
    </row>
    <row r="26" spans="1:12" x14ac:dyDescent="0.55000000000000004">
      <c r="A26" s="209" t="s">
        <v>1000</v>
      </c>
      <c r="B26" s="209" t="s">
        <v>1001</v>
      </c>
      <c r="C26" s="209" t="s">
        <v>1002</v>
      </c>
      <c r="D26" s="209" t="s">
        <v>991</v>
      </c>
      <c r="E26" s="209" t="s">
        <v>1003</v>
      </c>
      <c r="F26" s="209" t="s">
        <v>993</v>
      </c>
      <c r="G26" s="209" t="s">
        <v>994</v>
      </c>
      <c r="H26" s="209" t="s">
        <v>5989</v>
      </c>
      <c r="I26" s="209" t="s">
        <v>996</v>
      </c>
      <c r="J26" s="209" t="s">
        <v>1004</v>
      </c>
      <c r="K26" s="209" t="s">
        <v>998</v>
      </c>
      <c r="L26" s="209" t="s">
        <v>999</v>
      </c>
    </row>
    <row r="27" spans="1:12" x14ac:dyDescent="0.55000000000000004">
      <c r="A27" s="209" t="s">
        <v>1005</v>
      </c>
      <c r="B27" s="209" t="s">
        <v>1006</v>
      </c>
      <c r="C27" s="209" t="s">
        <v>1007</v>
      </c>
      <c r="D27" s="209" t="s">
        <v>1008</v>
      </c>
      <c r="E27" s="209" t="s">
        <v>1009</v>
      </c>
      <c r="F27" s="209" t="s">
        <v>993</v>
      </c>
      <c r="G27" s="209" t="s">
        <v>1010</v>
      </c>
      <c r="H27" s="209" t="s">
        <v>5990</v>
      </c>
      <c r="I27" s="209" t="s">
        <v>1011</v>
      </c>
      <c r="J27" s="209" t="s">
        <v>997</v>
      </c>
      <c r="K27" s="209" t="s">
        <v>1012</v>
      </c>
      <c r="L27" s="209" t="s">
        <v>999</v>
      </c>
    </row>
    <row r="28" spans="1:12" x14ac:dyDescent="0.55000000000000004">
      <c r="A28" s="209" t="s">
        <v>1013</v>
      </c>
      <c r="B28" s="209" t="s">
        <v>1014</v>
      </c>
      <c r="C28" s="209" t="s">
        <v>1015</v>
      </c>
      <c r="D28" s="209" t="s">
        <v>1008</v>
      </c>
      <c r="E28" s="209" t="s">
        <v>1016</v>
      </c>
      <c r="F28" s="209" t="s">
        <v>993</v>
      </c>
      <c r="G28" s="209" t="s">
        <v>1010</v>
      </c>
      <c r="H28" s="209" t="s">
        <v>5990</v>
      </c>
      <c r="I28" s="209" t="s">
        <v>1011</v>
      </c>
      <c r="J28" s="209" t="s">
        <v>1004</v>
      </c>
      <c r="K28" s="209" t="s">
        <v>1012</v>
      </c>
      <c r="L28" s="209" t="s">
        <v>999</v>
      </c>
    </row>
    <row r="29" spans="1:12" x14ac:dyDescent="0.55000000000000004">
      <c r="A29" s="209" t="s">
        <v>1017</v>
      </c>
      <c r="B29" s="209" t="s">
        <v>1018</v>
      </c>
      <c r="C29" s="209" t="s">
        <v>1019</v>
      </c>
      <c r="D29" s="209" t="s">
        <v>1020</v>
      </c>
      <c r="E29" s="209" t="s">
        <v>1021</v>
      </c>
      <c r="F29" s="209" t="s">
        <v>1022</v>
      </c>
      <c r="G29" s="209" t="s">
        <v>133</v>
      </c>
      <c r="H29" s="209" t="s">
        <v>133</v>
      </c>
      <c r="I29" s="209" t="s">
        <v>133</v>
      </c>
      <c r="J29" s="209" t="s">
        <v>133</v>
      </c>
      <c r="K29" s="209" t="s">
        <v>133</v>
      </c>
      <c r="L29" s="209" t="s">
        <v>133</v>
      </c>
    </row>
    <row r="30" spans="1:12" x14ac:dyDescent="0.55000000000000004">
      <c r="A30" s="209" t="s">
        <v>1023</v>
      </c>
      <c r="B30" s="209" t="s">
        <v>1024</v>
      </c>
      <c r="C30" s="209" t="s">
        <v>1025</v>
      </c>
      <c r="D30" s="209" t="s">
        <v>1020</v>
      </c>
      <c r="E30" s="209" t="s">
        <v>1026</v>
      </c>
      <c r="F30" s="209" t="s">
        <v>1022</v>
      </c>
      <c r="G30" s="209" t="s">
        <v>133</v>
      </c>
      <c r="H30" s="209" t="s">
        <v>133</v>
      </c>
      <c r="I30" s="209" t="s">
        <v>133</v>
      </c>
      <c r="J30" s="209" t="s">
        <v>133</v>
      </c>
      <c r="K30" s="209" t="s">
        <v>133</v>
      </c>
      <c r="L30" s="209" t="s">
        <v>133</v>
      </c>
    </row>
    <row r="31" spans="1:12" x14ac:dyDescent="0.55000000000000004">
      <c r="A31" s="209" t="s">
        <v>1027</v>
      </c>
      <c r="B31" s="209" t="s">
        <v>1028</v>
      </c>
      <c r="C31" s="209" t="s">
        <v>1029</v>
      </c>
      <c r="D31" s="209" t="s">
        <v>1030</v>
      </c>
      <c r="E31" s="209" t="s">
        <v>1031</v>
      </c>
      <c r="F31" s="209" t="s">
        <v>1032</v>
      </c>
      <c r="G31" s="209" t="s">
        <v>133</v>
      </c>
      <c r="H31" s="209" t="s">
        <v>133</v>
      </c>
      <c r="I31" s="209" t="s">
        <v>133</v>
      </c>
      <c r="J31" s="209" t="s">
        <v>133</v>
      </c>
      <c r="K31" s="209" t="s">
        <v>133</v>
      </c>
      <c r="L31" s="209" t="s">
        <v>133</v>
      </c>
    </row>
    <row r="32" spans="1:12" x14ac:dyDescent="0.55000000000000004">
      <c r="A32" s="209" t="s">
        <v>1033</v>
      </c>
      <c r="B32" s="209" t="s">
        <v>1034</v>
      </c>
      <c r="C32" s="209" t="s">
        <v>1035</v>
      </c>
      <c r="D32" s="209" t="s">
        <v>1030</v>
      </c>
      <c r="E32" s="209" t="s">
        <v>1036</v>
      </c>
      <c r="F32" s="209" t="s">
        <v>1032</v>
      </c>
      <c r="G32" s="209" t="s">
        <v>133</v>
      </c>
      <c r="H32" s="209" t="s">
        <v>133</v>
      </c>
      <c r="I32" s="209" t="s">
        <v>133</v>
      </c>
      <c r="J32" s="209" t="s">
        <v>133</v>
      </c>
      <c r="K32" s="209" t="s">
        <v>133</v>
      </c>
      <c r="L32" s="209" t="s">
        <v>133</v>
      </c>
    </row>
    <row r="33" spans="1:12" x14ac:dyDescent="0.55000000000000004">
      <c r="A33" s="209" t="s">
        <v>1037</v>
      </c>
      <c r="B33" s="209" t="s">
        <v>1038</v>
      </c>
      <c r="C33" s="209" t="s">
        <v>1039</v>
      </c>
      <c r="D33" s="209" t="s">
        <v>1040</v>
      </c>
      <c r="E33" s="209" t="s">
        <v>1041</v>
      </c>
      <c r="F33" s="209" t="s">
        <v>1042</v>
      </c>
      <c r="G33" s="209" t="s">
        <v>133</v>
      </c>
      <c r="H33" s="209" t="s">
        <v>133</v>
      </c>
      <c r="I33" s="209" t="s">
        <v>133</v>
      </c>
      <c r="J33" s="209" t="s">
        <v>133</v>
      </c>
      <c r="K33" s="209" t="s">
        <v>133</v>
      </c>
      <c r="L33" s="209" t="s">
        <v>133</v>
      </c>
    </row>
    <row r="34" spans="1:12" x14ac:dyDescent="0.55000000000000004">
      <c r="A34" s="209" t="s">
        <v>1043</v>
      </c>
      <c r="B34" s="209" t="s">
        <v>1044</v>
      </c>
      <c r="C34" s="209" t="s">
        <v>1045</v>
      </c>
      <c r="D34" s="209" t="s">
        <v>1040</v>
      </c>
      <c r="E34" s="209" t="s">
        <v>1046</v>
      </c>
      <c r="F34" s="209" t="s">
        <v>1042</v>
      </c>
      <c r="G34" s="209" t="s">
        <v>133</v>
      </c>
      <c r="H34" s="209" t="s">
        <v>133</v>
      </c>
      <c r="I34" s="209" t="s">
        <v>133</v>
      </c>
      <c r="J34" s="209" t="s">
        <v>133</v>
      </c>
      <c r="K34" s="209" t="s">
        <v>133</v>
      </c>
      <c r="L34" s="209" t="s">
        <v>133</v>
      </c>
    </row>
    <row r="35" spans="1:12" x14ac:dyDescent="0.55000000000000004">
      <c r="A35" s="209" t="s">
        <v>1047</v>
      </c>
      <c r="B35" s="209" t="s">
        <v>1048</v>
      </c>
      <c r="C35" s="209" t="s">
        <v>1049</v>
      </c>
      <c r="D35" s="209" t="s">
        <v>1050</v>
      </c>
      <c r="E35" s="209" t="s">
        <v>1051</v>
      </c>
      <c r="F35" s="209" t="s">
        <v>1052</v>
      </c>
      <c r="G35" s="209" t="s">
        <v>133</v>
      </c>
      <c r="H35" s="209" t="s">
        <v>133</v>
      </c>
      <c r="I35" s="209" t="s">
        <v>133</v>
      </c>
      <c r="J35" s="209" t="s">
        <v>133</v>
      </c>
      <c r="K35" s="209" t="s">
        <v>133</v>
      </c>
      <c r="L35" s="209" t="s">
        <v>133</v>
      </c>
    </row>
    <row r="36" spans="1:12" x14ac:dyDescent="0.55000000000000004">
      <c r="A36" s="209" t="s">
        <v>1053</v>
      </c>
      <c r="B36" s="209" t="s">
        <v>1054</v>
      </c>
      <c r="C36" s="209" t="s">
        <v>1055</v>
      </c>
      <c r="D36" s="209" t="s">
        <v>1050</v>
      </c>
      <c r="E36" s="209" t="s">
        <v>1056</v>
      </c>
      <c r="F36" s="209" t="s">
        <v>1052</v>
      </c>
      <c r="G36" s="209" t="s">
        <v>133</v>
      </c>
      <c r="H36" s="209" t="s">
        <v>133</v>
      </c>
      <c r="I36" s="209" t="s">
        <v>133</v>
      </c>
      <c r="J36" s="209" t="s">
        <v>133</v>
      </c>
      <c r="K36" s="209" t="s">
        <v>133</v>
      </c>
      <c r="L36" s="209" t="s">
        <v>133</v>
      </c>
    </row>
    <row r="37" spans="1:12" x14ac:dyDescent="0.55000000000000004">
      <c r="A37" s="209" t="s">
        <v>1057</v>
      </c>
      <c r="B37" s="209" t="s">
        <v>1058</v>
      </c>
      <c r="C37" s="209" t="s">
        <v>1059</v>
      </c>
      <c r="D37" s="209" t="s">
        <v>1060</v>
      </c>
      <c r="E37" s="209" t="s">
        <v>1061</v>
      </c>
      <c r="F37" s="209" t="s">
        <v>1062</v>
      </c>
      <c r="G37" s="209" t="s">
        <v>133</v>
      </c>
      <c r="H37" s="209" t="s">
        <v>133</v>
      </c>
      <c r="I37" s="209" t="s">
        <v>133</v>
      </c>
      <c r="J37" s="209" t="s">
        <v>133</v>
      </c>
      <c r="K37" s="209" t="s">
        <v>133</v>
      </c>
      <c r="L37" s="209" t="s">
        <v>133</v>
      </c>
    </row>
    <row r="38" spans="1:12" x14ac:dyDescent="0.55000000000000004">
      <c r="A38" s="209" t="s">
        <v>1063</v>
      </c>
      <c r="B38" s="209" t="s">
        <v>1064</v>
      </c>
      <c r="C38" s="209" t="s">
        <v>1065</v>
      </c>
      <c r="D38" s="209" t="s">
        <v>1060</v>
      </c>
      <c r="E38" s="209" t="s">
        <v>1066</v>
      </c>
      <c r="F38" s="209" t="s">
        <v>1062</v>
      </c>
      <c r="G38" s="209" t="s">
        <v>133</v>
      </c>
      <c r="H38" s="209" t="s">
        <v>133</v>
      </c>
      <c r="I38" s="209" t="s">
        <v>133</v>
      </c>
      <c r="J38" s="209" t="s">
        <v>133</v>
      </c>
      <c r="K38" s="209" t="s">
        <v>133</v>
      </c>
      <c r="L38" s="209" t="s">
        <v>133</v>
      </c>
    </row>
    <row r="39" spans="1:12" x14ac:dyDescent="0.55000000000000004">
      <c r="A39" s="209" t="s">
        <v>1067</v>
      </c>
      <c r="B39" s="209" t="s">
        <v>1068</v>
      </c>
      <c r="C39" s="209" t="s">
        <v>1069</v>
      </c>
      <c r="D39" s="209" t="s">
        <v>1070</v>
      </c>
      <c r="E39" s="209" t="s">
        <v>1071</v>
      </c>
      <c r="F39" s="209" t="s">
        <v>1072</v>
      </c>
      <c r="G39" s="209" t="s">
        <v>133</v>
      </c>
      <c r="H39" s="209" t="s">
        <v>133</v>
      </c>
      <c r="I39" s="209" t="s">
        <v>133</v>
      </c>
      <c r="J39" s="209" t="s">
        <v>133</v>
      </c>
      <c r="K39" s="209" t="s">
        <v>133</v>
      </c>
      <c r="L39" s="209" t="s">
        <v>133</v>
      </c>
    </row>
    <row r="40" spans="1:12" x14ac:dyDescent="0.55000000000000004">
      <c r="A40" s="209" t="s">
        <v>1073</v>
      </c>
      <c r="B40" s="209" t="s">
        <v>1074</v>
      </c>
      <c r="C40" s="209" t="s">
        <v>1075</v>
      </c>
      <c r="D40" s="209" t="s">
        <v>1070</v>
      </c>
      <c r="E40" s="209" t="s">
        <v>1076</v>
      </c>
      <c r="F40" s="209" t="s">
        <v>1072</v>
      </c>
      <c r="G40" s="209" t="s">
        <v>133</v>
      </c>
      <c r="H40" s="209" t="s">
        <v>133</v>
      </c>
      <c r="I40" s="209" t="s">
        <v>133</v>
      </c>
      <c r="J40" s="209" t="s">
        <v>133</v>
      </c>
      <c r="K40" s="209" t="s">
        <v>133</v>
      </c>
      <c r="L40" s="209" t="s">
        <v>133</v>
      </c>
    </row>
    <row r="41" spans="1:12" x14ac:dyDescent="0.55000000000000004">
      <c r="A41" s="209" t="s">
        <v>1077</v>
      </c>
      <c r="B41" s="209" t="s">
        <v>1078</v>
      </c>
      <c r="C41" s="209" t="s">
        <v>1079</v>
      </c>
      <c r="D41" s="209" t="s">
        <v>1080</v>
      </c>
      <c r="E41" s="209" t="s">
        <v>1081</v>
      </c>
      <c r="F41" s="209" t="s">
        <v>1082</v>
      </c>
      <c r="G41" s="209" t="s">
        <v>133</v>
      </c>
      <c r="H41" s="209" t="s">
        <v>133</v>
      </c>
      <c r="I41" s="209" t="s">
        <v>133</v>
      </c>
      <c r="J41" s="209" t="s">
        <v>133</v>
      </c>
      <c r="K41" s="209" t="s">
        <v>133</v>
      </c>
      <c r="L41" s="209" t="s">
        <v>133</v>
      </c>
    </row>
    <row r="42" spans="1:12" x14ac:dyDescent="0.55000000000000004">
      <c r="A42" s="209" t="s">
        <v>1083</v>
      </c>
      <c r="B42" s="209" t="s">
        <v>1084</v>
      </c>
      <c r="C42" s="209" t="s">
        <v>1085</v>
      </c>
      <c r="D42" s="209" t="s">
        <v>1080</v>
      </c>
      <c r="E42" s="209" t="s">
        <v>1086</v>
      </c>
      <c r="F42" s="209" t="s">
        <v>1082</v>
      </c>
      <c r="G42" s="209" t="s">
        <v>133</v>
      </c>
      <c r="H42" s="209" t="s">
        <v>133</v>
      </c>
      <c r="I42" s="209" t="s">
        <v>133</v>
      </c>
      <c r="J42" s="209" t="s">
        <v>133</v>
      </c>
      <c r="K42" s="209" t="s">
        <v>133</v>
      </c>
      <c r="L42" s="209" t="s">
        <v>133</v>
      </c>
    </row>
    <row r="43" spans="1:12" x14ac:dyDescent="0.55000000000000004">
      <c r="A43" s="209" t="s">
        <v>6096</v>
      </c>
      <c r="B43" s="209" t="s">
        <v>6097</v>
      </c>
      <c r="C43" s="209" t="s">
        <v>6098</v>
      </c>
      <c r="D43" s="209" t="s">
        <v>6099</v>
      </c>
      <c r="E43" s="209" t="s">
        <v>6100</v>
      </c>
      <c r="F43" s="209" t="s">
        <v>6101</v>
      </c>
      <c r="G43" s="209" t="s">
        <v>1130</v>
      </c>
      <c r="H43" s="209" t="s">
        <v>6102</v>
      </c>
      <c r="I43" s="209" t="s">
        <v>6103</v>
      </c>
      <c r="J43" s="209" t="s">
        <v>1411</v>
      </c>
      <c r="K43" s="209" t="s">
        <v>6104</v>
      </c>
      <c r="L43" s="209" t="s">
        <v>1134</v>
      </c>
    </row>
    <row r="44" spans="1:12" x14ac:dyDescent="0.55000000000000004">
      <c r="A44" s="209" t="s">
        <v>6105</v>
      </c>
      <c r="B44" s="209" t="s">
        <v>6106</v>
      </c>
      <c r="C44" s="209" t="s">
        <v>6107</v>
      </c>
      <c r="D44" s="209" t="s">
        <v>6098</v>
      </c>
      <c r="E44" s="209" t="s">
        <v>6108</v>
      </c>
      <c r="F44" s="209" t="s">
        <v>6101</v>
      </c>
      <c r="G44" s="209" t="s">
        <v>1130</v>
      </c>
      <c r="H44" s="209" t="s">
        <v>6102</v>
      </c>
      <c r="I44" s="209" t="s">
        <v>6103</v>
      </c>
      <c r="J44" s="209" t="s">
        <v>1417</v>
      </c>
      <c r="K44" s="209" t="s">
        <v>6104</v>
      </c>
      <c r="L44" s="209" t="s">
        <v>1134</v>
      </c>
    </row>
    <row r="45" spans="1:12" x14ac:dyDescent="0.55000000000000004">
      <c r="A45" s="209" t="s">
        <v>1094</v>
      </c>
      <c r="B45" s="209" t="s">
        <v>1095</v>
      </c>
      <c r="C45" s="209" t="s">
        <v>1096</v>
      </c>
      <c r="D45" s="209" t="s">
        <v>1097</v>
      </c>
      <c r="E45" s="209" t="s">
        <v>1098</v>
      </c>
      <c r="F45" s="209" t="s">
        <v>1099</v>
      </c>
      <c r="G45" s="209" t="s">
        <v>133</v>
      </c>
      <c r="H45" s="209" t="s">
        <v>133</v>
      </c>
      <c r="I45" s="209" t="s">
        <v>133</v>
      </c>
      <c r="J45" s="209" t="s">
        <v>133</v>
      </c>
      <c r="K45" s="209" t="s">
        <v>133</v>
      </c>
      <c r="L45" s="209" t="s">
        <v>133</v>
      </c>
    </row>
    <row r="46" spans="1:12" x14ac:dyDescent="0.55000000000000004">
      <c r="A46" s="209" t="s">
        <v>1100</v>
      </c>
      <c r="B46" s="209" t="s">
        <v>1101</v>
      </c>
      <c r="C46" s="209" t="s">
        <v>1102</v>
      </c>
      <c r="D46" s="209" t="s">
        <v>1097</v>
      </c>
      <c r="E46" s="209" t="s">
        <v>1103</v>
      </c>
      <c r="F46" s="209" t="s">
        <v>1099</v>
      </c>
      <c r="G46" s="209" t="s">
        <v>133</v>
      </c>
      <c r="H46" s="209" t="s">
        <v>133</v>
      </c>
      <c r="I46" s="209" t="s">
        <v>133</v>
      </c>
      <c r="J46" s="209" t="s">
        <v>133</v>
      </c>
      <c r="K46" s="209" t="s">
        <v>133</v>
      </c>
      <c r="L46" s="209" t="s">
        <v>133</v>
      </c>
    </row>
    <row r="47" spans="1:12" x14ac:dyDescent="0.55000000000000004">
      <c r="A47" s="209" t="s">
        <v>1104</v>
      </c>
      <c r="B47" s="209" t="s">
        <v>1105</v>
      </c>
      <c r="C47" s="209" t="s">
        <v>1106</v>
      </c>
      <c r="D47" s="209" t="s">
        <v>1107</v>
      </c>
      <c r="E47" s="209" t="s">
        <v>1108</v>
      </c>
      <c r="F47" s="209" t="s">
        <v>1109</v>
      </c>
      <c r="G47" s="209" t="s">
        <v>133</v>
      </c>
      <c r="H47" s="209" t="s">
        <v>133</v>
      </c>
      <c r="I47" s="209" t="s">
        <v>133</v>
      </c>
      <c r="J47" s="209" t="s">
        <v>133</v>
      </c>
      <c r="K47" s="209" t="s">
        <v>133</v>
      </c>
      <c r="L47" s="209" t="s">
        <v>133</v>
      </c>
    </row>
    <row r="48" spans="1:12" x14ac:dyDescent="0.55000000000000004">
      <c r="A48" s="209" t="s">
        <v>1110</v>
      </c>
      <c r="B48" s="209" t="s">
        <v>1111</v>
      </c>
      <c r="C48" s="209" t="s">
        <v>1112</v>
      </c>
      <c r="D48" s="209" t="s">
        <v>1107</v>
      </c>
      <c r="E48" s="209" t="s">
        <v>1113</v>
      </c>
      <c r="F48" s="209" t="s">
        <v>1109</v>
      </c>
      <c r="G48" s="209" t="s">
        <v>133</v>
      </c>
      <c r="H48" s="209" t="s">
        <v>133</v>
      </c>
      <c r="I48" s="209" t="s">
        <v>133</v>
      </c>
      <c r="J48" s="209" t="s">
        <v>133</v>
      </c>
      <c r="K48" s="209" t="s">
        <v>133</v>
      </c>
      <c r="L48" s="209" t="s">
        <v>133</v>
      </c>
    </row>
    <row r="49" spans="1:12" x14ac:dyDescent="0.55000000000000004">
      <c r="A49" s="209" t="s">
        <v>1114</v>
      </c>
      <c r="B49" s="209" t="s">
        <v>1115</v>
      </c>
      <c r="C49" s="209" t="s">
        <v>1116</v>
      </c>
      <c r="D49" s="209" t="s">
        <v>1117</v>
      </c>
      <c r="E49" s="209" t="s">
        <v>1118</v>
      </c>
      <c r="F49" s="209" t="s">
        <v>1119</v>
      </c>
      <c r="G49" s="209" t="s">
        <v>133</v>
      </c>
      <c r="H49" s="209" t="s">
        <v>133</v>
      </c>
      <c r="I49" s="209" t="s">
        <v>133</v>
      </c>
      <c r="J49" s="209" t="s">
        <v>133</v>
      </c>
      <c r="K49" s="209" t="s">
        <v>133</v>
      </c>
      <c r="L49" s="209" t="s">
        <v>133</v>
      </c>
    </row>
    <row r="50" spans="1:12" x14ac:dyDescent="0.55000000000000004">
      <c r="A50" s="209" t="s">
        <v>1120</v>
      </c>
      <c r="B50" s="209" t="s">
        <v>1121</v>
      </c>
      <c r="C50" s="209" t="s">
        <v>1122</v>
      </c>
      <c r="D50" s="209" t="s">
        <v>1117</v>
      </c>
      <c r="E50" s="209" t="s">
        <v>1123</v>
      </c>
      <c r="F50" s="209" t="s">
        <v>1119</v>
      </c>
      <c r="G50" s="209" t="s">
        <v>133</v>
      </c>
      <c r="H50" s="209" t="s">
        <v>133</v>
      </c>
      <c r="I50" s="209" t="s">
        <v>133</v>
      </c>
      <c r="J50" s="209" t="s">
        <v>133</v>
      </c>
      <c r="K50" s="209" t="s">
        <v>133</v>
      </c>
      <c r="L50" s="209" t="s">
        <v>133</v>
      </c>
    </row>
    <row r="51" spans="1:12" x14ac:dyDescent="0.55000000000000004">
      <c r="A51" s="209" t="s">
        <v>1124</v>
      </c>
      <c r="B51" s="209" t="s">
        <v>1125</v>
      </c>
      <c r="C51" s="209" t="s">
        <v>1126</v>
      </c>
      <c r="D51" s="209" t="s">
        <v>1127</v>
      </c>
      <c r="E51" s="209" t="s">
        <v>1128</v>
      </c>
      <c r="F51" s="209" t="s">
        <v>1129</v>
      </c>
      <c r="G51" s="209" t="s">
        <v>1130</v>
      </c>
      <c r="H51" s="209" t="s">
        <v>1131</v>
      </c>
      <c r="I51" s="209" t="s">
        <v>1132</v>
      </c>
      <c r="J51" s="209" t="s">
        <v>997</v>
      </c>
      <c r="K51" s="209" t="s">
        <v>1133</v>
      </c>
      <c r="L51" s="209" t="s">
        <v>1134</v>
      </c>
    </row>
    <row r="52" spans="1:12" x14ac:dyDescent="0.55000000000000004">
      <c r="A52" s="209" t="s">
        <v>1135</v>
      </c>
      <c r="B52" s="209" t="s">
        <v>1136</v>
      </c>
      <c r="C52" s="209" t="s">
        <v>1137</v>
      </c>
      <c r="D52" s="209" t="s">
        <v>1127</v>
      </c>
      <c r="E52" s="209" t="s">
        <v>1138</v>
      </c>
      <c r="F52" s="209" t="s">
        <v>1129</v>
      </c>
      <c r="G52" s="209" t="s">
        <v>1130</v>
      </c>
      <c r="H52" s="209" t="s">
        <v>1131</v>
      </c>
      <c r="I52" s="209" t="s">
        <v>1132</v>
      </c>
      <c r="J52" s="209" t="s">
        <v>1004</v>
      </c>
      <c r="K52" s="209" t="s">
        <v>1133</v>
      </c>
      <c r="L52" s="209" t="s">
        <v>1134</v>
      </c>
    </row>
    <row r="53" spans="1:12" x14ac:dyDescent="0.55000000000000004">
      <c r="A53" s="209" t="s">
        <v>1139</v>
      </c>
      <c r="B53" s="209" t="s">
        <v>1140</v>
      </c>
      <c r="C53" s="209" t="s">
        <v>1141</v>
      </c>
      <c r="D53" s="209" t="s">
        <v>1142</v>
      </c>
      <c r="E53" s="209" t="s">
        <v>1143</v>
      </c>
      <c r="F53" s="209" t="s">
        <v>1144</v>
      </c>
      <c r="G53" s="209" t="s">
        <v>1145</v>
      </c>
      <c r="H53" s="209" t="s">
        <v>995</v>
      </c>
      <c r="I53" s="209" t="s">
        <v>1146</v>
      </c>
      <c r="J53" s="209" t="s">
        <v>1147</v>
      </c>
      <c r="K53" s="209" t="s">
        <v>1148</v>
      </c>
      <c r="L53" s="209" t="s">
        <v>1149</v>
      </c>
    </row>
    <row r="54" spans="1:12" x14ac:dyDescent="0.55000000000000004">
      <c r="A54" s="209" t="s">
        <v>1150</v>
      </c>
      <c r="B54" s="209" t="s">
        <v>1151</v>
      </c>
      <c r="C54" s="209" t="s">
        <v>1152</v>
      </c>
      <c r="D54" s="209" t="s">
        <v>1142</v>
      </c>
      <c r="E54" s="209" t="s">
        <v>1153</v>
      </c>
      <c r="F54" s="209" t="s">
        <v>1144</v>
      </c>
      <c r="G54" s="209" t="s">
        <v>1145</v>
      </c>
      <c r="H54" s="209" t="s">
        <v>995</v>
      </c>
      <c r="I54" s="209" t="s">
        <v>1146</v>
      </c>
      <c r="J54" s="209" t="s">
        <v>1154</v>
      </c>
      <c r="K54" s="209" t="s">
        <v>1148</v>
      </c>
      <c r="L54" s="209" t="s">
        <v>1149</v>
      </c>
    </row>
    <row r="55" spans="1:12" x14ac:dyDescent="0.55000000000000004">
      <c r="A55" s="209" t="s">
        <v>1155</v>
      </c>
      <c r="B55" s="209" t="s">
        <v>1156</v>
      </c>
      <c r="C55" s="209" t="s">
        <v>1157</v>
      </c>
      <c r="D55" s="209" t="s">
        <v>1158</v>
      </c>
      <c r="E55" s="209" t="s">
        <v>1159</v>
      </c>
      <c r="F55" s="209" t="s">
        <v>1160</v>
      </c>
      <c r="G55" s="209" t="s">
        <v>1145</v>
      </c>
      <c r="H55" s="209" t="s">
        <v>133</v>
      </c>
      <c r="I55" s="209" t="s">
        <v>133</v>
      </c>
      <c r="J55" s="209" t="s">
        <v>133</v>
      </c>
      <c r="K55" s="209" t="s">
        <v>133</v>
      </c>
      <c r="L55" s="209" t="s">
        <v>133</v>
      </c>
    </row>
    <row r="56" spans="1:12" x14ac:dyDescent="0.55000000000000004">
      <c r="A56" s="209" t="s">
        <v>1161</v>
      </c>
      <c r="B56" s="209" t="s">
        <v>1162</v>
      </c>
      <c r="C56" s="209" t="s">
        <v>1163</v>
      </c>
      <c r="D56" s="209" t="s">
        <v>1158</v>
      </c>
      <c r="E56" s="209" t="s">
        <v>1164</v>
      </c>
      <c r="F56" s="209" t="s">
        <v>1160</v>
      </c>
      <c r="G56" s="209" t="s">
        <v>1145</v>
      </c>
      <c r="H56" s="209" t="s">
        <v>133</v>
      </c>
      <c r="I56" s="209" t="s">
        <v>133</v>
      </c>
      <c r="J56" s="209" t="s">
        <v>133</v>
      </c>
      <c r="K56" s="209" t="s">
        <v>133</v>
      </c>
      <c r="L56" s="209" t="s">
        <v>133</v>
      </c>
    </row>
    <row r="57" spans="1:12" x14ac:dyDescent="0.55000000000000004">
      <c r="A57" s="209" t="s">
        <v>1165</v>
      </c>
      <c r="B57" s="209" t="s">
        <v>1166</v>
      </c>
      <c r="C57" s="209" t="s">
        <v>1167</v>
      </c>
      <c r="D57" s="209" t="s">
        <v>1168</v>
      </c>
      <c r="E57" s="209" t="s">
        <v>1169</v>
      </c>
      <c r="F57" s="209" t="s">
        <v>1170</v>
      </c>
      <c r="G57" s="209" t="s">
        <v>133</v>
      </c>
      <c r="H57" s="209" t="s">
        <v>133</v>
      </c>
      <c r="I57" s="209" t="s">
        <v>133</v>
      </c>
      <c r="J57" s="209" t="s">
        <v>133</v>
      </c>
      <c r="K57" s="209" t="s">
        <v>133</v>
      </c>
      <c r="L57" s="209" t="s">
        <v>133</v>
      </c>
    </row>
    <row r="58" spans="1:12" x14ac:dyDescent="0.55000000000000004">
      <c r="A58" s="209" t="s">
        <v>1171</v>
      </c>
      <c r="B58" s="209" t="s">
        <v>1172</v>
      </c>
      <c r="C58" s="209" t="s">
        <v>1173</v>
      </c>
      <c r="D58" s="209" t="s">
        <v>1168</v>
      </c>
      <c r="E58" s="209" t="s">
        <v>1174</v>
      </c>
      <c r="F58" s="209" t="s">
        <v>1170</v>
      </c>
      <c r="G58" s="209" t="s">
        <v>133</v>
      </c>
      <c r="H58" s="209" t="s">
        <v>133</v>
      </c>
      <c r="I58" s="209" t="s">
        <v>133</v>
      </c>
      <c r="J58" s="209" t="s">
        <v>133</v>
      </c>
      <c r="K58" s="209" t="s">
        <v>133</v>
      </c>
      <c r="L58" s="209" t="s">
        <v>133</v>
      </c>
    </row>
    <row r="59" spans="1:12" x14ac:dyDescent="0.55000000000000004">
      <c r="A59" s="209" t="s">
        <v>1175</v>
      </c>
      <c r="B59" s="209" t="s">
        <v>1176</v>
      </c>
      <c r="C59" s="209" t="s">
        <v>1177</v>
      </c>
      <c r="D59" s="209" t="s">
        <v>1178</v>
      </c>
      <c r="E59" s="209" t="s">
        <v>1179</v>
      </c>
      <c r="F59" s="209" t="s">
        <v>1180</v>
      </c>
      <c r="G59" s="209" t="s">
        <v>133</v>
      </c>
      <c r="H59" s="209" t="s">
        <v>133</v>
      </c>
      <c r="I59" s="209" t="s">
        <v>133</v>
      </c>
      <c r="J59" s="209" t="s">
        <v>133</v>
      </c>
      <c r="K59" s="209" t="s">
        <v>133</v>
      </c>
      <c r="L59" s="209" t="s">
        <v>133</v>
      </c>
    </row>
    <row r="60" spans="1:12" x14ac:dyDescent="0.55000000000000004">
      <c r="A60" s="209" t="s">
        <v>1181</v>
      </c>
      <c r="B60" s="209" t="s">
        <v>1182</v>
      </c>
      <c r="C60" s="209" t="s">
        <v>1183</v>
      </c>
      <c r="D60" s="209" t="s">
        <v>1178</v>
      </c>
      <c r="E60" s="209" t="s">
        <v>1184</v>
      </c>
      <c r="F60" s="209" t="s">
        <v>1180</v>
      </c>
      <c r="G60" s="209" t="s">
        <v>133</v>
      </c>
      <c r="H60" s="209" t="s">
        <v>133</v>
      </c>
      <c r="I60" s="209" t="s">
        <v>133</v>
      </c>
      <c r="J60" s="209" t="s">
        <v>133</v>
      </c>
      <c r="K60" s="209" t="s">
        <v>133</v>
      </c>
      <c r="L60" s="209" t="s">
        <v>133</v>
      </c>
    </row>
  </sheetData>
  <phoneticPr fontId="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3E6A1-A609-487B-9FBB-0EEC6C8885BA}">
  <sheetPr codeName="Sheet10">
    <tabColor theme="0" tint="-0.499984740745262"/>
  </sheetPr>
  <dimension ref="A1:M96"/>
  <sheetViews>
    <sheetView workbookViewId="0">
      <selection sqref="A1:M92"/>
    </sheetView>
  </sheetViews>
  <sheetFormatPr defaultRowHeight="18" x14ac:dyDescent="0.55000000000000004"/>
  <cols>
    <col min="1" max="1" width="17.5" bestFit="1" customWidth="1"/>
    <col min="2" max="2" width="13.1640625" bestFit="1" customWidth="1"/>
    <col min="3" max="3" width="14.1640625" bestFit="1" customWidth="1"/>
    <col min="4" max="4" width="13.1640625" bestFit="1" customWidth="1"/>
    <col min="5" max="5" width="14.1640625" bestFit="1" customWidth="1"/>
    <col min="6" max="6" width="34" bestFit="1" customWidth="1"/>
    <col min="7" max="7" width="49.5" bestFit="1" customWidth="1"/>
    <col min="8" max="8" width="35.83203125" bestFit="1" customWidth="1"/>
    <col min="9" max="9" width="37.08203125" bestFit="1" customWidth="1"/>
    <col min="10" max="10" width="37.1640625" bestFit="1" customWidth="1"/>
    <col min="11" max="11" width="48.08203125" bestFit="1" customWidth="1"/>
    <col min="12" max="12" width="44.08203125" bestFit="1" customWidth="1"/>
    <col min="13" max="13" width="43.9140625" bestFit="1" customWidth="1"/>
  </cols>
  <sheetData>
    <row r="1" spans="1:13" x14ac:dyDescent="0.55000000000000004">
      <c r="A1" t="s">
        <v>119</v>
      </c>
      <c r="B1" t="s">
        <v>120</v>
      </c>
      <c r="C1" t="s">
        <v>121</v>
      </c>
      <c r="D1" t="s">
        <v>122</v>
      </c>
      <c r="E1" t="s">
        <v>123</v>
      </c>
      <c r="F1" t="s">
        <v>124</v>
      </c>
      <c r="G1" t="s">
        <v>125</v>
      </c>
      <c r="H1" t="s">
        <v>126</v>
      </c>
      <c r="I1" t="s">
        <v>127</v>
      </c>
      <c r="J1" t="s">
        <v>128</v>
      </c>
      <c r="K1" t="s">
        <v>129</v>
      </c>
      <c r="L1" t="s">
        <v>130</v>
      </c>
      <c r="M1" t="s">
        <v>131</v>
      </c>
    </row>
    <row r="2" spans="1:13" x14ac:dyDescent="0.55000000000000004">
      <c r="A2" s="209" t="s">
        <v>132</v>
      </c>
      <c r="B2" s="209" t="s">
        <v>133</v>
      </c>
      <c r="C2" s="209" t="s">
        <v>133</v>
      </c>
      <c r="D2" s="209" t="s">
        <v>133</v>
      </c>
      <c r="E2" s="209" t="s">
        <v>133</v>
      </c>
      <c r="F2" s="209" t="s">
        <v>133</v>
      </c>
      <c r="G2" s="209" t="s">
        <v>133</v>
      </c>
      <c r="H2" s="209" t="s">
        <v>133</v>
      </c>
      <c r="I2" s="209" t="s">
        <v>133</v>
      </c>
      <c r="J2" s="209" t="s">
        <v>133</v>
      </c>
      <c r="K2" s="209" t="s">
        <v>133</v>
      </c>
      <c r="L2" s="209" t="s">
        <v>133</v>
      </c>
      <c r="M2" s="209" t="s">
        <v>133</v>
      </c>
    </row>
    <row r="3" spans="1:13" x14ac:dyDescent="0.55000000000000004">
      <c r="A3" s="209" t="s">
        <v>134</v>
      </c>
      <c r="B3" s="209" t="s">
        <v>135</v>
      </c>
      <c r="C3" s="209" t="s">
        <v>136</v>
      </c>
      <c r="D3" s="209" t="s">
        <v>137</v>
      </c>
      <c r="E3" s="209" t="s">
        <v>138</v>
      </c>
      <c r="F3" s="209" t="s">
        <v>139</v>
      </c>
      <c r="G3" s="209" t="s">
        <v>140</v>
      </c>
      <c r="H3" s="209" t="s">
        <v>141</v>
      </c>
      <c r="I3" s="209" t="s">
        <v>142</v>
      </c>
      <c r="J3" s="209" t="s">
        <v>143</v>
      </c>
      <c r="K3" s="209" t="s">
        <v>144</v>
      </c>
      <c r="L3" s="209" t="s">
        <v>145</v>
      </c>
      <c r="M3" s="209" t="s">
        <v>146</v>
      </c>
    </row>
    <row r="4" spans="1:13" x14ac:dyDescent="0.55000000000000004">
      <c r="A4" s="209" t="s">
        <v>147</v>
      </c>
      <c r="B4" s="209" t="s">
        <v>148</v>
      </c>
      <c r="C4" s="209" t="s">
        <v>149</v>
      </c>
      <c r="D4" s="209" t="s">
        <v>150</v>
      </c>
      <c r="E4" s="209" t="s">
        <v>151</v>
      </c>
      <c r="F4" s="209" t="s">
        <v>139</v>
      </c>
      <c r="G4" s="209" t="s">
        <v>152</v>
      </c>
      <c r="H4" s="209" t="s">
        <v>141</v>
      </c>
      <c r="I4" s="209" t="s">
        <v>142</v>
      </c>
      <c r="J4" s="209" t="s">
        <v>143</v>
      </c>
      <c r="K4" s="209" t="s">
        <v>144</v>
      </c>
      <c r="L4" s="209" t="s">
        <v>153</v>
      </c>
      <c r="M4" s="209" t="s">
        <v>146</v>
      </c>
    </row>
    <row r="5" spans="1:13" x14ac:dyDescent="0.55000000000000004">
      <c r="A5" s="209" t="s">
        <v>154</v>
      </c>
      <c r="B5" s="209" t="s">
        <v>155</v>
      </c>
      <c r="C5" s="209" t="s">
        <v>156</v>
      </c>
      <c r="D5" s="209" t="s">
        <v>157</v>
      </c>
      <c r="E5" s="209" t="s">
        <v>158</v>
      </c>
      <c r="F5" s="209" t="s">
        <v>159</v>
      </c>
      <c r="G5" s="209" t="s">
        <v>160</v>
      </c>
      <c r="H5" s="209" t="s">
        <v>161</v>
      </c>
      <c r="I5" s="209" t="s">
        <v>162</v>
      </c>
      <c r="J5" s="209" t="s">
        <v>163</v>
      </c>
      <c r="K5" s="209" t="s">
        <v>164</v>
      </c>
      <c r="L5" s="209" t="s">
        <v>165</v>
      </c>
      <c r="M5" s="209" t="s">
        <v>166</v>
      </c>
    </row>
    <row r="6" spans="1:13" x14ac:dyDescent="0.55000000000000004">
      <c r="A6" s="209" t="s">
        <v>167</v>
      </c>
      <c r="B6" s="209" t="s">
        <v>168</v>
      </c>
      <c r="C6" s="209" t="s">
        <v>169</v>
      </c>
      <c r="D6" s="209" t="s">
        <v>170</v>
      </c>
      <c r="E6" s="209" t="s">
        <v>171</v>
      </c>
      <c r="F6" s="209" t="s">
        <v>159</v>
      </c>
      <c r="G6" s="209" t="s">
        <v>172</v>
      </c>
      <c r="H6" s="209" t="s">
        <v>161</v>
      </c>
      <c r="I6" s="209" t="s">
        <v>162</v>
      </c>
      <c r="J6" s="209" t="s">
        <v>163</v>
      </c>
      <c r="K6" s="209" t="s">
        <v>164</v>
      </c>
      <c r="L6" s="209" t="s">
        <v>173</v>
      </c>
      <c r="M6" s="209" t="s">
        <v>166</v>
      </c>
    </row>
    <row r="7" spans="1:13" x14ac:dyDescent="0.55000000000000004">
      <c r="A7" s="209" t="s">
        <v>174</v>
      </c>
      <c r="B7" s="209" t="s">
        <v>175</v>
      </c>
      <c r="C7" s="209" t="s">
        <v>176</v>
      </c>
      <c r="D7" s="209" t="s">
        <v>177</v>
      </c>
      <c r="E7" s="209" t="s">
        <v>178</v>
      </c>
      <c r="F7" s="209" t="s">
        <v>179</v>
      </c>
      <c r="G7" s="209" t="s">
        <v>180</v>
      </c>
      <c r="H7" s="209" t="s">
        <v>181</v>
      </c>
      <c r="I7" s="209" t="s">
        <v>182</v>
      </c>
      <c r="J7" s="209" t="s">
        <v>183</v>
      </c>
      <c r="K7" s="209" t="s">
        <v>184</v>
      </c>
      <c r="L7" s="209" t="s">
        <v>185</v>
      </c>
      <c r="M7" s="209" t="s">
        <v>186</v>
      </c>
    </row>
    <row r="8" spans="1:13" x14ac:dyDescent="0.55000000000000004">
      <c r="A8" s="209" t="s">
        <v>187</v>
      </c>
      <c r="B8" s="209" t="s">
        <v>188</v>
      </c>
      <c r="C8" s="209" t="s">
        <v>189</v>
      </c>
      <c r="D8" s="209" t="s">
        <v>190</v>
      </c>
      <c r="E8" s="209" t="s">
        <v>191</v>
      </c>
      <c r="F8" s="209" t="s">
        <v>179</v>
      </c>
      <c r="G8" s="209" t="s">
        <v>192</v>
      </c>
      <c r="H8" s="209" t="s">
        <v>181</v>
      </c>
      <c r="I8" s="209" t="s">
        <v>182</v>
      </c>
      <c r="J8" s="209" t="s">
        <v>183</v>
      </c>
      <c r="K8" s="209" t="s">
        <v>184</v>
      </c>
      <c r="L8" s="209" t="s">
        <v>193</v>
      </c>
      <c r="M8" s="209" t="s">
        <v>186</v>
      </c>
    </row>
    <row r="9" spans="1:13" x14ac:dyDescent="0.55000000000000004">
      <c r="A9" s="209" t="s">
        <v>194</v>
      </c>
      <c r="B9" s="209" t="s">
        <v>195</v>
      </c>
      <c r="C9" s="209" t="s">
        <v>196</v>
      </c>
      <c r="D9" s="209" t="s">
        <v>197</v>
      </c>
      <c r="E9" s="209" t="s">
        <v>198</v>
      </c>
      <c r="F9" s="209" t="s">
        <v>199</v>
      </c>
      <c r="G9" s="209" t="s">
        <v>200</v>
      </c>
      <c r="H9" s="209" t="s">
        <v>201</v>
      </c>
      <c r="I9" s="209" t="s">
        <v>202</v>
      </c>
      <c r="J9" s="209" t="s">
        <v>203</v>
      </c>
      <c r="K9" s="209" t="s">
        <v>204</v>
      </c>
      <c r="L9" s="209" t="s">
        <v>205</v>
      </c>
      <c r="M9" s="209" t="s">
        <v>206</v>
      </c>
    </row>
    <row r="10" spans="1:13" x14ac:dyDescent="0.55000000000000004">
      <c r="A10" s="209" t="s">
        <v>207</v>
      </c>
      <c r="B10" s="209" t="s">
        <v>208</v>
      </c>
      <c r="C10" s="209" t="s">
        <v>209</v>
      </c>
      <c r="D10" s="209" t="s">
        <v>210</v>
      </c>
      <c r="E10" s="209" t="s">
        <v>211</v>
      </c>
      <c r="F10" s="209" t="s">
        <v>199</v>
      </c>
      <c r="G10" s="209" t="s">
        <v>212</v>
      </c>
      <c r="H10" s="209" t="s">
        <v>201</v>
      </c>
      <c r="I10" s="209" t="s">
        <v>202</v>
      </c>
      <c r="J10" s="209" t="s">
        <v>203</v>
      </c>
      <c r="K10" s="209" t="s">
        <v>204</v>
      </c>
      <c r="L10" s="209" t="s">
        <v>213</v>
      </c>
      <c r="M10" s="209" t="s">
        <v>206</v>
      </c>
    </row>
    <row r="11" spans="1:13" x14ac:dyDescent="0.55000000000000004">
      <c r="A11" s="209" t="s">
        <v>214</v>
      </c>
      <c r="B11" s="209" t="s">
        <v>215</v>
      </c>
      <c r="C11" s="209" t="s">
        <v>216</v>
      </c>
      <c r="D11" s="209" t="s">
        <v>217</v>
      </c>
      <c r="E11" s="209" t="s">
        <v>218</v>
      </c>
      <c r="F11" s="209" t="s">
        <v>219</v>
      </c>
      <c r="G11" s="209" t="s">
        <v>220</v>
      </c>
      <c r="H11" s="209" t="s">
        <v>221</v>
      </c>
      <c r="I11" s="209" t="s">
        <v>222</v>
      </c>
      <c r="J11" s="209" t="s">
        <v>223</v>
      </c>
      <c r="K11" s="209" t="s">
        <v>224</v>
      </c>
      <c r="L11" s="209" t="s">
        <v>225</v>
      </c>
      <c r="M11" s="209" t="s">
        <v>226</v>
      </c>
    </row>
    <row r="12" spans="1:13" x14ac:dyDescent="0.55000000000000004">
      <c r="A12" s="209" t="s">
        <v>227</v>
      </c>
      <c r="B12" s="209" t="s">
        <v>228</v>
      </c>
      <c r="C12" s="209" t="s">
        <v>229</v>
      </c>
      <c r="D12" s="209" t="s">
        <v>230</v>
      </c>
      <c r="E12" s="209" t="s">
        <v>231</v>
      </c>
      <c r="F12" s="209" t="s">
        <v>219</v>
      </c>
      <c r="G12" s="209" t="s">
        <v>232</v>
      </c>
      <c r="H12" s="209" t="s">
        <v>221</v>
      </c>
      <c r="I12" s="209" t="s">
        <v>222</v>
      </c>
      <c r="J12" s="209" t="s">
        <v>223</v>
      </c>
      <c r="K12" s="209" t="s">
        <v>224</v>
      </c>
      <c r="L12" s="209" t="s">
        <v>233</v>
      </c>
      <c r="M12" s="209" t="s">
        <v>226</v>
      </c>
    </row>
    <row r="13" spans="1:13" x14ac:dyDescent="0.55000000000000004">
      <c r="A13" s="209" t="s">
        <v>234</v>
      </c>
      <c r="B13" s="209" t="s">
        <v>235</v>
      </c>
      <c r="C13" s="209" t="s">
        <v>236</v>
      </c>
      <c r="D13" s="209" t="s">
        <v>237</v>
      </c>
      <c r="E13" s="209" t="s">
        <v>238</v>
      </c>
      <c r="F13" s="209" t="s">
        <v>239</v>
      </c>
      <c r="G13" s="209" t="s">
        <v>240</v>
      </c>
      <c r="H13" s="209" t="s">
        <v>241</v>
      </c>
      <c r="I13" s="209" t="s">
        <v>242</v>
      </c>
      <c r="J13" s="209" t="s">
        <v>243</v>
      </c>
      <c r="K13" s="209" t="s">
        <v>244</v>
      </c>
      <c r="L13" s="209" t="s">
        <v>245</v>
      </c>
      <c r="M13" s="209" t="s">
        <v>246</v>
      </c>
    </row>
    <row r="14" spans="1:13" x14ac:dyDescent="0.55000000000000004">
      <c r="A14" s="209" t="s">
        <v>247</v>
      </c>
      <c r="B14" s="209" t="s">
        <v>248</v>
      </c>
      <c r="C14" s="209" t="s">
        <v>249</v>
      </c>
      <c r="D14" s="209" t="s">
        <v>250</v>
      </c>
      <c r="E14" s="209" t="s">
        <v>251</v>
      </c>
      <c r="F14" s="209" t="s">
        <v>239</v>
      </c>
      <c r="G14" s="209" t="s">
        <v>252</v>
      </c>
      <c r="H14" s="209" t="s">
        <v>241</v>
      </c>
      <c r="I14" s="209" t="s">
        <v>242</v>
      </c>
      <c r="J14" s="209" t="s">
        <v>243</v>
      </c>
      <c r="K14" s="209" t="s">
        <v>244</v>
      </c>
      <c r="L14" s="209" t="s">
        <v>253</v>
      </c>
      <c r="M14" s="209" t="s">
        <v>246</v>
      </c>
    </row>
    <row r="15" spans="1:13" x14ac:dyDescent="0.55000000000000004">
      <c r="A15" s="209" t="s">
        <v>254</v>
      </c>
      <c r="B15" s="209" t="s">
        <v>215</v>
      </c>
      <c r="C15" s="209" t="s">
        <v>216</v>
      </c>
      <c r="D15" s="209" t="s">
        <v>217</v>
      </c>
      <c r="E15" s="209" t="s">
        <v>218</v>
      </c>
      <c r="F15" s="209" t="s">
        <v>255</v>
      </c>
      <c r="G15" s="209" t="s">
        <v>256</v>
      </c>
      <c r="H15" s="209" t="s">
        <v>257</v>
      </c>
      <c r="I15" s="209" t="s">
        <v>258</v>
      </c>
      <c r="J15" s="209" t="s">
        <v>259</v>
      </c>
      <c r="K15" s="209" t="s">
        <v>260</v>
      </c>
      <c r="L15" s="209" t="s">
        <v>261</v>
      </c>
      <c r="M15" s="209" t="s">
        <v>262</v>
      </c>
    </row>
    <row r="16" spans="1:13" x14ac:dyDescent="0.55000000000000004">
      <c r="A16" s="209" t="s">
        <v>263</v>
      </c>
      <c r="B16" s="209" t="s">
        <v>228</v>
      </c>
      <c r="C16" s="209" t="s">
        <v>229</v>
      </c>
      <c r="D16" s="209" t="s">
        <v>230</v>
      </c>
      <c r="E16" s="209" t="s">
        <v>231</v>
      </c>
      <c r="F16" s="209" t="s">
        <v>255</v>
      </c>
      <c r="G16" s="209" t="s">
        <v>264</v>
      </c>
      <c r="H16" s="209" t="s">
        <v>257</v>
      </c>
      <c r="I16" s="209" t="s">
        <v>258</v>
      </c>
      <c r="J16" s="209" t="s">
        <v>259</v>
      </c>
      <c r="K16" s="209" t="s">
        <v>260</v>
      </c>
      <c r="L16" s="209" t="s">
        <v>265</v>
      </c>
      <c r="M16" s="209" t="s">
        <v>262</v>
      </c>
    </row>
    <row r="17" spans="1:13" x14ac:dyDescent="0.55000000000000004">
      <c r="A17" s="209" t="s">
        <v>266</v>
      </c>
      <c r="B17" s="209" t="s">
        <v>267</v>
      </c>
      <c r="C17" s="209" t="s">
        <v>268</v>
      </c>
      <c r="D17" s="209" t="s">
        <v>269</v>
      </c>
      <c r="E17" s="209" t="s">
        <v>270</v>
      </c>
      <c r="F17" s="209" t="s">
        <v>271</v>
      </c>
      <c r="G17" s="209" t="s">
        <v>272</v>
      </c>
      <c r="H17" s="209" t="s">
        <v>273</v>
      </c>
      <c r="I17" s="209" t="s">
        <v>274</v>
      </c>
      <c r="J17" s="209" t="s">
        <v>275</v>
      </c>
      <c r="K17" s="209" t="s">
        <v>276</v>
      </c>
      <c r="L17" s="209" t="s">
        <v>277</v>
      </c>
      <c r="M17" s="209" t="s">
        <v>278</v>
      </c>
    </row>
    <row r="18" spans="1:13" x14ac:dyDescent="0.55000000000000004">
      <c r="A18" s="209" t="s">
        <v>279</v>
      </c>
      <c r="B18" s="209" t="s">
        <v>280</v>
      </c>
      <c r="C18" s="209" t="s">
        <v>281</v>
      </c>
      <c r="D18" s="209" t="s">
        <v>282</v>
      </c>
      <c r="E18" s="209" t="s">
        <v>283</v>
      </c>
      <c r="F18" s="209" t="s">
        <v>271</v>
      </c>
      <c r="G18" s="209" t="s">
        <v>284</v>
      </c>
      <c r="H18" s="209" t="s">
        <v>273</v>
      </c>
      <c r="I18" s="209" t="s">
        <v>274</v>
      </c>
      <c r="J18" s="209" t="s">
        <v>275</v>
      </c>
      <c r="K18" s="209" t="s">
        <v>276</v>
      </c>
      <c r="L18" s="209" t="s">
        <v>285</v>
      </c>
      <c r="M18" s="209" t="s">
        <v>278</v>
      </c>
    </row>
    <row r="19" spans="1:13" x14ac:dyDescent="0.55000000000000004">
      <c r="A19" s="209" t="s">
        <v>286</v>
      </c>
      <c r="B19" s="209" t="s">
        <v>267</v>
      </c>
      <c r="C19" s="209" t="s">
        <v>268</v>
      </c>
      <c r="D19" s="209" t="s">
        <v>269</v>
      </c>
      <c r="E19" s="209" t="s">
        <v>270</v>
      </c>
      <c r="F19" s="209" t="s">
        <v>287</v>
      </c>
      <c r="G19" s="209" t="s">
        <v>288</v>
      </c>
      <c r="H19" s="209" t="s">
        <v>289</v>
      </c>
      <c r="I19" s="209" t="s">
        <v>290</v>
      </c>
      <c r="J19" s="209" t="s">
        <v>291</v>
      </c>
      <c r="K19" s="209" t="s">
        <v>292</v>
      </c>
      <c r="L19" s="209" t="s">
        <v>293</v>
      </c>
      <c r="M19" s="209" t="s">
        <v>294</v>
      </c>
    </row>
    <row r="20" spans="1:13" x14ac:dyDescent="0.55000000000000004">
      <c r="A20" s="209" t="s">
        <v>295</v>
      </c>
      <c r="B20" s="209" t="s">
        <v>280</v>
      </c>
      <c r="C20" s="209" t="s">
        <v>281</v>
      </c>
      <c r="D20" s="209" t="s">
        <v>282</v>
      </c>
      <c r="E20" s="209" t="s">
        <v>283</v>
      </c>
      <c r="F20" s="209" t="s">
        <v>287</v>
      </c>
      <c r="G20" s="209" t="s">
        <v>296</v>
      </c>
      <c r="H20" s="209" t="s">
        <v>289</v>
      </c>
      <c r="I20" s="209" t="s">
        <v>290</v>
      </c>
      <c r="J20" s="209" t="s">
        <v>291</v>
      </c>
      <c r="K20" s="209" t="s">
        <v>292</v>
      </c>
      <c r="L20" s="209" t="s">
        <v>297</v>
      </c>
      <c r="M20" s="209" t="s">
        <v>294</v>
      </c>
    </row>
    <row r="21" spans="1:13" x14ac:dyDescent="0.55000000000000004">
      <c r="A21" s="209" t="s">
        <v>298</v>
      </c>
      <c r="B21" s="209" t="s">
        <v>267</v>
      </c>
      <c r="C21" s="209" t="s">
        <v>268</v>
      </c>
      <c r="D21" s="209" t="s">
        <v>269</v>
      </c>
      <c r="E21" s="209" t="s">
        <v>270</v>
      </c>
      <c r="F21" s="209" t="s">
        <v>299</v>
      </c>
      <c r="G21" s="209" t="s">
        <v>300</v>
      </c>
      <c r="H21" s="209" t="s">
        <v>301</v>
      </c>
      <c r="I21" s="209" t="s">
        <v>302</v>
      </c>
      <c r="J21" s="209" t="s">
        <v>303</v>
      </c>
      <c r="K21" s="209" t="s">
        <v>304</v>
      </c>
      <c r="L21" s="209" t="s">
        <v>305</v>
      </c>
      <c r="M21" s="209" t="s">
        <v>306</v>
      </c>
    </row>
    <row r="22" spans="1:13" x14ac:dyDescent="0.55000000000000004">
      <c r="A22" s="209" t="s">
        <v>307</v>
      </c>
      <c r="B22" s="209" t="s">
        <v>280</v>
      </c>
      <c r="C22" s="209" t="s">
        <v>281</v>
      </c>
      <c r="D22" s="209" t="s">
        <v>282</v>
      </c>
      <c r="E22" s="209" t="s">
        <v>283</v>
      </c>
      <c r="F22" s="209" t="s">
        <v>299</v>
      </c>
      <c r="G22" s="209" t="s">
        <v>308</v>
      </c>
      <c r="H22" s="209" t="s">
        <v>301</v>
      </c>
      <c r="I22" s="209" t="s">
        <v>302</v>
      </c>
      <c r="J22" s="209" t="s">
        <v>303</v>
      </c>
      <c r="K22" s="209" t="s">
        <v>304</v>
      </c>
      <c r="L22" s="209" t="s">
        <v>309</v>
      </c>
      <c r="M22" s="209" t="s">
        <v>306</v>
      </c>
    </row>
    <row r="23" spans="1:13" x14ac:dyDescent="0.55000000000000004">
      <c r="A23" s="209" t="s">
        <v>310</v>
      </c>
      <c r="B23" s="209" t="s">
        <v>267</v>
      </c>
      <c r="C23" s="209" t="s">
        <v>268</v>
      </c>
      <c r="D23" s="209" t="s">
        <v>269</v>
      </c>
      <c r="E23" s="209" t="s">
        <v>270</v>
      </c>
      <c r="F23" s="209" t="s">
        <v>311</v>
      </c>
      <c r="G23" s="209" t="s">
        <v>312</v>
      </c>
      <c r="H23" s="209" t="s">
        <v>313</v>
      </c>
      <c r="I23" s="209" t="s">
        <v>314</v>
      </c>
      <c r="J23" s="209" t="s">
        <v>315</v>
      </c>
      <c r="K23" s="209" t="s">
        <v>316</v>
      </c>
      <c r="L23" s="209" t="s">
        <v>317</v>
      </c>
      <c r="M23" s="209" t="s">
        <v>318</v>
      </c>
    </row>
    <row r="24" spans="1:13" x14ac:dyDescent="0.55000000000000004">
      <c r="A24" s="209" t="s">
        <v>319</v>
      </c>
      <c r="B24" s="209" t="s">
        <v>280</v>
      </c>
      <c r="C24" s="209" t="s">
        <v>281</v>
      </c>
      <c r="D24" s="209" t="s">
        <v>282</v>
      </c>
      <c r="E24" s="209" t="s">
        <v>283</v>
      </c>
      <c r="F24" s="209" t="s">
        <v>311</v>
      </c>
      <c r="G24" s="209" t="s">
        <v>320</v>
      </c>
      <c r="H24" s="209" t="s">
        <v>313</v>
      </c>
      <c r="I24" s="209" t="s">
        <v>314</v>
      </c>
      <c r="J24" s="209" t="s">
        <v>315</v>
      </c>
      <c r="K24" s="209" t="s">
        <v>316</v>
      </c>
      <c r="L24" s="209" t="s">
        <v>321</v>
      </c>
      <c r="M24" s="209" t="s">
        <v>318</v>
      </c>
    </row>
    <row r="25" spans="1:13" x14ac:dyDescent="0.55000000000000004">
      <c r="A25" s="209" t="s">
        <v>322</v>
      </c>
      <c r="B25" s="209" t="s">
        <v>323</v>
      </c>
      <c r="C25" s="209" t="s">
        <v>324</v>
      </c>
      <c r="D25" s="209" t="s">
        <v>325</v>
      </c>
      <c r="E25" s="209" t="s">
        <v>326</v>
      </c>
      <c r="F25" s="209" t="s">
        <v>327</v>
      </c>
      <c r="G25" s="209" t="s">
        <v>328</v>
      </c>
      <c r="H25" s="209" t="s">
        <v>329</v>
      </c>
      <c r="I25" s="209" t="s">
        <v>330</v>
      </c>
      <c r="J25" s="209" t="s">
        <v>331</v>
      </c>
      <c r="K25" s="209" t="s">
        <v>332</v>
      </c>
      <c r="L25" s="209" t="s">
        <v>333</v>
      </c>
      <c r="M25" s="209" t="s">
        <v>334</v>
      </c>
    </row>
    <row r="26" spans="1:13" x14ac:dyDescent="0.55000000000000004">
      <c r="A26" s="209" t="s">
        <v>335</v>
      </c>
      <c r="B26" s="209" t="s">
        <v>336</v>
      </c>
      <c r="C26" s="209" t="s">
        <v>337</v>
      </c>
      <c r="D26" s="209" t="s">
        <v>338</v>
      </c>
      <c r="E26" s="209" t="s">
        <v>339</v>
      </c>
      <c r="F26" s="209" t="s">
        <v>327</v>
      </c>
      <c r="G26" s="209" t="s">
        <v>340</v>
      </c>
      <c r="H26" s="209" t="s">
        <v>329</v>
      </c>
      <c r="I26" s="209" t="s">
        <v>330</v>
      </c>
      <c r="J26" s="209" t="s">
        <v>331</v>
      </c>
      <c r="K26" s="209" t="s">
        <v>332</v>
      </c>
      <c r="L26" s="209" t="s">
        <v>341</v>
      </c>
      <c r="M26" s="209" t="s">
        <v>334</v>
      </c>
    </row>
    <row r="27" spans="1:13" x14ac:dyDescent="0.55000000000000004">
      <c r="A27" s="209" t="s">
        <v>342</v>
      </c>
      <c r="B27" s="209" t="s">
        <v>343</v>
      </c>
      <c r="C27" s="209" t="s">
        <v>344</v>
      </c>
      <c r="D27" s="209" t="s">
        <v>345</v>
      </c>
      <c r="E27" s="209" t="s">
        <v>346</v>
      </c>
      <c r="F27" s="209" t="s">
        <v>347</v>
      </c>
      <c r="G27" s="209" t="s">
        <v>348</v>
      </c>
      <c r="H27" s="209" t="s">
        <v>349</v>
      </c>
      <c r="I27" s="209" t="s">
        <v>350</v>
      </c>
      <c r="J27" s="209" t="s">
        <v>351</v>
      </c>
      <c r="K27" s="209" t="s">
        <v>352</v>
      </c>
      <c r="L27" s="209" t="s">
        <v>353</v>
      </c>
      <c r="M27" s="209" t="s">
        <v>354</v>
      </c>
    </row>
    <row r="28" spans="1:13" x14ac:dyDescent="0.55000000000000004">
      <c r="A28" s="209" t="s">
        <v>355</v>
      </c>
      <c r="B28" s="209" t="s">
        <v>356</v>
      </c>
      <c r="C28" s="209" t="s">
        <v>357</v>
      </c>
      <c r="D28" s="209" t="s">
        <v>358</v>
      </c>
      <c r="E28" s="209" t="s">
        <v>359</v>
      </c>
      <c r="F28" s="209" t="s">
        <v>347</v>
      </c>
      <c r="G28" s="209" t="s">
        <v>360</v>
      </c>
      <c r="H28" s="209" t="s">
        <v>349</v>
      </c>
      <c r="I28" s="209" t="s">
        <v>350</v>
      </c>
      <c r="J28" s="209" t="s">
        <v>351</v>
      </c>
      <c r="K28" s="209" t="s">
        <v>352</v>
      </c>
      <c r="L28" s="209" t="s">
        <v>361</v>
      </c>
      <c r="M28" s="209" t="s">
        <v>354</v>
      </c>
    </row>
    <row r="29" spans="1:13" x14ac:dyDescent="0.55000000000000004">
      <c r="A29" s="209" t="s">
        <v>362</v>
      </c>
      <c r="B29" s="209" t="s">
        <v>363</v>
      </c>
      <c r="C29" s="209" t="s">
        <v>364</v>
      </c>
      <c r="D29" s="209" t="s">
        <v>365</v>
      </c>
      <c r="E29" s="209" t="s">
        <v>366</v>
      </c>
      <c r="F29" s="209" t="s">
        <v>367</v>
      </c>
      <c r="G29" s="209" t="s">
        <v>368</v>
      </c>
      <c r="H29" s="209" t="s">
        <v>369</v>
      </c>
      <c r="I29" s="209" t="s">
        <v>370</v>
      </c>
      <c r="J29" s="209" t="s">
        <v>371</v>
      </c>
      <c r="K29" s="209" t="s">
        <v>372</v>
      </c>
      <c r="L29" s="209" t="s">
        <v>373</v>
      </c>
      <c r="M29" s="209" t="s">
        <v>374</v>
      </c>
    </row>
    <row r="30" spans="1:13" x14ac:dyDescent="0.55000000000000004">
      <c r="A30" s="209" t="s">
        <v>375</v>
      </c>
      <c r="B30" s="209" t="s">
        <v>376</v>
      </c>
      <c r="C30" s="209" t="s">
        <v>377</v>
      </c>
      <c r="D30" s="209" t="s">
        <v>378</v>
      </c>
      <c r="E30" s="209" t="s">
        <v>379</v>
      </c>
      <c r="F30" s="209" t="s">
        <v>367</v>
      </c>
      <c r="G30" s="209" t="s">
        <v>380</v>
      </c>
      <c r="H30" s="209" t="s">
        <v>369</v>
      </c>
      <c r="I30" s="209" t="s">
        <v>370</v>
      </c>
      <c r="J30" s="209" t="s">
        <v>371</v>
      </c>
      <c r="K30" s="209" t="s">
        <v>372</v>
      </c>
      <c r="L30" s="209" t="s">
        <v>381</v>
      </c>
      <c r="M30" s="209" t="s">
        <v>374</v>
      </c>
    </row>
    <row r="31" spans="1:13" x14ac:dyDescent="0.55000000000000004">
      <c r="A31" s="209" t="s">
        <v>5999</v>
      </c>
      <c r="B31" s="209" t="s">
        <v>610</v>
      </c>
      <c r="C31" s="209" t="s">
        <v>611</v>
      </c>
      <c r="D31" s="209" t="s">
        <v>612</v>
      </c>
      <c r="E31" s="209" t="s">
        <v>613</v>
      </c>
      <c r="F31" s="209" t="s">
        <v>614</v>
      </c>
      <c r="G31" s="209" t="s">
        <v>615</v>
      </c>
      <c r="H31" s="209" t="s">
        <v>616</v>
      </c>
      <c r="I31" s="209" t="s">
        <v>617</v>
      </c>
      <c r="J31" s="209" t="s">
        <v>618</v>
      </c>
      <c r="K31" s="209" t="s">
        <v>619</v>
      </c>
      <c r="L31" s="209" t="s">
        <v>620</v>
      </c>
      <c r="M31" s="209" t="s">
        <v>621</v>
      </c>
    </row>
    <row r="32" spans="1:13" x14ac:dyDescent="0.55000000000000004">
      <c r="A32" s="209" t="s">
        <v>6000</v>
      </c>
      <c r="B32" s="209" t="s">
        <v>622</v>
      </c>
      <c r="C32" s="209" t="s">
        <v>623</v>
      </c>
      <c r="D32" s="209" t="s">
        <v>624</v>
      </c>
      <c r="E32" s="209" t="s">
        <v>625</v>
      </c>
      <c r="F32" s="209" t="s">
        <v>614</v>
      </c>
      <c r="G32" s="209" t="s">
        <v>626</v>
      </c>
      <c r="H32" s="209" t="s">
        <v>616</v>
      </c>
      <c r="I32" s="209" t="s">
        <v>617</v>
      </c>
      <c r="J32" s="209" t="s">
        <v>618</v>
      </c>
      <c r="K32" s="209" t="s">
        <v>619</v>
      </c>
      <c r="L32" s="209" t="s">
        <v>627</v>
      </c>
      <c r="M32" s="209" t="s">
        <v>621</v>
      </c>
    </row>
    <row r="33" spans="1:13" x14ac:dyDescent="0.55000000000000004">
      <c r="A33" s="209" t="s">
        <v>382</v>
      </c>
      <c r="B33" s="209" t="s">
        <v>383</v>
      </c>
      <c r="C33" s="209" t="s">
        <v>384</v>
      </c>
      <c r="D33" s="209" t="s">
        <v>385</v>
      </c>
      <c r="E33" s="209" t="s">
        <v>386</v>
      </c>
      <c r="F33" s="209" t="s">
        <v>387</v>
      </c>
      <c r="G33" s="209" t="s">
        <v>388</v>
      </c>
      <c r="H33" s="209" t="s">
        <v>389</v>
      </c>
      <c r="I33" s="209" t="s">
        <v>390</v>
      </c>
      <c r="J33" s="209" t="s">
        <v>391</v>
      </c>
      <c r="K33" s="209" t="s">
        <v>392</v>
      </c>
      <c r="L33" s="209" t="s">
        <v>393</v>
      </c>
      <c r="M33" s="209" t="s">
        <v>394</v>
      </c>
    </row>
    <row r="34" spans="1:13" x14ac:dyDescent="0.55000000000000004">
      <c r="A34" s="209" t="s">
        <v>395</v>
      </c>
      <c r="B34" s="209" t="s">
        <v>396</v>
      </c>
      <c r="C34" s="209" t="s">
        <v>397</v>
      </c>
      <c r="D34" s="209" t="s">
        <v>398</v>
      </c>
      <c r="E34" s="209" t="s">
        <v>399</v>
      </c>
      <c r="F34" s="209" t="s">
        <v>387</v>
      </c>
      <c r="G34" s="209" t="s">
        <v>400</v>
      </c>
      <c r="H34" s="209" t="s">
        <v>389</v>
      </c>
      <c r="I34" s="209" t="s">
        <v>390</v>
      </c>
      <c r="J34" s="209" t="s">
        <v>391</v>
      </c>
      <c r="K34" s="209" t="s">
        <v>392</v>
      </c>
      <c r="L34" s="209" t="s">
        <v>401</v>
      </c>
      <c r="M34" s="209" t="s">
        <v>394</v>
      </c>
    </row>
    <row r="35" spans="1:13" x14ac:dyDescent="0.55000000000000004">
      <c r="A35" s="209" t="s">
        <v>402</v>
      </c>
      <c r="B35" s="209" t="s">
        <v>403</v>
      </c>
      <c r="C35" s="209" t="s">
        <v>404</v>
      </c>
      <c r="D35" s="209" t="s">
        <v>405</v>
      </c>
      <c r="E35" s="209" t="s">
        <v>406</v>
      </c>
      <c r="F35" s="209" t="s">
        <v>407</v>
      </c>
      <c r="G35" s="209" t="s">
        <v>408</v>
      </c>
      <c r="H35" s="209" t="s">
        <v>409</v>
      </c>
      <c r="I35" s="209" t="s">
        <v>410</v>
      </c>
      <c r="J35" s="209" t="s">
        <v>411</v>
      </c>
      <c r="K35" s="209" t="s">
        <v>412</v>
      </c>
      <c r="L35" s="209" t="s">
        <v>413</v>
      </c>
      <c r="M35" s="209" t="s">
        <v>414</v>
      </c>
    </row>
    <row r="36" spans="1:13" x14ac:dyDescent="0.55000000000000004">
      <c r="A36" s="209" t="s">
        <v>415</v>
      </c>
      <c r="B36" s="209" t="s">
        <v>416</v>
      </c>
      <c r="C36" s="209" t="s">
        <v>417</v>
      </c>
      <c r="D36" s="209" t="s">
        <v>418</v>
      </c>
      <c r="E36" s="209" t="s">
        <v>419</v>
      </c>
      <c r="F36" s="209" t="s">
        <v>407</v>
      </c>
      <c r="G36" s="209" t="s">
        <v>420</v>
      </c>
      <c r="H36" s="209" t="s">
        <v>409</v>
      </c>
      <c r="I36" s="209" t="s">
        <v>410</v>
      </c>
      <c r="J36" s="209" t="s">
        <v>411</v>
      </c>
      <c r="K36" s="209" t="s">
        <v>412</v>
      </c>
      <c r="L36" s="209" t="s">
        <v>421</v>
      </c>
      <c r="M36" s="209" t="s">
        <v>414</v>
      </c>
    </row>
    <row r="37" spans="1:13" x14ac:dyDescent="0.55000000000000004">
      <c r="A37" s="209" t="s">
        <v>422</v>
      </c>
      <c r="B37" s="209" t="s">
        <v>343</v>
      </c>
      <c r="C37" s="209" t="s">
        <v>344</v>
      </c>
      <c r="D37" s="209" t="s">
        <v>345</v>
      </c>
      <c r="E37" s="209" t="s">
        <v>346</v>
      </c>
      <c r="F37" s="209" t="s">
        <v>423</v>
      </c>
      <c r="G37" s="209" t="s">
        <v>424</v>
      </c>
      <c r="H37" s="209" t="s">
        <v>425</v>
      </c>
      <c r="I37" s="209" t="s">
        <v>426</v>
      </c>
      <c r="J37" s="209" t="s">
        <v>427</v>
      </c>
      <c r="K37" s="209" t="s">
        <v>428</v>
      </c>
      <c r="L37" s="209" t="s">
        <v>429</v>
      </c>
      <c r="M37" s="209" t="s">
        <v>430</v>
      </c>
    </row>
    <row r="38" spans="1:13" x14ac:dyDescent="0.55000000000000004">
      <c r="A38" s="209" t="s">
        <v>431</v>
      </c>
      <c r="B38" s="209" t="s">
        <v>356</v>
      </c>
      <c r="C38" s="209" t="s">
        <v>357</v>
      </c>
      <c r="D38" s="209" t="s">
        <v>358</v>
      </c>
      <c r="E38" s="209" t="s">
        <v>359</v>
      </c>
      <c r="F38" s="209" t="s">
        <v>423</v>
      </c>
      <c r="G38" s="209" t="s">
        <v>432</v>
      </c>
      <c r="H38" s="209" t="s">
        <v>425</v>
      </c>
      <c r="I38" s="209" t="s">
        <v>426</v>
      </c>
      <c r="J38" s="209" t="s">
        <v>427</v>
      </c>
      <c r="K38" s="209" t="s">
        <v>428</v>
      </c>
      <c r="L38" s="209" t="s">
        <v>433</v>
      </c>
      <c r="M38" s="209" t="s">
        <v>430</v>
      </c>
    </row>
    <row r="39" spans="1:13" x14ac:dyDescent="0.55000000000000004">
      <c r="A39" s="209" t="s">
        <v>434</v>
      </c>
      <c r="B39" s="209" t="s">
        <v>435</v>
      </c>
      <c r="C39" s="209" t="s">
        <v>436</v>
      </c>
      <c r="D39" s="209" t="s">
        <v>437</v>
      </c>
      <c r="E39" s="209" t="s">
        <v>438</v>
      </c>
      <c r="F39" s="209" t="s">
        <v>439</v>
      </c>
      <c r="G39" s="209" t="s">
        <v>440</v>
      </c>
      <c r="H39" s="209" t="s">
        <v>441</v>
      </c>
      <c r="I39" s="209" t="s">
        <v>442</v>
      </c>
      <c r="J39" s="209" t="s">
        <v>443</v>
      </c>
      <c r="K39" s="209" t="s">
        <v>444</v>
      </c>
      <c r="L39" s="209" t="s">
        <v>445</v>
      </c>
      <c r="M39" s="209" t="s">
        <v>446</v>
      </c>
    </row>
    <row r="40" spans="1:13" x14ac:dyDescent="0.55000000000000004">
      <c r="A40" s="209" t="s">
        <v>447</v>
      </c>
      <c r="B40" s="209" t="s">
        <v>448</v>
      </c>
      <c r="C40" s="209" t="s">
        <v>449</v>
      </c>
      <c r="D40" s="209" t="s">
        <v>450</v>
      </c>
      <c r="E40" s="209" t="s">
        <v>451</v>
      </c>
      <c r="F40" s="209" t="s">
        <v>439</v>
      </c>
      <c r="G40" s="209" t="s">
        <v>452</v>
      </c>
      <c r="H40" s="209" t="s">
        <v>441</v>
      </c>
      <c r="I40" s="209" t="s">
        <v>442</v>
      </c>
      <c r="J40" s="209" t="s">
        <v>443</v>
      </c>
      <c r="K40" s="209" t="s">
        <v>444</v>
      </c>
      <c r="L40" s="209" t="s">
        <v>453</v>
      </c>
      <c r="M40" s="209" t="s">
        <v>446</v>
      </c>
    </row>
    <row r="41" spans="1:13" x14ac:dyDescent="0.55000000000000004">
      <c r="A41" s="209" t="s">
        <v>454</v>
      </c>
      <c r="B41" s="209" t="s">
        <v>323</v>
      </c>
      <c r="C41" s="209" t="s">
        <v>324</v>
      </c>
      <c r="D41" s="209" t="s">
        <v>325</v>
      </c>
      <c r="E41" s="209" t="s">
        <v>326</v>
      </c>
      <c r="F41" s="209" t="s">
        <v>455</v>
      </c>
      <c r="G41" s="209" t="s">
        <v>456</v>
      </c>
      <c r="H41" s="209" t="s">
        <v>457</v>
      </c>
      <c r="I41" s="209" t="s">
        <v>458</v>
      </c>
      <c r="J41" s="209" t="s">
        <v>459</v>
      </c>
      <c r="K41" s="209" t="s">
        <v>460</v>
      </c>
      <c r="L41" s="209" t="s">
        <v>461</v>
      </c>
      <c r="M41" s="209" t="s">
        <v>462</v>
      </c>
    </row>
    <row r="42" spans="1:13" x14ac:dyDescent="0.55000000000000004">
      <c r="A42" s="209" t="s">
        <v>463</v>
      </c>
      <c r="B42" s="209" t="s">
        <v>336</v>
      </c>
      <c r="C42" s="209" t="s">
        <v>337</v>
      </c>
      <c r="D42" s="209" t="s">
        <v>338</v>
      </c>
      <c r="E42" s="209" t="s">
        <v>339</v>
      </c>
      <c r="F42" s="209" t="s">
        <v>455</v>
      </c>
      <c r="G42" s="209" t="s">
        <v>464</v>
      </c>
      <c r="H42" s="209" t="s">
        <v>457</v>
      </c>
      <c r="I42" s="209" t="s">
        <v>458</v>
      </c>
      <c r="J42" s="209" t="s">
        <v>459</v>
      </c>
      <c r="K42" s="209" t="s">
        <v>460</v>
      </c>
      <c r="L42" s="209" t="s">
        <v>465</v>
      </c>
      <c r="M42" s="209" t="s">
        <v>462</v>
      </c>
    </row>
    <row r="43" spans="1:13" x14ac:dyDescent="0.55000000000000004">
      <c r="A43" s="209" t="s">
        <v>466</v>
      </c>
      <c r="B43" s="209" t="s">
        <v>343</v>
      </c>
      <c r="C43" s="209" t="s">
        <v>344</v>
      </c>
      <c r="D43" s="209" t="s">
        <v>345</v>
      </c>
      <c r="E43" s="209" t="s">
        <v>346</v>
      </c>
      <c r="F43" s="209" t="s">
        <v>467</v>
      </c>
      <c r="G43" s="209" t="s">
        <v>468</v>
      </c>
      <c r="H43" s="209" t="s">
        <v>469</v>
      </c>
      <c r="I43" s="209" t="s">
        <v>470</v>
      </c>
      <c r="J43" s="209" t="s">
        <v>471</v>
      </c>
      <c r="K43" s="209" t="s">
        <v>472</v>
      </c>
      <c r="L43" s="209" t="s">
        <v>473</v>
      </c>
      <c r="M43" s="209" t="s">
        <v>474</v>
      </c>
    </row>
    <row r="44" spans="1:13" x14ac:dyDescent="0.55000000000000004">
      <c r="A44" s="209" t="s">
        <v>475</v>
      </c>
      <c r="B44" s="209" t="s">
        <v>356</v>
      </c>
      <c r="C44" s="209" t="s">
        <v>357</v>
      </c>
      <c r="D44" s="209" t="s">
        <v>358</v>
      </c>
      <c r="E44" s="209" t="s">
        <v>359</v>
      </c>
      <c r="F44" s="209" t="s">
        <v>467</v>
      </c>
      <c r="G44" s="209" t="s">
        <v>476</v>
      </c>
      <c r="H44" s="209" t="s">
        <v>469</v>
      </c>
      <c r="I44" s="209" t="s">
        <v>470</v>
      </c>
      <c r="J44" s="209" t="s">
        <v>471</v>
      </c>
      <c r="K44" s="209" t="s">
        <v>472</v>
      </c>
      <c r="L44" s="209" t="s">
        <v>477</v>
      </c>
      <c r="M44" s="209" t="s">
        <v>474</v>
      </c>
    </row>
    <row r="45" spans="1:13" x14ac:dyDescent="0.55000000000000004">
      <c r="A45" s="209" t="s">
        <v>478</v>
      </c>
      <c r="B45" s="209" t="s">
        <v>323</v>
      </c>
      <c r="C45" s="209" t="s">
        <v>324</v>
      </c>
      <c r="D45" s="209" t="s">
        <v>325</v>
      </c>
      <c r="E45" s="209" t="s">
        <v>326</v>
      </c>
      <c r="F45" s="209" t="s">
        <v>479</v>
      </c>
      <c r="G45" s="209" t="s">
        <v>480</v>
      </c>
      <c r="H45" s="209" t="s">
        <v>481</v>
      </c>
      <c r="I45" s="209" t="s">
        <v>482</v>
      </c>
      <c r="J45" s="209" t="s">
        <v>483</v>
      </c>
      <c r="K45" s="209" t="s">
        <v>484</v>
      </c>
      <c r="L45" s="209" t="s">
        <v>485</v>
      </c>
      <c r="M45" s="209" t="s">
        <v>486</v>
      </c>
    </row>
    <row r="46" spans="1:13" x14ac:dyDescent="0.55000000000000004">
      <c r="A46" s="209" t="s">
        <v>487</v>
      </c>
      <c r="B46" s="209" t="s">
        <v>336</v>
      </c>
      <c r="C46" s="209" t="s">
        <v>337</v>
      </c>
      <c r="D46" s="209" t="s">
        <v>338</v>
      </c>
      <c r="E46" s="209" t="s">
        <v>339</v>
      </c>
      <c r="F46" s="209" t="s">
        <v>479</v>
      </c>
      <c r="G46" s="209" t="s">
        <v>488</v>
      </c>
      <c r="H46" s="209" t="s">
        <v>481</v>
      </c>
      <c r="I46" s="209" t="s">
        <v>482</v>
      </c>
      <c r="J46" s="209" t="s">
        <v>483</v>
      </c>
      <c r="K46" s="209" t="s">
        <v>484</v>
      </c>
      <c r="L46" s="209" t="s">
        <v>489</v>
      </c>
      <c r="M46" s="209" t="s">
        <v>486</v>
      </c>
    </row>
    <row r="47" spans="1:13" x14ac:dyDescent="0.55000000000000004">
      <c r="A47" s="209" t="s">
        <v>490</v>
      </c>
      <c r="B47" s="209" t="s">
        <v>343</v>
      </c>
      <c r="C47" s="209" t="s">
        <v>344</v>
      </c>
      <c r="D47" s="209" t="s">
        <v>345</v>
      </c>
      <c r="E47" s="209" t="s">
        <v>346</v>
      </c>
      <c r="F47" s="209" t="s">
        <v>491</v>
      </c>
      <c r="G47" s="209" t="s">
        <v>492</v>
      </c>
      <c r="H47" s="209" t="s">
        <v>493</v>
      </c>
      <c r="I47" s="209" t="s">
        <v>494</v>
      </c>
      <c r="J47" s="209" t="s">
        <v>495</v>
      </c>
      <c r="K47" s="209" t="s">
        <v>496</v>
      </c>
      <c r="L47" s="209" t="s">
        <v>497</v>
      </c>
      <c r="M47" s="209" t="s">
        <v>498</v>
      </c>
    </row>
    <row r="48" spans="1:13" x14ac:dyDescent="0.55000000000000004">
      <c r="A48" s="209" t="s">
        <v>499</v>
      </c>
      <c r="B48" s="209" t="s">
        <v>356</v>
      </c>
      <c r="C48" s="209" t="s">
        <v>357</v>
      </c>
      <c r="D48" s="209" t="s">
        <v>358</v>
      </c>
      <c r="E48" s="209" t="s">
        <v>359</v>
      </c>
      <c r="F48" s="209" t="s">
        <v>491</v>
      </c>
      <c r="G48" s="209" t="s">
        <v>500</v>
      </c>
      <c r="H48" s="209" t="s">
        <v>493</v>
      </c>
      <c r="I48" s="209" t="s">
        <v>494</v>
      </c>
      <c r="J48" s="209" t="s">
        <v>495</v>
      </c>
      <c r="K48" s="209" t="s">
        <v>496</v>
      </c>
      <c r="L48" s="209" t="s">
        <v>501</v>
      </c>
      <c r="M48" s="209" t="s">
        <v>498</v>
      </c>
    </row>
    <row r="49" spans="1:13" x14ac:dyDescent="0.55000000000000004">
      <c r="A49" s="209" t="s">
        <v>502</v>
      </c>
      <c r="B49" s="209" t="s">
        <v>267</v>
      </c>
      <c r="C49" s="209" t="s">
        <v>268</v>
      </c>
      <c r="D49" s="209" t="s">
        <v>269</v>
      </c>
      <c r="E49" s="209" t="s">
        <v>270</v>
      </c>
      <c r="F49" s="209" t="s">
        <v>503</v>
      </c>
      <c r="G49" s="209" t="s">
        <v>504</v>
      </c>
      <c r="H49" s="209" t="s">
        <v>505</v>
      </c>
      <c r="I49" s="209" t="s">
        <v>506</v>
      </c>
      <c r="J49" s="209" t="s">
        <v>507</v>
      </c>
      <c r="K49" s="209" t="s">
        <v>508</v>
      </c>
      <c r="L49" s="209" t="s">
        <v>509</v>
      </c>
      <c r="M49" s="209" t="s">
        <v>510</v>
      </c>
    </row>
    <row r="50" spans="1:13" x14ac:dyDescent="0.55000000000000004">
      <c r="A50" s="209" t="s">
        <v>511</v>
      </c>
      <c r="B50" s="209" t="s">
        <v>280</v>
      </c>
      <c r="C50" s="209" t="s">
        <v>281</v>
      </c>
      <c r="D50" s="209" t="s">
        <v>282</v>
      </c>
      <c r="E50" s="209" t="s">
        <v>283</v>
      </c>
      <c r="F50" s="209" t="s">
        <v>503</v>
      </c>
      <c r="G50" s="209" t="s">
        <v>512</v>
      </c>
      <c r="H50" s="209" t="s">
        <v>505</v>
      </c>
      <c r="I50" s="209" t="s">
        <v>506</v>
      </c>
      <c r="J50" s="209" t="s">
        <v>507</v>
      </c>
      <c r="K50" s="209" t="s">
        <v>508</v>
      </c>
      <c r="L50" s="209" t="s">
        <v>513</v>
      </c>
      <c r="M50" s="209" t="s">
        <v>510</v>
      </c>
    </row>
    <row r="51" spans="1:13" x14ac:dyDescent="0.55000000000000004">
      <c r="A51" s="209" t="s">
        <v>514</v>
      </c>
      <c r="B51" s="209" t="s">
        <v>215</v>
      </c>
      <c r="C51" s="209" t="s">
        <v>216</v>
      </c>
      <c r="D51" s="209" t="s">
        <v>217</v>
      </c>
      <c r="E51" s="209" t="s">
        <v>218</v>
      </c>
      <c r="F51" s="209" t="s">
        <v>515</v>
      </c>
      <c r="G51" s="209" t="s">
        <v>516</v>
      </c>
      <c r="H51" s="209" t="s">
        <v>517</v>
      </c>
      <c r="I51" s="209" t="s">
        <v>518</v>
      </c>
      <c r="J51" s="209" t="s">
        <v>519</v>
      </c>
      <c r="K51" s="209" t="s">
        <v>520</v>
      </c>
      <c r="L51" s="209" t="s">
        <v>521</v>
      </c>
      <c r="M51" s="209" t="s">
        <v>522</v>
      </c>
    </row>
    <row r="52" spans="1:13" x14ac:dyDescent="0.55000000000000004">
      <c r="A52" s="209" t="s">
        <v>523</v>
      </c>
      <c r="B52" s="209" t="s">
        <v>228</v>
      </c>
      <c r="C52" s="209" t="s">
        <v>229</v>
      </c>
      <c r="D52" s="209" t="s">
        <v>230</v>
      </c>
      <c r="E52" s="209" t="s">
        <v>231</v>
      </c>
      <c r="F52" s="209" t="s">
        <v>515</v>
      </c>
      <c r="G52" s="209" t="s">
        <v>524</v>
      </c>
      <c r="H52" s="209" t="s">
        <v>517</v>
      </c>
      <c r="I52" s="209" t="s">
        <v>518</v>
      </c>
      <c r="J52" s="209" t="s">
        <v>519</v>
      </c>
      <c r="K52" s="209" t="s">
        <v>520</v>
      </c>
      <c r="L52" s="209" t="s">
        <v>525</v>
      </c>
      <c r="M52" s="209" t="s">
        <v>522</v>
      </c>
    </row>
    <row r="53" spans="1:13" x14ac:dyDescent="0.55000000000000004">
      <c r="A53" s="209" t="s">
        <v>526</v>
      </c>
      <c r="B53" s="209" t="s">
        <v>363</v>
      </c>
      <c r="C53" s="209" t="s">
        <v>364</v>
      </c>
      <c r="D53" s="209" t="s">
        <v>365</v>
      </c>
      <c r="E53" s="209" t="s">
        <v>366</v>
      </c>
      <c r="F53" s="209" t="s">
        <v>527</v>
      </c>
      <c r="G53" s="209" t="s">
        <v>528</v>
      </c>
      <c r="H53" s="209" t="s">
        <v>529</v>
      </c>
      <c r="I53" s="209" t="s">
        <v>530</v>
      </c>
      <c r="J53" s="209" t="s">
        <v>531</v>
      </c>
      <c r="K53" s="209" t="s">
        <v>532</v>
      </c>
      <c r="L53" s="209" t="s">
        <v>533</v>
      </c>
      <c r="M53" s="209" t="s">
        <v>534</v>
      </c>
    </row>
    <row r="54" spans="1:13" x14ac:dyDescent="0.55000000000000004">
      <c r="A54" s="209" t="s">
        <v>535</v>
      </c>
      <c r="B54" s="209" t="s">
        <v>376</v>
      </c>
      <c r="C54" s="209" t="s">
        <v>377</v>
      </c>
      <c r="D54" s="209" t="s">
        <v>378</v>
      </c>
      <c r="E54" s="209" t="s">
        <v>379</v>
      </c>
      <c r="F54" s="209" t="s">
        <v>527</v>
      </c>
      <c r="G54" s="209" t="s">
        <v>536</v>
      </c>
      <c r="H54" s="209" t="s">
        <v>529</v>
      </c>
      <c r="I54" s="209" t="s">
        <v>530</v>
      </c>
      <c r="J54" s="209" t="s">
        <v>531</v>
      </c>
      <c r="K54" s="209" t="s">
        <v>532</v>
      </c>
      <c r="L54" s="209" t="s">
        <v>537</v>
      </c>
      <c r="M54" s="209" t="s">
        <v>534</v>
      </c>
    </row>
    <row r="55" spans="1:13" x14ac:dyDescent="0.55000000000000004">
      <c r="A55" s="209" t="s">
        <v>538</v>
      </c>
      <c r="B55" s="209" t="s">
        <v>539</v>
      </c>
      <c r="C55" s="209" t="s">
        <v>540</v>
      </c>
      <c r="D55" s="209" t="s">
        <v>541</v>
      </c>
      <c r="E55" s="209" t="s">
        <v>542</v>
      </c>
      <c r="F55" s="209" t="s">
        <v>543</v>
      </c>
      <c r="G55" s="209" t="s">
        <v>544</v>
      </c>
      <c r="H55" s="209" t="s">
        <v>545</v>
      </c>
      <c r="I55" s="209" t="s">
        <v>546</v>
      </c>
      <c r="J55" s="209" t="s">
        <v>547</v>
      </c>
      <c r="K55" s="209" t="s">
        <v>548</v>
      </c>
      <c r="L55" s="209" t="s">
        <v>549</v>
      </c>
      <c r="M55" s="209" t="s">
        <v>550</v>
      </c>
    </row>
    <row r="56" spans="1:13" x14ac:dyDescent="0.55000000000000004">
      <c r="A56" s="209" t="s">
        <v>551</v>
      </c>
      <c r="B56" s="209" t="s">
        <v>552</v>
      </c>
      <c r="C56" s="209" t="s">
        <v>553</v>
      </c>
      <c r="D56" s="209" t="s">
        <v>554</v>
      </c>
      <c r="E56" s="209" t="s">
        <v>555</v>
      </c>
      <c r="F56" s="209" t="s">
        <v>543</v>
      </c>
      <c r="G56" s="209" t="s">
        <v>556</v>
      </c>
      <c r="H56" s="209" t="s">
        <v>545</v>
      </c>
      <c r="I56" s="209" t="s">
        <v>546</v>
      </c>
      <c r="J56" s="209" t="s">
        <v>547</v>
      </c>
      <c r="K56" s="209" t="s">
        <v>548</v>
      </c>
      <c r="L56" s="209" t="s">
        <v>557</v>
      </c>
      <c r="M56" s="209" t="s">
        <v>550</v>
      </c>
    </row>
    <row r="57" spans="1:13" x14ac:dyDescent="0.55000000000000004">
      <c r="A57" s="209" t="s">
        <v>558</v>
      </c>
      <c r="B57" s="209" t="s">
        <v>559</v>
      </c>
      <c r="C57" s="209" t="s">
        <v>560</v>
      </c>
      <c r="D57" s="209" t="s">
        <v>561</v>
      </c>
      <c r="E57" s="209" t="s">
        <v>562</v>
      </c>
      <c r="F57" s="209" t="s">
        <v>563</v>
      </c>
      <c r="G57" s="209" t="s">
        <v>564</v>
      </c>
      <c r="H57" s="209" t="s">
        <v>565</v>
      </c>
      <c r="I57" s="209" t="s">
        <v>566</v>
      </c>
      <c r="J57" s="209" t="s">
        <v>567</v>
      </c>
      <c r="K57" s="209" t="s">
        <v>568</v>
      </c>
      <c r="L57" s="209" t="s">
        <v>569</v>
      </c>
      <c r="M57" s="209" t="s">
        <v>570</v>
      </c>
    </row>
    <row r="58" spans="1:13" x14ac:dyDescent="0.55000000000000004">
      <c r="A58" s="209" t="s">
        <v>571</v>
      </c>
      <c r="B58" s="209" t="s">
        <v>572</v>
      </c>
      <c r="C58" s="209" t="s">
        <v>573</v>
      </c>
      <c r="D58" s="209" t="s">
        <v>574</v>
      </c>
      <c r="E58" s="209" t="s">
        <v>575</v>
      </c>
      <c r="F58" s="209" t="s">
        <v>563</v>
      </c>
      <c r="G58" s="209" t="s">
        <v>576</v>
      </c>
      <c r="H58" s="209" t="s">
        <v>565</v>
      </c>
      <c r="I58" s="209" t="s">
        <v>566</v>
      </c>
      <c r="J58" s="209" t="s">
        <v>567</v>
      </c>
      <c r="K58" s="209" t="s">
        <v>568</v>
      </c>
      <c r="L58" s="209" t="s">
        <v>577</v>
      </c>
      <c r="M58" s="209" t="s">
        <v>570</v>
      </c>
    </row>
    <row r="59" spans="1:13" x14ac:dyDescent="0.55000000000000004">
      <c r="A59" s="209" t="s">
        <v>578</v>
      </c>
      <c r="B59" s="209" t="s">
        <v>363</v>
      </c>
      <c r="C59" s="209" t="s">
        <v>364</v>
      </c>
      <c r="D59" s="209" t="s">
        <v>365</v>
      </c>
      <c r="E59" s="209" t="s">
        <v>366</v>
      </c>
      <c r="F59" s="209" t="s">
        <v>579</v>
      </c>
      <c r="G59" s="209" t="s">
        <v>580</v>
      </c>
      <c r="H59" s="209" t="s">
        <v>581</v>
      </c>
      <c r="I59" s="209" t="s">
        <v>582</v>
      </c>
      <c r="J59" s="209" t="s">
        <v>583</v>
      </c>
      <c r="K59" s="209" t="s">
        <v>584</v>
      </c>
      <c r="L59" s="209" t="s">
        <v>585</v>
      </c>
      <c r="M59" s="209" t="s">
        <v>586</v>
      </c>
    </row>
    <row r="60" spans="1:13" x14ac:dyDescent="0.55000000000000004">
      <c r="A60" s="209" t="s">
        <v>587</v>
      </c>
      <c r="B60" s="209" t="s">
        <v>376</v>
      </c>
      <c r="C60" s="209" t="s">
        <v>377</v>
      </c>
      <c r="D60" s="209" t="s">
        <v>378</v>
      </c>
      <c r="E60" s="209" t="s">
        <v>379</v>
      </c>
      <c r="F60" s="209" t="s">
        <v>579</v>
      </c>
      <c r="G60" s="209" t="s">
        <v>588</v>
      </c>
      <c r="H60" s="209" t="s">
        <v>581</v>
      </c>
      <c r="I60" s="209" t="s">
        <v>582</v>
      </c>
      <c r="J60" s="209" t="s">
        <v>583</v>
      </c>
      <c r="K60" s="209" t="s">
        <v>584</v>
      </c>
      <c r="L60" s="209" t="s">
        <v>589</v>
      </c>
      <c r="M60" s="209" t="s">
        <v>586</v>
      </c>
    </row>
    <row r="61" spans="1:13" x14ac:dyDescent="0.55000000000000004">
      <c r="A61" s="209" t="s">
        <v>590</v>
      </c>
      <c r="B61" s="209" t="s">
        <v>591</v>
      </c>
      <c r="C61" s="209" t="s">
        <v>592</v>
      </c>
      <c r="D61" s="209" t="s">
        <v>593</v>
      </c>
      <c r="E61" s="209" t="s">
        <v>594</v>
      </c>
      <c r="F61" s="209" t="s">
        <v>595</v>
      </c>
      <c r="G61" s="209" t="s">
        <v>596</v>
      </c>
      <c r="H61" s="209" t="s">
        <v>597</v>
      </c>
      <c r="I61" s="209" t="s">
        <v>598</v>
      </c>
      <c r="J61" s="209" t="s">
        <v>599</v>
      </c>
      <c r="K61" s="209" t="s">
        <v>600</v>
      </c>
      <c r="L61" s="209" t="s">
        <v>601</v>
      </c>
      <c r="M61" s="209" t="s">
        <v>602</v>
      </c>
    </row>
    <row r="62" spans="1:13" x14ac:dyDescent="0.55000000000000004">
      <c r="A62" s="209" t="s">
        <v>603</v>
      </c>
      <c r="B62" s="209" t="s">
        <v>604</v>
      </c>
      <c r="C62" s="209" t="s">
        <v>605</v>
      </c>
      <c r="D62" s="209" t="s">
        <v>606</v>
      </c>
      <c r="E62" s="209" t="s">
        <v>607</v>
      </c>
      <c r="F62" s="209" t="s">
        <v>595</v>
      </c>
      <c r="G62" s="209" t="s">
        <v>608</v>
      </c>
      <c r="H62" s="209" t="s">
        <v>597</v>
      </c>
      <c r="I62" s="209" t="s">
        <v>598</v>
      </c>
      <c r="J62" s="209" t="s">
        <v>599</v>
      </c>
      <c r="K62" s="209" t="s">
        <v>600</v>
      </c>
      <c r="L62" s="209" t="s">
        <v>609</v>
      </c>
      <c r="M62" s="209" t="s">
        <v>602</v>
      </c>
    </row>
    <row r="63" spans="1:13" x14ac:dyDescent="0.55000000000000004">
      <c r="A63" s="209" t="s">
        <v>6055</v>
      </c>
      <c r="B63" s="209" t="s">
        <v>6056</v>
      </c>
      <c r="C63" s="209" t="s">
        <v>6057</v>
      </c>
      <c r="D63" s="209" t="s">
        <v>6058</v>
      </c>
      <c r="E63" s="209" t="s">
        <v>6059</v>
      </c>
      <c r="F63" s="209" t="s">
        <v>6060</v>
      </c>
      <c r="G63" s="209" t="s">
        <v>6061</v>
      </c>
      <c r="H63" s="209" t="s">
        <v>6062</v>
      </c>
      <c r="I63" s="209" t="s">
        <v>6063</v>
      </c>
      <c r="J63" s="209" t="s">
        <v>6064</v>
      </c>
      <c r="K63" s="209" t="s">
        <v>6065</v>
      </c>
      <c r="L63" s="209" t="s">
        <v>6066</v>
      </c>
      <c r="M63" s="209" t="s">
        <v>6067</v>
      </c>
    </row>
    <row r="64" spans="1:13" x14ac:dyDescent="0.55000000000000004">
      <c r="A64" s="209" t="s">
        <v>6068</v>
      </c>
      <c r="B64" s="209" t="s">
        <v>6069</v>
      </c>
      <c r="C64" s="209" t="s">
        <v>6070</v>
      </c>
      <c r="D64" s="209" t="s">
        <v>6071</v>
      </c>
      <c r="E64" s="209" t="s">
        <v>6072</v>
      </c>
      <c r="F64" s="209" t="s">
        <v>6060</v>
      </c>
      <c r="G64" s="209" t="s">
        <v>6073</v>
      </c>
      <c r="H64" s="209" t="s">
        <v>6062</v>
      </c>
      <c r="I64" s="209" t="s">
        <v>6063</v>
      </c>
      <c r="J64" s="209" t="s">
        <v>6064</v>
      </c>
      <c r="K64" s="209" t="s">
        <v>6065</v>
      </c>
      <c r="L64" s="209" t="s">
        <v>6074</v>
      </c>
      <c r="M64" s="209" t="s">
        <v>6067</v>
      </c>
    </row>
    <row r="65" spans="1:13" x14ac:dyDescent="0.55000000000000004">
      <c r="A65" s="209" t="s">
        <v>6075</v>
      </c>
      <c r="B65" s="209" t="s">
        <v>6076</v>
      </c>
      <c r="C65" s="209" t="s">
        <v>6077</v>
      </c>
      <c r="D65" s="209" t="s">
        <v>6078</v>
      </c>
      <c r="E65" s="209" t="s">
        <v>6079</v>
      </c>
      <c r="F65" s="209" t="s">
        <v>6080</v>
      </c>
      <c r="G65" s="209" t="s">
        <v>6081</v>
      </c>
      <c r="H65" s="209" t="s">
        <v>6082</v>
      </c>
      <c r="I65" s="209" t="s">
        <v>6083</v>
      </c>
      <c r="J65" s="209" t="s">
        <v>6084</v>
      </c>
      <c r="K65" s="209" t="s">
        <v>6085</v>
      </c>
      <c r="L65" s="209" t="s">
        <v>6086</v>
      </c>
      <c r="M65" s="209" t="s">
        <v>6087</v>
      </c>
    </row>
    <row r="66" spans="1:13" x14ac:dyDescent="0.55000000000000004">
      <c r="A66" s="209" t="s">
        <v>6088</v>
      </c>
      <c r="B66" s="209" t="s">
        <v>6089</v>
      </c>
      <c r="C66" s="209" t="s">
        <v>6090</v>
      </c>
      <c r="D66" s="209" t="s">
        <v>6091</v>
      </c>
      <c r="E66" s="209" t="s">
        <v>6092</v>
      </c>
      <c r="F66" s="209" t="s">
        <v>6080</v>
      </c>
      <c r="G66" s="209" t="s">
        <v>6093</v>
      </c>
      <c r="H66" s="209" t="s">
        <v>6082</v>
      </c>
      <c r="I66" s="209" t="s">
        <v>6083</v>
      </c>
      <c r="J66" s="209" t="s">
        <v>6084</v>
      </c>
      <c r="K66" s="209" t="s">
        <v>6085</v>
      </c>
      <c r="L66" s="209" t="s">
        <v>6094</v>
      </c>
      <c r="M66" s="209" t="s">
        <v>6087</v>
      </c>
    </row>
    <row r="67" spans="1:13" x14ac:dyDescent="0.55000000000000004">
      <c r="A67" s="209" t="s">
        <v>628</v>
      </c>
      <c r="B67" s="209" t="s">
        <v>629</v>
      </c>
      <c r="C67" s="209" t="s">
        <v>630</v>
      </c>
      <c r="D67" s="209" t="s">
        <v>631</v>
      </c>
      <c r="E67" s="209" t="s">
        <v>632</v>
      </c>
      <c r="F67" s="209" t="s">
        <v>633</v>
      </c>
      <c r="G67" s="209" t="s">
        <v>634</v>
      </c>
      <c r="H67" s="209" t="s">
        <v>635</v>
      </c>
      <c r="I67" s="209" t="s">
        <v>636</v>
      </c>
      <c r="J67" s="209" t="s">
        <v>637</v>
      </c>
      <c r="K67" s="209" t="s">
        <v>638</v>
      </c>
      <c r="L67" s="209" t="s">
        <v>639</v>
      </c>
      <c r="M67" s="209" t="s">
        <v>640</v>
      </c>
    </row>
    <row r="68" spans="1:13" x14ac:dyDescent="0.55000000000000004">
      <c r="A68" s="209" t="s">
        <v>641</v>
      </c>
      <c r="B68" s="209" t="s">
        <v>642</v>
      </c>
      <c r="C68" s="209" t="s">
        <v>643</v>
      </c>
      <c r="D68" s="209" t="s">
        <v>644</v>
      </c>
      <c r="E68" s="209" t="s">
        <v>645</v>
      </c>
      <c r="F68" s="209" t="s">
        <v>633</v>
      </c>
      <c r="G68" s="209" t="s">
        <v>646</v>
      </c>
      <c r="H68" s="209" t="s">
        <v>635</v>
      </c>
      <c r="I68" s="209" t="s">
        <v>636</v>
      </c>
      <c r="J68" s="209" t="s">
        <v>637</v>
      </c>
      <c r="K68" s="209" t="s">
        <v>638</v>
      </c>
      <c r="L68" s="209" t="s">
        <v>647</v>
      </c>
      <c r="M68" s="209" t="s">
        <v>640</v>
      </c>
    </row>
    <row r="69" spans="1:13" x14ac:dyDescent="0.55000000000000004">
      <c r="A69" s="209" t="s">
        <v>648</v>
      </c>
      <c r="B69" s="209" t="s">
        <v>649</v>
      </c>
      <c r="C69" s="209" t="s">
        <v>650</v>
      </c>
      <c r="D69" s="209" t="s">
        <v>651</v>
      </c>
      <c r="E69" s="209" t="s">
        <v>652</v>
      </c>
      <c r="F69" s="209" t="s">
        <v>653</v>
      </c>
      <c r="G69" s="209" t="s">
        <v>654</v>
      </c>
      <c r="H69" s="209" t="s">
        <v>655</v>
      </c>
      <c r="I69" s="209" t="s">
        <v>656</v>
      </c>
      <c r="J69" s="209" t="s">
        <v>657</v>
      </c>
      <c r="K69" s="209" t="s">
        <v>658</v>
      </c>
      <c r="L69" s="209" t="s">
        <v>659</v>
      </c>
      <c r="M69" s="209" t="s">
        <v>660</v>
      </c>
    </row>
    <row r="70" spans="1:13" x14ac:dyDescent="0.55000000000000004">
      <c r="A70" s="209" t="s">
        <v>661</v>
      </c>
      <c r="B70" s="209" t="s">
        <v>662</v>
      </c>
      <c r="C70" s="209" t="s">
        <v>663</v>
      </c>
      <c r="D70" s="209" t="s">
        <v>664</v>
      </c>
      <c r="E70" s="209" t="s">
        <v>665</v>
      </c>
      <c r="F70" s="209" t="s">
        <v>653</v>
      </c>
      <c r="G70" s="209" t="s">
        <v>666</v>
      </c>
      <c r="H70" s="209" t="s">
        <v>655</v>
      </c>
      <c r="I70" s="209" t="s">
        <v>656</v>
      </c>
      <c r="J70" s="209" t="s">
        <v>657</v>
      </c>
      <c r="K70" s="209" t="s">
        <v>658</v>
      </c>
      <c r="L70" s="209" t="s">
        <v>667</v>
      </c>
      <c r="M70" s="209" t="s">
        <v>660</v>
      </c>
    </row>
    <row r="71" spans="1:13" x14ac:dyDescent="0.55000000000000004">
      <c r="A71" s="209" t="s">
        <v>668</v>
      </c>
      <c r="B71" s="209" t="s">
        <v>669</v>
      </c>
      <c r="C71" s="209" t="s">
        <v>670</v>
      </c>
      <c r="D71" s="209" t="s">
        <v>671</v>
      </c>
      <c r="E71" s="209" t="s">
        <v>672</v>
      </c>
      <c r="F71" s="209" t="s">
        <v>673</v>
      </c>
      <c r="G71" s="209" t="s">
        <v>674</v>
      </c>
      <c r="H71" s="209" t="s">
        <v>675</v>
      </c>
      <c r="I71" s="209" t="s">
        <v>676</v>
      </c>
      <c r="J71" s="209" t="s">
        <v>677</v>
      </c>
      <c r="K71" s="209" t="s">
        <v>678</v>
      </c>
      <c r="L71" s="209" t="s">
        <v>679</v>
      </c>
      <c r="M71" s="209" t="s">
        <v>680</v>
      </c>
    </row>
    <row r="72" spans="1:13" x14ac:dyDescent="0.55000000000000004">
      <c r="A72" s="209" t="s">
        <v>681</v>
      </c>
      <c r="B72" s="209" t="s">
        <v>682</v>
      </c>
      <c r="C72" s="209" t="s">
        <v>683</v>
      </c>
      <c r="D72" s="209" t="s">
        <v>684</v>
      </c>
      <c r="E72" s="209" t="s">
        <v>685</v>
      </c>
      <c r="F72" s="209" t="s">
        <v>673</v>
      </c>
      <c r="G72" s="209" t="s">
        <v>686</v>
      </c>
      <c r="H72" s="209" t="s">
        <v>675</v>
      </c>
      <c r="I72" s="209" t="s">
        <v>676</v>
      </c>
      <c r="J72" s="209" t="s">
        <v>677</v>
      </c>
      <c r="K72" s="209" t="s">
        <v>678</v>
      </c>
      <c r="L72" s="209" t="s">
        <v>687</v>
      </c>
      <c r="M72" s="209" t="s">
        <v>680</v>
      </c>
    </row>
    <row r="73" spans="1:13" x14ac:dyDescent="0.55000000000000004">
      <c r="A73" s="209" t="s">
        <v>688</v>
      </c>
      <c r="B73" s="209" t="s">
        <v>629</v>
      </c>
      <c r="C73" s="209" t="s">
        <v>630</v>
      </c>
      <c r="D73" s="209" t="s">
        <v>631</v>
      </c>
      <c r="E73" s="209" t="s">
        <v>632</v>
      </c>
      <c r="F73" s="209" t="s">
        <v>689</v>
      </c>
      <c r="G73" s="209" t="s">
        <v>690</v>
      </c>
      <c r="H73" s="209" t="s">
        <v>691</v>
      </c>
      <c r="I73" s="209" t="s">
        <v>692</v>
      </c>
      <c r="J73" s="209" t="s">
        <v>693</v>
      </c>
      <c r="K73" s="209" t="s">
        <v>694</v>
      </c>
      <c r="L73" s="209" t="s">
        <v>695</v>
      </c>
      <c r="M73" s="209" t="s">
        <v>696</v>
      </c>
    </row>
    <row r="74" spans="1:13" x14ac:dyDescent="0.55000000000000004">
      <c r="A74" s="209" t="s">
        <v>697</v>
      </c>
      <c r="B74" s="209" t="s">
        <v>642</v>
      </c>
      <c r="C74" s="209" t="s">
        <v>643</v>
      </c>
      <c r="D74" s="209" t="s">
        <v>644</v>
      </c>
      <c r="E74" s="209" t="s">
        <v>645</v>
      </c>
      <c r="F74" s="209" t="s">
        <v>689</v>
      </c>
      <c r="G74" s="209" t="s">
        <v>698</v>
      </c>
      <c r="H74" s="209" t="s">
        <v>691</v>
      </c>
      <c r="I74" s="209" t="s">
        <v>692</v>
      </c>
      <c r="J74" s="209" t="s">
        <v>693</v>
      </c>
      <c r="K74" s="209" t="s">
        <v>694</v>
      </c>
      <c r="L74" s="209" t="s">
        <v>699</v>
      </c>
      <c r="M74" s="209" t="s">
        <v>696</v>
      </c>
    </row>
    <row r="75" spans="1:13" x14ac:dyDescent="0.55000000000000004">
      <c r="A75" s="209" t="s">
        <v>700</v>
      </c>
      <c r="B75" s="209" t="s">
        <v>701</v>
      </c>
      <c r="C75" s="209" t="s">
        <v>702</v>
      </c>
      <c r="D75" s="209" t="s">
        <v>703</v>
      </c>
      <c r="E75" s="209" t="s">
        <v>704</v>
      </c>
      <c r="F75" s="209" t="s">
        <v>705</v>
      </c>
      <c r="G75" s="209" t="s">
        <v>706</v>
      </c>
      <c r="H75" s="209" t="s">
        <v>707</v>
      </c>
      <c r="I75" s="209" t="s">
        <v>708</v>
      </c>
      <c r="J75" s="209" t="s">
        <v>709</v>
      </c>
      <c r="K75" s="209" t="s">
        <v>710</v>
      </c>
      <c r="L75" s="209" t="s">
        <v>711</v>
      </c>
      <c r="M75" s="209" t="s">
        <v>712</v>
      </c>
    </row>
    <row r="76" spans="1:13" x14ac:dyDescent="0.55000000000000004">
      <c r="A76" s="209" t="s">
        <v>713</v>
      </c>
      <c r="B76" s="209" t="s">
        <v>714</v>
      </c>
      <c r="C76" s="209" t="s">
        <v>715</v>
      </c>
      <c r="D76" s="209" t="s">
        <v>716</v>
      </c>
      <c r="E76" s="209" t="s">
        <v>717</v>
      </c>
      <c r="F76" s="209" t="s">
        <v>705</v>
      </c>
      <c r="G76" s="209" t="s">
        <v>718</v>
      </c>
      <c r="H76" s="209" t="s">
        <v>707</v>
      </c>
      <c r="I76" s="209" t="s">
        <v>708</v>
      </c>
      <c r="J76" s="209" t="s">
        <v>709</v>
      </c>
      <c r="K76" s="209" t="s">
        <v>710</v>
      </c>
      <c r="L76" s="209" t="s">
        <v>719</v>
      </c>
      <c r="M76" s="209" t="s">
        <v>712</v>
      </c>
    </row>
    <row r="77" spans="1:13" x14ac:dyDescent="0.55000000000000004">
      <c r="A77" s="209" t="s">
        <v>720</v>
      </c>
      <c r="B77" s="209" t="s">
        <v>721</v>
      </c>
      <c r="C77" s="209" t="s">
        <v>722</v>
      </c>
      <c r="D77" s="209" t="s">
        <v>723</v>
      </c>
      <c r="E77" s="209" t="s">
        <v>724</v>
      </c>
      <c r="F77" s="209" t="s">
        <v>725</v>
      </c>
      <c r="G77" s="209" t="s">
        <v>726</v>
      </c>
      <c r="H77" s="209" t="s">
        <v>727</v>
      </c>
      <c r="I77" s="209" t="s">
        <v>728</v>
      </c>
      <c r="J77" s="209" t="s">
        <v>729</v>
      </c>
      <c r="K77" s="209" t="s">
        <v>730</v>
      </c>
      <c r="L77" s="209" t="s">
        <v>731</v>
      </c>
      <c r="M77" s="209" t="s">
        <v>732</v>
      </c>
    </row>
    <row r="78" spans="1:13" x14ac:dyDescent="0.55000000000000004">
      <c r="A78" s="209" t="s">
        <v>733</v>
      </c>
      <c r="B78" s="209" t="s">
        <v>734</v>
      </c>
      <c r="C78" s="209" t="s">
        <v>735</v>
      </c>
      <c r="D78" s="209" t="s">
        <v>736</v>
      </c>
      <c r="E78" s="209" t="s">
        <v>737</v>
      </c>
      <c r="F78" s="209" t="s">
        <v>725</v>
      </c>
      <c r="G78" s="209" t="s">
        <v>738</v>
      </c>
      <c r="H78" s="209" t="s">
        <v>727</v>
      </c>
      <c r="I78" s="209" t="s">
        <v>728</v>
      </c>
      <c r="J78" s="209" t="s">
        <v>729</v>
      </c>
      <c r="K78" s="209" t="s">
        <v>730</v>
      </c>
      <c r="L78" s="209" t="s">
        <v>739</v>
      </c>
      <c r="M78" s="209" t="s">
        <v>732</v>
      </c>
    </row>
    <row r="79" spans="1:13" x14ac:dyDescent="0.55000000000000004">
      <c r="A79" s="209" t="s">
        <v>740</v>
      </c>
      <c r="B79" s="209" t="s">
        <v>741</v>
      </c>
      <c r="C79" s="209" t="s">
        <v>742</v>
      </c>
      <c r="D79" s="209" t="s">
        <v>743</v>
      </c>
      <c r="E79" s="209" t="s">
        <v>744</v>
      </c>
      <c r="F79" s="209" t="s">
        <v>745</v>
      </c>
      <c r="G79" s="209" t="s">
        <v>746</v>
      </c>
      <c r="H79" s="209" t="s">
        <v>747</v>
      </c>
      <c r="I79" s="209" t="s">
        <v>748</v>
      </c>
      <c r="J79" s="209" t="s">
        <v>749</v>
      </c>
      <c r="K79" s="209" t="s">
        <v>750</v>
      </c>
      <c r="L79" s="209" t="s">
        <v>751</v>
      </c>
      <c r="M79" s="209" t="s">
        <v>752</v>
      </c>
    </row>
    <row r="80" spans="1:13" x14ac:dyDescent="0.55000000000000004">
      <c r="A80" s="209" t="s">
        <v>753</v>
      </c>
      <c r="B80" s="209" t="s">
        <v>754</v>
      </c>
      <c r="C80" s="209" t="s">
        <v>755</v>
      </c>
      <c r="D80" s="209" t="s">
        <v>756</v>
      </c>
      <c r="E80" s="209" t="s">
        <v>757</v>
      </c>
      <c r="F80" s="209" t="s">
        <v>745</v>
      </c>
      <c r="G80" s="209" t="s">
        <v>758</v>
      </c>
      <c r="H80" s="209" t="s">
        <v>747</v>
      </c>
      <c r="I80" s="209" t="s">
        <v>748</v>
      </c>
      <c r="J80" s="209" t="s">
        <v>749</v>
      </c>
      <c r="K80" s="209" t="s">
        <v>750</v>
      </c>
      <c r="L80" s="209" t="s">
        <v>759</v>
      </c>
      <c r="M80" s="209" t="s">
        <v>752</v>
      </c>
    </row>
    <row r="81" spans="1:13" x14ac:dyDescent="0.55000000000000004">
      <c r="A81" s="209" t="s">
        <v>760</v>
      </c>
      <c r="B81" s="209" t="s">
        <v>761</v>
      </c>
      <c r="C81" s="209" t="s">
        <v>762</v>
      </c>
      <c r="D81" s="209" t="s">
        <v>763</v>
      </c>
      <c r="E81" s="209" t="s">
        <v>764</v>
      </c>
      <c r="F81" s="209" t="s">
        <v>765</v>
      </c>
      <c r="G81" s="209" t="s">
        <v>766</v>
      </c>
      <c r="H81" s="209" t="s">
        <v>767</v>
      </c>
      <c r="I81" s="209" t="s">
        <v>768</v>
      </c>
      <c r="J81" s="209" t="s">
        <v>769</v>
      </c>
      <c r="K81" s="209" t="s">
        <v>770</v>
      </c>
      <c r="L81" s="209" t="s">
        <v>771</v>
      </c>
      <c r="M81" s="209" t="s">
        <v>772</v>
      </c>
    </row>
    <row r="82" spans="1:13" x14ac:dyDescent="0.55000000000000004">
      <c r="A82" s="209" t="s">
        <v>773</v>
      </c>
      <c r="B82" s="209" t="s">
        <v>774</v>
      </c>
      <c r="C82" s="209" t="s">
        <v>775</v>
      </c>
      <c r="D82" s="209" t="s">
        <v>776</v>
      </c>
      <c r="E82" s="209" t="s">
        <v>777</v>
      </c>
      <c r="F82" s="209" t="s">
        <v>765</v>
      </c>
      <c r="G82" s="209" t="s">
        <v>778</v>
      </c>
      <c r="H82" s="209" t="s">
        <v>767</v>
      </c>
      <c r="I82" s="209" t="s">
        <v>768</v>
      </c>
      <c r="J82" s="209" t="s">
        <v>769</v>
      </c>
      <c r="K82" s="209" t="s">
        <v>770</v>
      </c>
      <c r="L82" s="209" t="s">
        <v>779</v>
      </c>
      <c r="M82" s="209" t="s">
        <v>772</v>
      </c>
    </row>
    <row r="83" spans="1:13" x14ac:dyDescent="0.55000000000000004">
      <c r="A83" s="209" t="s">
        <v>780</v>
      </c>
      <c r="B83" s="209" t="s">
        <v>781</v>
      </c>
      <c r="C83" s="209" t="s">
        <v>782</v>
      </c>
      <c r="D83" s="209" t="s">
        <v>783</v>
      </c>
      <c r="E83" s="209" t="s">
        <v>784</v>
      </c>
      <c r="F83" s="209" t="s">
        <v>785</v>
      </c>
      <c r="G83" s="209" t="s">
        <v>786</v>
      </c>
      <c r="H83" s="209" t="s">
        <v>787</v>
      </c>
      <c r="I83" s="209" t="s">
        <v>788</v>
      </c>
      <c r="J83" s="209" t="s">
        <v>789</v>
      </c>
      <c r="K83" s="209" t="s">
        <v>790</v>
      </c>
      <c r="L83" s="209" t="s">
        <v>791</v>
      </c>
      <c r="M83" s="209" t="s">
        <v>792</v>
      </c>
    </row>
    <row r="84" spans="1:13" x14ac:dyDescent="0.55000000000000004">
      <c r="A84" s="209" t="s">
        <v>793</v>
      </c>
      <c r="B84" s="209" t="s">
        <v>794</v>
      </c>
      <c r="C84" s="209" t="s">
        <v>795</v>
      </c>
      <c r="D84" s="209" t="s">
        <v>796</v>
      </c>
      <c r="E84" s="209" t="s">
        <v>797</v>
      </c>
      <c r="F84" s="209" t="s">
        <v>785</v>
      </c>
      <c r="G84" s="209" t="s">
        <v>798</v>
      </c>
      <c r="H84" s="209" t="s">
        <v>787</v>
      </c>
      <c r="I84" s="209" t="s">
        <v>788</v>
      </c>
      <c r="J84" s="209" t="s">
        <v>789</v>
      </c>
      <c r="K84" s="209" t="s">
        <v>790</v>
      </c>
      <c r="L84" s="209" t="s">
        <v>799</v>
      </c>
      <c r="M84" s="209" t="s">
        <v>792</v>
      </c>
    </row>
    <row r="85" spans="1:13" x14ac:dyDescent="0.55000000000000004">
      <c r="A85" s="209" t="s">
        <v>800</v>
      </c>
      <c r="B85" s="209" t="s">
        <v>701</v>
      </c>
      <c r="C85" s="209" t="s">
        <v>702</v>
      </c>
      <c r="D85" s="209" t="s">
        <v>703</v>
      </c>
      <c r="E85" s="209" t="s">
        <v>704</v>
      </c>
      <c r="F85" s="209" t="s">
        <v>801</v>
      </c>
      <c r="G85" s="209" t="s">
        <v>802</v>
      </c>
      <c r="H85" s="209" t="s">
        <v>803</v>
      </c>
      <c r="I85" s="209" t="s">
        <v>804</v>
      </c>
      <c r="J85" s="209" t="s">
        <v>805</v>
      </c>
      <c r="K85" s="209" t="s">
        <v>806</v>
      </c>
      <c r="L85" s="209" t="s">
        <v>807</v>
      </c>
      <c r="M85" s="209" t="s">
        <v>808</v>
      </c>
    </row>
    <row r="86" spans="1:13" x14ac:dyDescent="0.55000000000000004">
      <c r="A86" s="209" t="s">
        <v>809</v>
      </c>
      <c r="B86" s="209" t="s">
        <v>714</v>
      </c>
      <c r="C86" s="209" t="s">
        <v>715</v>
      </c>
      <c r="D86" s="209" t="s">
        <v>716</v>
      </c>
      <c r="E86" s="209" t="s">
        <v>717</v>
      </c>
      <c r="F86" s="209" t="s">
        <v>801</v>
      </c>
      <c r="G86" s="209" t="s">
        <v>810</v>
      </c>
      <c r="H86" s="209" t="s">
        <v>803</v>
      </c>
      <c r="I86" s="209" t="s">
        <v>804</v>
      </c>
      <c r="J86" s="209" t="s">
        <v>805</v>
      </c>
      <c r="K86" s="209" t="s">
        <v>806</v>
      </c>
      <c r="L86" s="209" t="s">
        <v>811</v>
      </c>
      <c r="M86" s="209" t="s">
        <v>808</v>
      </c>
    </row>
    <row r="87" spans="1:13" x14ac:dyDescent="0.55000000000000004">
      <c r="A87" s="209" t="s">
        <v>812</v>
      </c>
      <c r="B87" s="209" t="s">
        <v>721</v>
      </c>
      <c r="C87" s="209" t="s">
        <v>722</v>
      </c>
      <c r="D87" s="209" t="s">
        <v>723</v>
      </c>
      <c r="E87" s="209" t="s">
        <v>724</v>
      </c>
      <c r="F87" s="209" t="s">
        <v>813</v>
      </c>
      <c r="G87" s="209" t="s">
        <v>814</v>
      </c>
      <c r="H87" s="209" t="s">
        <v>815</v>
      </c>
      <c r="I87" s="209" t="s">
        <v>816</v>
      </c>
      <c r="J87" s="209" t="s">
        <v>817</v>
      </c>
      <c r="K87" s="209" t="s">
        <v>818</v>
      </c>
      <c r="L87" s="209" t="s">
        <v>819</v>
      </c>
      <c r="M87" s="209" t="s">
        <v>820</v>
      </c>
    </row>
    <row r="88" spans="1:13" x14ac:dyDescent="0.55000000000000004">
      <c r="A88" s="209" t="s">
        <v>821</v>
      </c>
      <c r="B88" s="209" t="s">
        <v>734</v>
      </c>
      <c r="C88" s="209" t="s">
        <v>735</v>
      </c>
      <c r="D88" s="209" t="s">
        <v>736</v>
      </c>
      <c r="E88" s="209" t="s">
        <v>737</v>
      </c>
      <c r="F88" s="209" t="s">
        <v>813</v>
      </c>
      <c r="G88" s="209" t="s">
        <v>822</v>
      </c>
      <c r="H88" s="209" t="s">
        <v>815</v>
      </c>
      <c r="I88" s="209" t="s">
        <v>816</v>
      </c>
      <c r="J88" s="209" t="s">
        <v>817</v>
      </c>
      <c r="K88" s="209" t="s">
        <v>818</v>
      </c>
      <c r="L88" s="209" t="s">
        <v>823</v>
      </c>
      <c r="M88" s="209" t="s">
        <v>820</v>
      </c>
    </row>
    <row r="89" spans="1:13" x14ac:dyDescent="0.55000000000000004">
      <c r="A89" s="209" t="s">
        <v>824</v>
      </c>
      <c r="B89" s="209" t="s">
        <v>825</v>
      </c>
      <c r="C89" s="209" t="s">
        <v>826</v>
      </c>
      <c r="D89" s="209" t="s">
        <v>827</v>
      </c>
      <c r="E89" s="209" t="s">
        <v>828</v>
      </c>
      <c r="F89" s="209" t="s">
        <v>829</v>
      </c>
      <c r="G89" s="209" t="s">
        <v>830</v>
      </c>
      <c r="H89" s="209" t="s">
        <v>831</v>
      </c>
      <c r="I89" s="209" t="s">
        <v>832</v>
      </c>
      <c r="J89" s="209" t="s">
        <v>833</v>
      </c>
      <c r="K89" s="209" t="s">
        <v>834</v>
      </c>
      <c r="L89" s="209" t="s">
        <v>835</v>
      </c>
      <c r="M89" s="209" t="s">
        <v>836</v>
      </c>
    </row>
    <row r="90" spans="1:13" x14ac:dyDescent="0.55000000000000004">
      <c r="A90" s="209" t="s">
        <v>837</v>
      </c>
      <c r="B90" s="209" t="s">
        <v>838</v>
      </c>
      <c r="C90" s="209" t="s">
        <v>839</v>
      </c>
      <c r="D90" s="209" t="s">
        <v>840</v>
      </c>
      <c r="E90" s="209" t="s">
        <v>841</v>
      </c>
      <c r="F90" s="209" t="s">
        <v>829</v>
      </c>
      <c r="G90" s="209" t="s">
        <v>842</v>
      </c>
      <c r="H90" s="209" t="s">
        <v>831</v>
      </c>
      <c r="I90" s="209" t="s">
        <v>832</v>
      </c>
      <c r="J90" s="209" t="s">
        <v>833</v>
      </c>
      <c r="K90" s="209" t="s">
        <v>834</v>
      </c>
      <c r="L90" s="209" t="s">
        <v>843</v>
      </c>
      <c r="M90" s="209" t="s">
        <v>836</v>
      </c>
    </row>
    <row r="91" spans="1:13" x14ac:dyDescent="0.55000000000000004">
      <c r="A91" s="209" t="s">
        <v>844</v>
      </c>
      <c r="B91" s="209" t="s">
        <v>701</v>
      </c>
      <c r="C91" s="209" t="s">
        <v>702</v>
      </c>
      <c r="D91" s="209" t="s">
        <v>703</v>
      </c>
      <c r="E91" s="209" t="s">
        <v>704</v>
      </c>
      <c r="F91" s="209" t="s">
        <v>845</v>
      </c>
      <c r="G91" s="209" t="s">
        <v>846</v>
      </c>
      <c r="H91" s="209" t="s">
        <v>847</v>
      </c>
      <c r="I91" s="209" t="s">
        <v>848</v>
      </c>
      <c r="J91" s="209" t="s">
        <v>849</v>
      </c>
      <c r="K91" s="209" t="s">
        <v>850</v>
      </c>
      <c r="L91" s="209" t="s">
        <v>851</v>
      </c>
      <c r="M91" s="209" t="s">
        <v>852</v>
      </c>
    </row>
    <row r="92" spans="1:13" x14ac:dyDescent="0.55000000000000004">
      <c r="A92" s="209" t="s">
        <v>853</v>
      </c>
      <c r="B92" s="209" t="s">
        <v>714</v>
      </c>
      <c r="C92" s="209" t="s">
        <v>715</v>
      </c>
      <c r="D92" s="209" t="s">
        <v>716</v>
      </c>
      <c r="E92" s="209" t="s">
        <v>717</v>
      </c>
      <c r="F92" s="209" t="s">
        <v>845</v>
      </c>
      <c r="G92" s="209" t="s">
        <v>854</v>
      </c>
      <c r="H92" s="209" t="s">
        <v>847</v>
      </c>
      <c r="I92" s="209" t="s">
        <v>848</v>
      </c>
      <c r="J92" s="209" t="s">
        <v>849</v>
      </c>
      <c r="K92" s="209" t="s">
        <v>850</v>
      </c>
      <c r="L92" s="209" t="s">
        <v>855</v>
      </c>
      <c r="M92" s="209" t="s">
        <v>852</v>
      </c>
    </row>
    <row r="93" spans="1:13" x14ac:dyDescent="0.55000000000000004">
      <c r="A93" s="209" t="s">
        <v>856</v>
      </c>
      <c r="B93" s="209" t="s">
        <v>629</v>
      </c>
      <c r="C93" s="209" t="s">
        <v>630</v>
      </c>
      <c r="D93" s="209" t="s">
        <v>631</v>
      </c>
      <c r="E93" s="209" t="s">
        <v>632</v>
      </c>
      <c r="F93" s="209" t="s">
        <v>857</v>
      </c>
      <c r="G93" s="209" t="s">
        <v>858</v>
      </c>
      <c r="H93" s="209" t="s">
        <v>859</v>
      </c>
      <c r="I93" s="209" t="s">
        <v>860</v>
      </c>
      <c r="J93" s="209" t="s">
        <v>861</v>
      </c>
      <c r="K93" s="209" t="s">
        <v>862</v>
      </c>
      <c r="L93" s="209" t="s">
        <v>863</v>
      </c>
      <c r="M93" s="209" t="s">
        <v>864</v>
      </c>
    </row>
    <row r="94" spans="1:13" x14ac:dyDescent="0.55000000000000004">
      <c r="A94" s="209" t="s">
        <v>865</v>
      </c>
      <c r="B94" s="209" t="s">
        <v>642</v>
      </c>
      <c r="C94" s="209" t="s">
        <v>643</v>
      </c>
      <c r="D94" s="209" t="s">
        <v>644</v>
      </c>
      <c r="E94" s="209" t="s">
        <v>645</v>
      </c>
      <c r="F94" s="209" t="s">
        <v>857</v>
      </c>
      <c r="G94" s="209" t="s">
        <v>866</v>
      </c>
      <c r="H94" s="209" t="s">
        <v>859</v>
      </c>
      <c r="I94" s="209" t="s">
        <v>860</v>
      </c>
      <c r="J94" s="209" t="s">
        <v>861</v>
      </c>
      <c r="K94" s="209" t="s">
        <v>862</v>
      </c>
      <c r="L94" s="209" t="s">
        <v>867</v>
      </c>
      <c r="M94" s="209" t="s">
        <v>864</v>
      </c>
    </row>
    <row r="95" spans="1:13" x14ac:dyDescent="0.55000000000000004">
      <c r="A95" s="209" t="s">
        <v>868</v>
      </c>
      <c r="B95" s="209" t="s">
        <v>649</v>
      </c>
      <c r="C95" s="209" t="s">
        <v>650</v>
      </c>
      <c r="D95" s="209" t="s">
        <v>651</v>
      </c>
      <c r="E95" s="209" t="s">
        <v>652</v>
      </c>
      <c r="F95" s="209" t="s">
        <v>869</v>
      </c>
      <c r="G95" s="209" t="s">
        <v>870</v>
      </c>
      <c r="H95" s="209" t="s">
        <v>871</v>
      </c>
      <c r="I95" s="209" t="s">
        <v>872</v>
      </c>
      <c r="J95" s="209" t="s">
        <v>873</v>
      </c>
      <c r="K95" s="209" t="s">
        <v>874</v>
      </c>
      <c r="L95" s="209" t="s">
        <v>875</v>
      </c>
      <c r="M95" s="209" t="s">
        <v>876</v>
      </c>
    </row>
    <row r="96" spans="1:13" x14ac:dyDescent="0.55000000000000004">
      <c r="A96" s="209" t="s">
        <v>877</v>
      </c>
      <c r="B96" s="209" t="s">
        <v>662</v>
      </c>
      <c r="C96" s="209" t="s">
        <v>663</v>
      </c>
      <c r="D96" s="209" t="s">
        <v>664</v>
      </c>
      <c r="E96" s="209" t="s">
        <v>665</v>
      </c>
      <c r="F96" s="209" t="s">
        <v>869</v>
      </c>
      <c r="G96" s="209" t="s">
        <v>878</v>
      </c>
      <c r="H96" s="209" t="s">
        <v>871</v>
      </c>
      <c r="I96" s="209" t="s">
        <v>872</v>
      </c>
      <c r="J96" s="209" t="s">
        <v>873</v>
      </c>
      <c r="K96" s="209" t="s">
        <v>874</v>
      </c>
      <c r="L96" s="209" t="s">
        <v>879</v>
      </c>
      <c r="M96" s="209" t="s">
        <v>876</v>
      </c>
    </row>
  </sheetData>
  <phoneticPr fontId="1"/>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FE419-5389-479B-8F0A-F45ACCEE13A7}">
  <sheetPr codeName="Sheet15"/>
  <dimension ref="A1:P18"/>
  <sheetViews>
    <sheetView zoomScaleNormal="100" workbookViewId="0">
      <selection activeCell="F8" sqref="F8"/>
    </sheetView>
  </sheetViews>
  <sheetFormatPr defaultColWidth="8.58203125" defaultRowHeight="18" x14ac:dyDescent="0.55000000000000004"/>
  <cols>
    <col min="1" max="2" width="11" style="250" customWidth="1"/>
    <col min="3" max="3" width="9.08203125" style="250" customWidth="1"/>
    <col min="4" max="4" width="12.83203125" style="250" customWidth="1"/>
    <col min="5" max="5" width="23.83203125" style="250" customWidth="1"/>
    <col min="6" max="6" width="14.58203125" style="250" customWidth="1"/>
    <col min="7" max="7" width="41.1640625" style="250" customWidth="1"/>
    <col min="8" max="9" width="8.58203125" style="250" customWidth="1"/>
    <col min="10" max="10" width="16.5" style="250" hidden="1" customWidth="1"/>
    <col min="11" max="11" width="50.33203125" style="250" hidden="1" customWidth="1"/>
    <col min="12" max="12" width="0" style="250" hidden="1" customWidth="1"/>
    <col min="13" max="13" width="33.08203125" style="250" bestFit="1" customWidth="1"/>
    <col min="14" max="14" width="58.33203125" style="250" bestFit="1" customWidth="1"/>
    <col min="15" max="15" width="29.1640625" style="250" bestFit="1" customWidth="1"/>
    <col min="16" max="16" width="55.58203125" style="250" bestFit="1" customWidth="1"/>
    <col min="17" max="16384" width="8.58203125" style="250"/>
  </cols>
  <sheetData>
    <row r="1" spans="1:16" ht="27" x14ac:dyDescent="0.55000000000000004">
      <c r="A1" s="249" t="s">
        <v>6412</v>
      </c>
      <c r="B1" s="249" t="s">
        <v>6413</v>
      </c>
      <c r="C1" s="249" t="s">
        <v>6414</v>
      </c>
      <c r="D1" s="249" t="s">
        <v>6415</v>
      </c>
      <c r="E1" s="249" t="s">
        <v>6416</v>
      </c>
      <c r="F1" s="249" t="s">
        <v>6417</v>
      </c>
      <c r="G1" s="249" t="s">
        <v>6418</v>
      </c>
      <c r="J1" s="249" t="s">
        <v>6419</v>
      </c>
      <c r="K1" s="249" t="s">
        <v>6420</v>
      </c>
      <c r="M1" s="251" t="s">
        <v>6421</v>
      </c>
      <c r="N1" s="251" t="s">
        <v>6422</v>
      </c>
      <c r="O1" s="251" t="s">
        <v>6423</v>
      </c>
      <c r="P1" s="251" t="s">
        <v>6424</v>
      </c>
    </row>
    <row r="2" spans="1:16" ht="27" x14ac:dyDescent="0.55000000000000004">
      <c r="A2" s="252" t="s">
        <v>6425</v>
      </c>
      <c r="B2" s="252"/>
      <c r="C2" s="252"/>
      <c r="D2" s="252" t="s">
        <v>6426</v>
      </c>
      <c r="E2" s="252" t="s">
        <v>6427</v>
      </c>
      <c r="F2" s="252" t="b">
        <v>1</v>
      </c>
      <c r="G2" s="250" t="s">
        <v>7212</v>
      </c>
      <c r="J2" s="252" t="s">
        <v>6428</v>
      </c>
      <c r="K2" s="252" t="s">
        <v>6429</v>
      </c>
      <c r="M2" s="250" t="s">
        <v>6430</v>
      </c>
      <c r="N2" s="250" t="s">
        <v>6431</v>
      </c>
      <c r="O2" s="250" t="s">
        <v>6432</v>
      </c>
      <c r="P2" s="250" t="s">
        <v>7211</v>
      </c>
    </row>
    <row r="3" spans="1:16" ht="27" x14ac:dyDescent="0.55000000000000004">
      <c r="A3" s="252" t="s">
        <v>6433</v>
      </c>
      <c r="B3" s="252"/>
      <c r="C3" s="252"/>
      <c r="D3" s="252" t="s">
        <v>6433</v>
      </c>
      <c r="E3" s="252" t="s">
        <v>6427</v>
      </c>
      <c r="F3" s="252" t="b">
        <v>1</v>
      </c>
      <c r="G3" s="250" t="s">
        <v>7212</v>
      </c>
      <c r="J3" s="252" t="s">
        <v>6434</v>
      </c>
      <c r="K3" s="252" t="s">
        <v>6435</v>
      </c>
      <c r="M3" s="250" t="s">
        <v>6427</v>
      </c>
      <c r="N3" s="250" t="s">
        <v>6436</v>
      </c>
      <c r="O3" s="250" t="s">
        <v>6437</v>
      </c>
      <c r="P3" s="250" t="s">
        <v>7212</v>
      </c>
    </row>
    <row r="4" spans="1:16" ht="27" x14ac:dyDescent="0.55000000000000004">
      <c r="A4" s="252" t="s">
        <v>6438</v>
      </c>
      <c r="B4" s="252"/>
      <c r="C4" s="252"/>
      <c r="D4" s="252" t="s">
        <v>6438</v>
      </c>
      <c r="E4" s="252" t="s">
        <v>6427</v>
      </c>
      <c r="F4" s="252" t="b">
        <v>1</v>
      </c>
      <c r="G4" s="250" t="s">
        <v>7212</v>
      </c>
      <c r="J4" s="252" t="s">
        <v>6439</v>
      </c>
      <c r="K4" s="252" t="s">
        <v>6440</v>
      </c>
      <c r="M4" s="250" t="s">
        <v>6441</v>
      </c>
      <c r="N4" s="250" t="s">
        <v>6442</v>
      </c>
      <c r="O4" s="250" t="s">
        <v>6443</v>
      </c>
      <c r="P4" s="250" t="s">
        <v>7213</v>
      </c>
    </row>
    <row r="5" spans="1:16" ht="27" x14ac:dyDescent="0.55000000000000004">
      <c r="A5" s="252" t="s">
        <v>6444</v>
      </c>
      <c r="B5" s="252"/>
      <c r="C5" s="252"/>
      <c r="D5" s="252" t="s">
        <v>6444</v>
      </c>
      <c r="E5" s="252" t="s">
        <v>6427</v>
      </c>
      <c r="F5" s="252" t="b">
        <v>1</v>
      </c>
      <c r="G5" s="250" t="s">
        <v>7212</v>
      </c>
      <c r="J5" s="252" t="s">
        <v>6445</v>
      </c>
      <c r="K5" s="252" t="s">
        <v>6446</v>
      </c>
    </row>
    <row r="6" spans="1:16" ht="27" x14ac:dyDescent="0.55000000000000004">
      <c r="A6" s="252" t="s">
        <v>6407</v>
      </c>
      <c r="B6" s="252"/>
      <c r="C6" s="252"/>
      <c r="D6" s="252" t="s">
        <v>6407</v>
      </c>
      <c r="E6" s="252" t="s">
        <v>6427</v>
      </c>
      <c r="F6" s="252" t="b">
        <v>1</v>
      </c>
      <c r="G6" s="250" t="s">
        <v>7212</v>
      </c>
      <c r="J6" s="252"/>
      <c r="K6" s="252"/>
    </row>
    <row r="7" spans="1:16" ht="27" x14ac:dyDescent="0.55000000000000004">
      <c r="A7" s="252" t="s">
        <v>7210</v>
      </c>
      <c r="B7" s="252"/>
      <c r="C7" s="252"/>
      <c r="D7" s="252" t="s">
        <v>7210</v>
      </c>
      <c r="E7" s="252" t="s">
        <v>6427</v>
      </c>
      <c r="F7" s="252" t="b">
        <v>1</v>
      </c>
      <c r="G7" s="250" t="s">
        <v>7212</v>
      </c>
      <c r="J7" s="252"/>
      <c r="K7" s="252"/>
    </row>
    <row r="8" spans="1:16" ht="27" x14ac:dyDescent="0.55000000000000004">
      <c r="A8" s="252" t="s">
        <v>6447</v>
      </c>
      <c r="B8" s="252" t="s">
        <v>6448</v>
      </c>
      <c r="C8" s="252"/>
      <c r="D8" s="252"/>
      <c r="E8" s="252" t="s">
        <v>6441</v>
      </c>
      <c r="F8" s="252" t="b">
        <v>1</v>
      </c>
      <c r="G8" s="250" t="s">
        <v>7213</v>
      </c>
      <c r="J8" s="252" t="s">
        <v>6449</v>
      </c>
      <c r="K8" s="252" t="s">
        <v>6450</v>
      </c>
    </row>
    <row r="9" spans="1:16" x14ac:dyDescent="0.55000000000000004">
      <c r="A9" s="252" t="s">
        <v>6451</v>
      </c>
      <c r="B9" s="252" t="s">
        <v>6448</v>
      </c>
      <c r="C9" s="252" t="s">
        <v>6452</v>
      </c>
      <c r="D9" s="252"/>
      <c r="E9" s="252" t="s">
        <v>6441</v>
      </c>
      <c r="F9" s="252" t="b">
        <v>1</v>
      </c>
      <c r="G9" s="250" t="s">
        <v>7213</v>
      </c>
    </row>
    <row r="10" spans="1:16" x14ac:dyDescent="0.55000000000000004">
      <c r="A10" s="252" t="s">
        <v>6453</v>
      </c>
      <c r="B10" s="252" t="s">
        <v>6454</v>
      </c>
      <c r="C10" s="252"/>
      <c r="D10" s="252"/>
      <c r="E10" s="252" t="s">
        <v>6441</v>
      </c>
      <c r="F10" s="252" t="b">
        <v>0</v>
      </c>
      <c r="G10" s="250" t="s">
        <v>7213</v>
      </c>
    </row>
    <row r="11" spans="1:16" x14ac:dyDescent="0.55000000000000004">
      <c r="A11" s="252" t="s">
        <v>6455</v>
      </c>
      <c r="B11" s="252" t="s">
        <v>6456</v>
      </c>
      <c r="C11" s="252" t="s">
        <v>6452</v>
      </c>
      <c r="D11" s="252"/>
      <c r="E11" s="252" t="s">
        <v>6441</v>
      </c>
      <c r="F11" s="252" t="b">
        <v>0</v>
      </c>
      <c r="G11" s="250" t="s">
        <v>7213</v>
      </c>
    </row>
    <row r="12" spans="1:16" x14ac:dyDescent="0.55000000000000004">
      <c r="A12" s="252" t="s">
        <v>44</v>
      </c>
      <c r="B12" s="252"/>
      <c r="C12" s="252"/>
      <c r="D12" s="252"/>
      <c r="E12" s="252" t="s">
        <v>6430</v>
      </c>
      <c r="F12" s="252" t="b">
        <v>0</v>
      </c>
      <c r="G12" s="250" t="s">
        <v>7214</v>
      </c>
    </row>
    <row r="13" spans="1:16" x14ac:dyDescent="0.55000000000000004">
      <c r="A13" s="252" t="s">
        <v>89</v>
      </c>
      <c r="B13" s="252"/>
      <c r="C13" s="252"/>
      <c r="D13" s="252"/>
      <c r="E13" s="252" t="s">
        <v>6430</v>
      </c>
      <c r="F13" s="252" t="b">
        <v>0</v>
      </c>
      <c r="G13" s="250" t="s">
        <v>62</v>
      </c>
    </row>
    <row r="14" spans="1:16" x14ac:dyDescent="0.55000000000000004">
      <c r="A14" s="252" t="s">
        <v>6457</v>
      </c>
      <c r="B14" s="252"/>
      <c r="C14" s="252"/>
      <c r="D14" s="252"/>
      <c r="E14" s="252" t="s">
        <v>6430</v>
      </c>
      <c r="F14" s="252" t="b">
        <v>0</v>
      </c>
      <c r="G14" s="250" t="s">
        <v>7215</v>
      </c>
    </row>
    <row r="15" spans="1:16" x14ac:dyDescent="0.55000000000000004">
      <c r="A15" s="252" t="s">
        <v>6458</v>
      </c>
      <c r="B15" s="252"/>
      <c r="C15" s="252"/>
      <c r="D15" s="252"/>
      <c r="E15" s="252" t="s">
        <v>6430</v>
      </c>
      <c r="F15" s="252" t="b">
        <v>0</v>
      </c>
    </row>
    <row r="16" spans="1:16" x14ac:dyDescent="0.55000000000000004">
      <c r="A16" s="252" t="s">
        <v>64</v>
      </c>
      <c r="B16" s="252"/>
      <c r="C16" s="252"/>
      <c r="D16" s="252"/>
      <c r="E16" s="252" t="s">
        <v>6430</v>
      </c>
      <c r="F16" s="252" t="b">
        <v>0</v>
      </c>
      <c r="G16" s="250" t="s">
        <v>65</v>
      </c>
    </row>
    <row r="17" spans="1:7" x14ac:dyDescent="0.55000000000000004">
      <c r="A17" s="252" t="s">
        <v>66</v>
      </c>
      <c r="B17" s="252"/>
      <c r="C17" s="252"/>
      <c r="D17" s="252"/>
      <c r="E17" s="252" t="s">
        <v>6430</v>
      </c>
      <c r="F17" s="252" t="b">
        <v>0</v>
      </c>
      <c r="G17" s="250" t="s">
        <v>7216</v>
      </c>
    </row>
    <row r="18" spans="1:7" x14ac:dyDescent="0.55000000000000004">
      <c r="A18" s="252" t="s">
        <v>6459</v>
      </c>
      <c r="B18" s="252" t="s">
        <v>6460</v>
      </c>
      <c r="C18" s="252" t="s">
        <v>6452</v>
      </c>
      <c r="D18" s="252"/>
      <c r="E18" s="252" t="s">
        <v>6441</v>
      </c>
      <c r="F18" s="252" t="b">
        <v>1</v>
      </c>
      <c r="G18" s="252" t="s">
        <v>6461</v>
      </c>
    </row>
  </sheetData>
  <phoneticPr fontId="1"/>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4]!runCdCreator">
                <anchor moveWithCells="1">
                  <from>
                    <xdr:col>6</xdr:col>
                    <xdr:colOff>3124200</xdr:colOff>
                    <xdr:row>0</xdr:row>
                    <xdr:rowOff>50800</xdr:rowOff>
                  </from>
                  <to>
                    <xdr:col>12</xdr:col>
                    <xdr:colOff>25400</xdr:colOff>
                    <xdr:row>1</xdr:row>
                    <xdr:rowOff>260350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C760E-D2B4-43E9-AC5C-0025AD04BBBB}">
  <sheetPr codeName="Sheet16"/>
  <dimension ref="A2:C369"/>
  <sheetViews>
    <sheetView workbookViewId="0">
      <selection activeCell="E4" sqref="E4"/>
    </sheetView>
  </sheetViews>
  <sheetFormatPr defaultColWidth="8.6640625" defaultRowHeight="18" x14ac:dyDescent="0.55000000000000004"/>
  <cols>
    <col min="1" max="1" width="8.6640625" style="43"/>
    <col min="2" max="2" width="7.33203125" style="43" bestFit="1" customWidth="1"/>
    <col min="3" max="3" width="73.1640625" style="43" bestFit="1" customWidth="1"/>
    <col min="4" max="16384" width="8.6640625" style="43"/>
  </cols>
  <sheetData>
    <row r="2" spans="1:3" x14ac:dyDescent="0.55000000000000004">
      <c r="A2" s="253"/>
    </row>
    <row r="3" spans="1:3" x14ac:dyDescent="0.55000000000000004">
      <c r="A3" s="253"/>
      <c r="C3" s="254"/>
    </row>
    <row r="4" spans="1:3" x14ac:dyDescent="0.55000000000000004">
      <c r="A4" s="253"/>
    </row>
    <row r="5" spans="1:3" x14ac:dyDescent="0.55000000000000004">
      <c r="A5" s="253"/>
    </row>
    <row r="6" spans="1:3" x14ac:dyDescent="0.55000000000000004">
      <c r="A6" s="253"/>
    </row>
    <row r="7" spans="1:3" x14ac:dyDescent="0.55000000000000004">
      <c r="A7" s="253"/>
    </row>
    <row r="8" spans="1:3" x14ac:dyDescent="0.55000000000000004">
      <c r="A8" s="253"/>
    </row>
    <row r="9" spans="1:3" x14ac:dyDescent="0.55000000000000004">
      <c r="A9" s="253"/>
    </row>
    <row r="10" spans="1:3" x14ac:dyDescent="0.55000000000000004">
      <c r="A10" s="253"/>
    </row>
    <row r="11" spans="1:3" x14ac:dyDescent="0.55000000000000004">
      <c r="A11" s="253"/>
    </row>
    <row r="12" spans="1:3" x14ac:dyDescent="0.55000000000000004">
      <c r="A12" s="253"/>
    </row>
    <row r="13" spans="1:3" x14ac:dyDescent="0.55000000000000004">
      <c r="A13" s="253"/>
    </row>
    <row r="14" spans="1:3" x14ac:dyDescent="0.55000000000000004">
      <c r="A14" s="253"/>
    </row>
    <row r="15" spans="1:3" x14ac:dyDescent="0.55000000000000004">
      <c r="A15" s="253"/>
    </row>
    <row r="16" spans="1:3" x14ac:dyDescent="0.55000000000000004">
      <c r="A16" s="253"/>
    </row>
    <row r="17" spans="1:1" x14ac:dyDescent="0.55000000000000004">
      <c r="A17" s="253"/>
    </row>
    <row r="18" spans="1:1" x14ac:dyDescent="0.55000000000000004">
      <c r="A18" s="253"/>
    </row>
    <row r="19" spans="1:1" x14ac:dyDescent="0.55000000000000004">
      <c r="A19" s="253"/>
    </row>
    <row r="20" spans="1:1" x14ac:dyDescent="0.55000000000000004">
      <c r="A20" s="253"/>
    </row>
    <row r="21" spans="1:1" x14ac:dyDescent="0.55000000000000004">
      <c r="A21" s="253"/>
    </row>
    <row r="22" spans="1:1" x14ac:dyDescent="0.55000000000000004">
      <c r="A22" s="253"/>
    </row>
    <row r="23" spans="1:1" x14ac:dyDescent="0.55000000000000004">
      <c r="A23" s="253"/>
    </row>
    <row r="24" spans="1:1" x14ac:dyDescent="0.55000000000000004">
      <c r="A24" s="253"/>
    </row>
    <row r="25" spans="1:1" x14ac:dyDescent="0.55000000000000004">
      <c r="A25" s="253"/>
    </row>
    <row r="26" spans="1:1" x14ac:dyDescent="0.55000000000000004">
      <c r="A26" s="253"/>
    </row>
    <row r="27" spans="1:1" x14ac:dyDescent="0.55000000000000004">
      <c r="A27" s="253"/>
    </row>
    <row r="28" spans="1:1" x14ac:dyDescent="0.55000000000000004">
      <c r="A28" s="253"/>
    </row>
    <row r="29" spans="1:1" x14ac:dyDescent="0.55000000000000004">
      <c r="A29" s="253"/>
    </row>
    <row r="30" spans="1:1" x14ac:dyDescent="0.55000000000000004">
      <c r="A30" s="253"/>
    </row>
    <row r="31" spans="1:1" x14ac:dyDescent="0.55000000000000004">
      <c r="A31" s="253"/>
    </row>
    <row r="32" spans="1:1" x14ac:dyDescent="0.55000000000000004">
      <c r="A32" s="253"/>
    </row>
    <row r="33" spans="1:1" x14ac:dyDescent="0.55000000000000004">
      <c r="A33" s="253"/>
    </row>
    <row r="34" spans="1:1" x14ac:dyDescent="0.55000000000000004">
      <c r="A34" s="253"/>
    </row>
    <row r="35" spans="1:1" x14ac:dyDescent="0.55000000000000004">
      <c r="A35" s="253"/>
    </row>
    <row r="36" spans="1:1" x14ac:dyDescent="0.55000000000000004">
      <c r="A36" s="253"/>
    </row>
    <row r="37" spans="1:1" x14ac:dyDescent="0.55000000000000004">
      <c r="A37" s="253"/>
    </row>
    <row r="38" spans="1:1" x14ac:dyDescent="0.55000000000000004">
      <c r="A38" s="253"/>
    </row>
    <row r="39" spans="1:1" x14ac:dyDescent="0.55000000000000004">
      <c r="A39" s="253"/>
    </row>
    <row r="40" spans="1:1" x14ac:dyDescent="0.55000000000000004">
      <c r="A40" s="253"/>
    </row>
    <row r="41" spans="1:1" x14ac:dyDescent="0.55000000000000004">
      <c r="A41" s="253"/>
    </row>
    <row r="42" spans="1:1" x14ac:dyDescent="0.55000000000000004">
      <c r="A42" s="253"/>
    </row>
    <row r="43" spans="1:1" x14ac:dyDescent="0.55000000000000004">
      <c r="A43" s="253"/>
    </row>
    <row r="44" spans="1:1" x14ac:dyDescent="0.55000000000000004">
      <c r="A44" s="253"/>
    </row>
    <row r="45" spans="1:1" x14ac:dyDescent="0.55000000000000004">
      <c r="A45" s="253"/>
    </row>
    <row r="46" spans="1:1" x14ac:dyDescent="0.55000000000000004">
      <c r="A46" s="253"/>
    </row>
    <row r="47" spans="1:1" x14ac:dyDescent="0.55000000000000004">
      <c r="A47" s="253"/>
    </row>
    <row r="48" spans="1:1" x14ac:dyDescent="0.55000000000000004">
      <c r="A48" s="253"/>
    </row>
    <row r="49" spans="1:1" x14ac:dyDescent="0.55000000000000004">
      <c r="A49" s="253"/>
    </row>
    <row r="50" spans="1:1" x14ac:dyDescent="0.55000000000000004">
      <c r="A50" s="253"/>
    </row>
    <row r="51" spans="1:1" x14ac:dyDescent="0.55000000000000004">
      <c r="A51" s="253"/>
    </row>
    <row r="52" spans="1:1" x14ac:dyDescent="0.55000000000000004">
      <c r="A52" s="253"/>
    </row>
    <row r="53" spans="1:1" x14ac:dyDescent="0.55000000000000004">
      <c r="A53" s="253"/>
    </row>
    <row r="54" spans="1:1" x14ac:dyDescent="0.55000000000000004">
      <c r="A54" s="253"/>
    </row>
    <row r="55" spans="1:1" x14ac:dyDescent="0.55000000000000004">
      <c r="A55" s="253"/>
    </row>
    <row r="56" spans="1:1" x14ac:dyDescent="0.55000000000000004">
      <c r="A56" s="253"/>
    </row>
    <row r="57" spans="1:1" x14ac:dyDescent="0.55000000000000004">
      <c r="A57" s="253"/>
    </row>
    <row r="58" spans="1:1" x14ac:dyDescent="0.55000000000000004">
      <c r="A58" s="253"/>
    </row>
    <row r="59" spans="1:1" x14ac:dyDescent="0.55000000000000004">
      <c r="A59" s="253"/>
    </row>
    <row r="60" spans="1:1" x14ac:dyDescent="0.55000000000000004">
      <c r="A60" s="253"/>
    </row>
    <row r="61" spans="1:1" x14ac:dyDescent="0.55000000000000004">
      <c r="A61" s="253"/>
    </row>
    <row r="62" spans="1:1" x14ac:dyDescent="0.55000000000000004">
      <c r="A62" s="253"/>
    </row>
    <row r="63" spans="1:1" x14ac:dyDescent="0.55000000000000004">
      <c r="A63" s="253"/>
    </row>
    <row r="64" spans="1:1" x14ac:dyDescent="0.55000000000000004">
      <c r="A64" s="253"/>
    </row>
    <row r="65" spans="1:1" x14ac:dyDescent="0.55000000000000004">
      <c r="A65" s="253"/>
    </row>
    <row r="66" spans="1:1" x14ac:dyDescent="0.55000000000000004">
      <c r="A66" s="253"/>
    </row>
    <row r="67" spans="1:1" x14ac:dyDescent="0.55000000000000004">
      <c r="A67" s="253"/>
    </row>
    <row r="68" spans="1:1" x14ac:dyDescent="0.55000000000000004">
      <c r="A68" s="253"/>
    </row>
    <row r="69" spans="1:1" x14ac:dyDescent="0.55000000000000004">
      <c r="A69" s="253"/>
    </row>
    <row r="70" spans="1:1" x14ac:dyDescent="0.55000000000000004">
      <c r="A70" s="253"/>
    </row>
    <row r="71" spans="1:1" x14ac:dyDescent="0.55000000000000004">
      <c r="A71" s="253"/>
    </row>
    <row r="72" spans="1:1" x14ac:dyDescent="0.55000000000000004">
      <c r="A72" s="253"/>
    </row>
    <row r="73" spans="1:1" x14ac:dyDescent="0.55000000000000004">
      <c r="A73" s="253"/>
    </row>
    <row r="74" spans="1:1" x14ac:dyDescent="0.55000000000000004">
      <c r="A74" s="253"/>
    </row>
    <row r="75" spans="1:1" x14ac:dyDescent="0.55000000000000004">
      <c r="A75" s="253"/>
    </row>
    <row r="76" spans="1:1" x14ac:dyDescent="0.55000000000000004">
      <c r="A76" s="253"/>
    </row>
    <row r="77" spans="1:1" x14ac:dyDescent="0.55000000000000004">
      <c r="A77" s="253"/>
    </row>
    <row r="78" spans="1:1" x14ac:dyDescent="0.55000000000000004">
      <c r="A78" s="253"/>
    </row>
    <row r="79" spans="1:1" x14ac:dyDescent="0.55000000000000004">
      <c r="A79" s="253"/>
    </row>
    <row r="80" spans="1:1" x14ac:dyDescent="0.55000000000000004">
      <c r="A80" s="253"/>
    </row>
    <row r="81" spans="1:1" x14ac:dyDescent="0.55000000000000004">
      <c r="A81" s="253"/>
    </row>
    <row r="82" spans="1:1" x14ac:dyDescent="0.55000000000000004">
      <c r="A82" s="253"/>
    </row>
    <row r="83" spans="1:1" x14ac:dyDescent="0.55000000000000004">
      <c r="A83" s="253"/>
    </row>
    <row r="84" spans="1:1" x14ac:dyDescent="0.55000000000000004">
      <c r="A84" s="253"/>
    </row>
    <row r="85" spans="1:1" x14ac:dyDescent="0.55000000000000004">
      <c r="A85" s="253"/>
    </row>
    <row r="86" spans="1:1" x14ac:dyDescent="0.55000000000000004">
      <c r="A86" s="253"/>
    </row>
    <row r="87" spans="1:1" x14ac:dyDescent="0.55000000000000004">
      <c r="A87" s="253"/>
    </row>
    <row r="88" spans="1:1" x14ac:dyDescent="0.55000000000000004">
      <c r="A88" s="253"/>
    </row>
    <row r="89" spans="1:1" x14ac:dyDescent="0.55000000000000004">
      <c r="A89" s="253"/>
    </row>
    <row r="90" spans="1:1" x14ac:dyDescent="0.55000000000000004">
      <c r="A90" s="253"/>
    </row>
    <row r="91" spans="1:1" x14ac:dyDescent="0.55000000000000004">
      <c r="A91" s="253"/>
    </row>
    <row r="92" spans="1:1" x14ac:dyDescent="0.55000000000000004">
      <c r="A92" s="253"/>
    </row>
    <row r="93" spans="1:1" x14ac:dyDescent="0.55000000000000004">
      <c r="A93" s="253"/>
    </row>
    <row r="94" spans="1:1" x14ac:dyDescent="0.55000000000000004">
      <c r="A94" s="253"/>
    </row>
    <row r="95" spans="1:1" x14ac:dyDescent="0.55000000000000004">
      <c r="A95" s="253"/>
    </row>
    <row r="96" spans="1:1" x14ac:dyDescent="0.55000000000000004">
      <c r="A96" s="253"/>
    </row>
    <row r="97" spans="1:1" x14ac:dyDescent="0.55000000000000004">
      <c r="A97" s="253"/>
    </row>
    <row r="98" spans="1:1" x14ac:dyDescent="0.55000000000000004">
      <c r="A98" s="253"/>
    </row>
    <row r="99" spans="1:1" x14ac:dyDescent="0.55000000000000004">
      <c r="A99" s="253"/>
    </row>
    <row r="100" spans="1:1" x14ac:dyDescent="0.55000000000000004">
      <c r="A100" s="253"/>
    </row>
    <row r="101" spans="1:1" x14ac:dyDescent="0.55000000000000004">
      <c r="A101" s="253"/>
    </row>
    <row r="102" spans="1:1" x14ac:dyDescent="0.55000000000000004">
      <c r="A102" s="253"/>
    </row>
    <row r="103" spans="1:1" x14ac:dyDescent="0.55000000000000004">
      <c r="A103" s="253"/>
    </row>
    <row r="104" spans="1:1" x14ac:dyDescent="0.55000000000000004">
      <c r="A104" s="253"/>
    </row>
    <row r="105" spans="1:1" x14ac:dyDescent="0.55000000000000004">
      <c r="A105" s="253"/>
    </row>
    <row r="106" spans="1:1" x14ac:dyDescent="0.55000000000000004">
      <c r="A106" s="253"/>
    </row>
    <row r="107" spans="1:1" x14ac:dyDescent="0.55000000000000004">
      <c r="A107" s="253"/>
    </row>
    <row r="108" spans="1:1" x14ac:dyDescent="0.55000000000000004">
      <c r="A108" s="253"/>
    </row>
    <row r="109" spans="1:1" x14ac:dyDescent="0.55000000000000004">
      <c r="A109" s="253"/>
    </row>
    <row r="110" spans="1:1" x14ac:dyDescent="0.55000000000000004">
      <c r="A110" s="253"/>
    </row>
    <row r="111" spans="1:1" x14ac:dyDescent="0.55000000000000004">
      <c r="A111" s="253"/>
    </row>
    <row r="112" spans="1:1" x14ac:dyDescent="0.55000000000000004">
      <c r="A112" s="253"/>
    </row>
    <row r="113" spans="1:1" x14ac:dyDescent="0.55000000000000004">
      <c r="A113" s="253"/>
    </row>
    <row r="114" spans="1:1" x14ac:dyDescent="0.55000000000000004">
      <c r="A114" s="253"/>
    </row>
    <row r="115" spans="1:1" x14ac:dyDescent="0.55000000000000004">
      <c r="A115" s="253"/>
    </row>
    <row r="116" spans="1:1" x14ac:dyDescent="0.55000000000000004">
      <c r="A116" s="253"/>
    </row>
    <row r="117" spans="1:1" x14ac:dyDescent="0.55000000000000004">
      <c r="A117" s="253"/>
    </row>
    <row r="118" spans="1:1" x14ac:dyDescent="0.55000000000000004">
      <c r="A118" s="253"/>
    </row>
    <row r="119" spans="1:1" x14ac:dyDescent="0.55000000000000004">
      <c r="A119" s="253"/>
    </row>
    <row r="120" spans="1:1" x14ac:dyDescent="0.55000000000000004">
      <c r="A120" s="253"/>
    </row>
    <row r="121" spans="1:1" x14ac:dyDescent="0.55000000000000004">
      <c r="A121" s="253"/>
    </row>
    <row r="122" spans="1:1" x14ac:dyDescent="0.55000000000000004">
      <c r="A122" s="253"/>
    </row>
    <row r="123" spans="1:1" x14ac:dyDescent="0.55000000000000004">
      <c r="A123" s="253"/>
    </row>
    <row r="124" spans="1:1" x14ac:dyDescent="0.55000000000000004">
      <c r="A124" s="253"/>
    </row>
    <row r="125" spans="1:1" x14ac:dyDescent="0.55000000000000004">
      <c r="A125" s="253"/>
    </row>
    <row r="126" spans="1:1" x14ac:dyDescent="0.55000000000000004">
      <c r="A126" s="253"/>
    </row>
    <row r="127" spans="1:1" x14ac:dyDescent="0.55000000000000004">
      <c r="A127" s="253"/>
    </row>
    <row r="128" spans="1:1" x14ac:dyDescent="0.55000000000000004">
      <c r="A128" s="253"/>
    </row>
    <row r="129" spans="1:1" x14ac:dyDescent="0.55000000000000004">
      <c r="A129" s="253"/>
    </row>
    <row r="130" spans="1:1" x14ac:dyDescent="0.55000000000000004">
      <c r="A130" s="253"/>
    </row>
    <row r="131" spans="1:1" x14ac:dyDescent="0.55000000000000004">
      <c r="A131" s="253"/>
    </row>
    <row r="132" spans="1:1" x14ac:dyDescent="0.55000000000000004">
      <c r="A132" s="253"/>
    </row>
    <row r="133" spans="1:1" x14ac:dyDescent="0.55000000000000004">
      <c r="A133" s="253"/>
    </row>
    <row r="134" spans="1:1" x14ac:dyDescent="0.55000000000000004">
      <c r="A134" s="253"/>
    </row>
    <row r="135" spans="1:1" x14ac:dyDescent="0.55000000000000004">
      <c r="A135" s="253"/>
    </row>
    <row r="136" spans="1:1" x14ac:dyDescent="0.55000000000000004">
      <c r="A136" s="253"/>
    </row>
    <row r="137" spans="1:1" x14ac:dyDescent="0.55000000000000004">
      <c r="A137" s="253"/>
    </row>
    <row r="138" spans="1:1" x14ac:dyDescent="0.55000000000000004">
      <c r="A138" s="253"/>
    </row>
    <row r="139" spans="1:1" x14ac:dyDescent="0.55000000000000004">
      <c r="A139" s="253"/>
    </row>
    <row r="140" spans="1:1" x14ac:dyDescent="0.55000000000000004">
      <c r="A140" s="253"/>
    </row>
    <row r="141" spans="1:1" x14ac:dyDescent="0.55000000000000004">
      <c r="A141" s="253"/>
    </row>
    <row r="142" spans="1:1" x14ac:dyDescent="0.55000000000000004">
      <c r="A142" s="253"/>
    </row>
    <row r="143" spans="1:1" x14ac:dyDescent="0.55000000000000004">
      <c r="A143" s="253"/>
    </row>
    <row r="144" spans="1:1" x14ac:dyDescent="0.55000000000000004">
      <c r="A144" s="253"/>
    </row>
    <row r="145" spans="1:1" x14ac:dyDescent="0.55000000000000004">
      <c r="A145" s="253"/>
    </row>
    <row r="146" spans="1:1" x14ac:dyDescent="0.55000000000000004">
      <c r="A146" s="253"/>
    </row>
    <row r="147" spans="1:1" x14ac:dyDescent="0.55000000000000004">
      <c r="A147" s="253"/>
    </row>
    <row r="148" spans="1:1" x14ac:dyDescent="0.55000000000000004">
      <c r="A148" s="253"/>
    </row>
    <row r="149" spans="1:1" x14ac:dyDescent="0.55000000000000004">
      <c r="A149" s="253"/>
    </row>
    <row r="150" spans="1:1" x14ac:dyDescent="0.55000000000000004">
      <c r="A150" s="253"/>
    </row>
    <row r="151" spans="1:1" x14ac:dyDescent="0.55000000000000004">
      <c r="A151" s="253"/>
    </row>
    <row r="152" spans="1:1" x14ac:dyDescent="0.55000000000000004">
      <c r="A152" s="253"/>
    </row>
    <row r="153" spans="1:1" x14ac:dyDescent="0.55000000000000004">
      <c r="A153" s="253"/>
    </row>
    <row r="154" spans="1:1" x14ac:dyDescent="0.55000000000000004">
      <c r="A154" s="253"/>
    </row>
    <row r="155" spans="1:1" x14ac:dyDescent="0.55000000000000004">
      <c r="A155" s="253"/>
    </row>
    <row r="156" spans="1:1" x14ac:dyDescent="0.55000000000000004">
      <c r="A156" s="253"/>
    </row>
    <row r="157" spans="1:1" x14ac:dyDescent="0.55000000000000004">
      <c r="A157" s="253"/>
    </row>
    <row r="158" spans="1:1" x14ac:dyDescent="0.55000000000000004">
      <c r="A158" s="253"/>
    </row>
    <row r="159" spans="1:1" x14ac:dyDescent="0.55000000000000004">
      <c r="A159" s="253"/>
    </row>
    <row r="160" spans="1:1" x14ac:dyDescent="0.55000000000000004">
      <c r="A160" s="253"/>
    </row>
    <row r="161" spans="1:1" x14ac:dyDescent="0.55000000000000004">
      <c r="A161" s="253"/>
    </row>
    <row r="162" spans="1:1" x14ac:dyDescent="0.55000000000000004">
      <c r="A162" s="253"/>
    </row>
    <row r="163" spans="1:1" x14ac:dyDescent="0.55000000000000004">
      <c r="A163" s="253"/>
    </row>
    <row r="164" spans="1:1" x14ac:dyDescent="0.55000000000000004">
      <c r="A164" s="253"/>
    </row>
    <row r="165" spans="1:1" x14ac:dyDescent="0.55000000000000004">
      <c r="A165" s="253"/>
    </row>
    <row r="166" spans="1:1" x14ac:dyDescent="0.55000000000000004">
      <c r="A166" s="253"/>
    </row>
    <row r="167" spans="1:1" x14ac:dyDescent="0.55000000000000004">
      <c r="A167" s="253"/>
    </row>
    <row r="168" spans="1:1" x14ac:dyDescent="0.55000000000000004">
      <c r="A168" s="253"/>
    </row>
    <row r="169" spans="1:1" x14ac:dyDescent="0.55000000000000004">
      <c r="A169" s="253"/>
    </row>
    <row r="170" spans="1:1" x14ac:dyDescent="0.55000000000000004">
      <c r="A170" s="253"/>
    </row>
    <row r="171" spans="1:1" x14ac:dyDescent="0.55000000000000004">
      <c r="A171" s="253"/>
    </row>
    <row r="172" spans="1:1" x14ac:dyDescent="0.55000000000000004">
      <c r="A172" s="253"/>
    </row>
    <row r="173" spans="1:1" x14ac:dyDescent="0.55000000000000004">
      <c r="A173" s="253"/>
    </row>
    <row r="174" spans="1:1" x14ac:dyDescent="0.55000000000000004">
      <c r="A174" s="253"/>
    </row>
    <row r="175" spans="1:1" x14ac:dyDescent="0.55000000000000004">
      <c r="A175" s="253"/>
    </row>
    <row r="176" spans="1:1" x14ac:dyDescent="0.55000000000000004">
      <c r="A176" s="253"/>
    </row>
    <row r="177" spans="1:1" x14ac:dyDescent="0.55000000000000004">
      <c r="A177" s="253"/>
    </row>
    <row r="178" spans="1:1" x14ac:dyDescent="0.55000000000000004">
      <c r="A178" s="253"/>
    </row>
    <row r="179" spans="1:1" x14ac:dyDescent="0.55000000000000004">
      <c r="A179" s="253"/>
    </row>
    <row r="180" spans="1:1" x14ac:dyDescent="0.55000000000000004">
      <c r="A180" s="253"/>
    </row>
    <row r="181" spans="1:1" x14ac:dyDescent="0.55000000000000004">
      <c r="A181" s="253"/>
    </row>
    <row r="182" spans="1:1" x14ac:dyDescent="0.55000000000000004">
      <c r="A182" s="253"/>
    </row>
    <row r="183" spans="1:1" x14ac:dyDescent="0.55000000000000004">
      <c r="A183" s="253"/>
    </row>
    <row r="184" spans="1:1" x14ac:dyDescent="0.55000000000000004">
      <c r="A184" s="253"/>
    </row>
    <row r="185" spans="1:1" x14ac:dyDescent="0.55000000000000004">
      <c r="A185" s="253"/>
    </row>
    <row r="186" spans="1:1" x14ac:dyDescent="0.55000000000000004">
      <c r="A186" s="253"/>
    </row>
    <row r="187" spans="1:1" x14ac:dyDescent="0.55000000000000004">
      <c r="A187" s="253"/>
    </row>
    <row r="188" spans="1:1" x14ac:dyDescent="0.55000000000000004">
      <c r="A188" s="253"/>
    </row>
    <row r="189" spans="1:1" x14ac:dyDescent="0.55000000000000004">
      <c r="A189" s="253"/>
    </row>
    <row r="190" spans="1:1" x14ac:dyDescent="0.55000000000000004">
      <c r="A190" s="253"/>
    </row>
    <row r="191" spans="1:1" x14ac:dyDescent="0.55000000000000004">
      <c r="A191" s="253"/>
    </row>
    <row r="192" spans="1:1" x14ac:dyDescent="0.55000000000000004">
      <c r="A192" s="253"/>
    </row>
    <row r="193" spans="1:1" x14ac:dyDescent="0.55000000000000004">
      <c r="A193" s="253"/>
    </row>
    <row r="194" spans="1:1" x14ac:dyDescent="0.55000000000000004">
      <c r="A194" s="253"/>
    </row>
    <row r="195" spans="1:1" x14ac:dyDescent="0.55000000000000004">
      <c r="A195" s="253"/>
    </row>
    <row r="196" spans="1:1" x14ac:dyDescent="0.55000000000000004">
      <c r="A196" s="253"/>
    </row>
    <row r="197" spans="1:1" x14ac:dyDescent="0.55000000000000004">
      <c r="A197" s="253"/>
    </row>
    <row r="198" spans="1:1" x14ac:dyDescent="0.55000000000000004">
      <c r="A198" s="253"/>
    </row>
    <row r="199" spans="1:1" x14ac:dyDescent="0.55000000000000004">
      <c r="A199" s="253"/>
    </row>
    <row r="200" spans="1:1" x14ac:dyDescent="0.55000000000000004">
      <c r="A200" s="253"/>
    </row>
    <row r="201" spans="1:1" x14ac:dyDescent="0.55000000000000004">
      <c r="A201" s="253"/>
    </row>
    <row r="202" spans="1:1" x14ac:dyDescent="0.55000000000000004">
      <c r="A202" s="253"/>
    </row>
    <row r="203" spans="1:1" x14ac:dyDescent="0.55000000000000004">
      <c r="A203" s="253"/>
    </row>
    <row r="204" spans="1:1" x14ac:dyDescent="0.55000000000000004">
      <c r="A204" s="253"/>
    </row>
    <row r="205" spans="1:1" x14ac:dyDescent="0.55000000000000004">
      <c r="A205" s="253"/>
    </row>
    <row r="206" spans="1:1" x14ac:dyDescent="0.55000000000000004">
      <c r="A206" s="253"/>
    </row>
    <row r="207" spans="1:1" x14ac:dyDescent="0.55000000000000004">
      <c r="A207" s="253"/>
    </row>
    <row r="208" spans="1:1" x14ac:dyDescent="0.55000000000000004">
      <c r="A208" s="253"/>
    </row>
    <row r="209" spans="1:1" x14ac:dyDescent="0.55000000000000004">
      <c r="A209" s="253"/>
    </row>
    <row r="210" spans="1:1" x14ac:dyDescent="0.55000000000000004">
      <c r="A210" s="253"/>
    </row>
    <row r="211" spans="1:1" x14ac:dyDescent="0.55000000000000004">
      <c r="A211" s="253"/>
    </row>
    <row r="212" spans="1:1" x14ac:dyDescent="0.55000000000000004">
      <c r="A212" s="253"/>
    </row>
    <row r="213" spans="1:1" x14ac:dyDescent="0.55000000000000004">
      <c r="A213" s="253"/>
    </row>
    <row r="214" spans="1:1" x14ac:dyDescent="0.55000000000000004">
      <c r="A214" s="253"/>
    </row>
    <row r="215" spans="1:1" x14ac:dyDescent="0.55000000000000004">
      <c r="A215" s="253"/>
    </row>
    <row r="216" spans="1:1" x14ac:dyDescent="0.55000000000000004">
      <c r="A216" s="253"/>
    </row>
    <row r="217" spans="1:1" x14ac:dyDescent="0.55000000000000004">
      <c r="A217" s="253"/>
    </row>
    <row r="218" spans="1:1" x14ac:dyDescent="0.55000000000000004">
      <c r="A218" s="253"/>
    </row>
    <row r="219" spans="1:1" x14ac:dyDescent="0.55000000000000004">
      <c r="A219" s="253"/>
    </row>
    <row r="220" spans="1:1" x14ac:dyDescent="0.55000000000000004">
      <c r="A220" s="253"/>
    </row>
    <row r="221" spans="1:1" x14ac:dyDescent="0.55000000000000004">
      <c r="A221" s="253"/>
    </row>
    <row r="222" spans="1:1" x14ac:dyDescent="0.55000000000000004">
      <c r="A222" s="253"/>
    </row>
    <row r="223" spans="1:1" x14ac:dyDescent="0.55000000000000004">
      <c r="A223" s="253"/>
    </row>
    <row r="224" spans="1:1" x14ac:dyDescent="0.55000000000000004">
      <c r="A224" s="253"/>
    </row>
    <row r="225" spans="1:1" x14ac:dyDescent="0.55000000000000004">
      <c r="A225" s="253"/>
    </row>
    <row r="226" spans="1:1" x14ac:dyDescent="0.55000000000000004">
      <c r="A226" s="253"/>
    </row>
    <row r="227" spans="1:1" x14ac:dyDescent="0.55000000000000004">
      <c r="A227" s="253"/>
    </row>
    <row r="228" spans="1:1" x14ac:dyDescent="0.55000000000000004">
      <c r="A228" s="253"/>
    </row>
    <row r="229" spans="1:1" x14ac:dyDescent="0.55000000000000004">
      <c r="A229" s="253"/>
    </row>
    <row r="230" spans="1:1" x14ac:dyDescent="0.55000000000000004">
      <c r="A230" s="253"/>
    </row>
    <row r="231" spans="1:1" x14ac:dyDescent="0.55000000000000004">
      <c r="A231" s="253"/>
    </row>
    <row r="232" spans="1:1" x14ac:dyDescent="0.55000000000000004">
      <c r="A232" s="253"/>
    </row>
    <row r="233" spans="1:1" x14ac:dyDescent="0.55000000000000004">
      <c r="A233" s="253"/>
    </row>
    <row r="234" spans="1:1" x14ac:dyDescent="0.55000000000000004">
      <c r="A234" s="253"/>
    </row>
    <row r="235" spans="1:1" x14ac:dyDescent="0.55000000000000004">
      <c r="A235" s="253"/>
    </row>
    <row r="236" spans="1:1" x14ac:dyDescent="0.55000000000000004">
      <c r="A236" s="253"/>
    </row>
    <row r="237" spans="1:1" x14ac:dyDescent="0.55000000000000004">
      <c r="A237" s="253"/>
    </row>
    <row r="238" spans="1:1" x14ac:dyDescent="0.55000000000000004">
      <c r="A238" s="253"/>
    </row>
    <row r="239" spans="1:1" x14ac:dyDescent="0.55000000000000004">
      <c r="A239" s="253"/>
    </row>
    <row r="240" spans="1:1" x14ac:dyDescent="0.55000000000000004">
      <c r="A240" s="253"/>
    </row>
    <row r="241" spans="1:1" x14ac:dyDescent="0.55000000000000004">
      <c r="A241" s="253"/>
    </row>
    <row r="242" spans="1:1" x14ac:dyDescent="0.55000000000000004">
      <c r="A242" s="253"/>
    </row>
    <row r="243" spans="1:1" x14ac:dyDescent="0.55000000000000004">
      <c r="A243" s="253"/>
    </row>
    <row r="244" spans="1:1" x14ac:dyDescent="0.55000000000000004">
      <c r="A244" s="253"/>
    </row>
    <row r="245" spans="1:1" x14ac:dyDescent="0.55000000000000004">
      <c r="A245" s="253"/>
    </row>
    <row r="246" spans="1:1" x14ac:dyDescent="0.55000000000000004">
      <c r="A246" s="253"/>
    </row>
    <row r="247" spans="1:1" x14ac:dyDescent="0.55000000000000004">
      <c r="A247" s="253"/>
    </row>
    <row r="248" spans="1:1" x14ac:dyDescent="0.55000000000000004">
      <c r="A248" s="253"/>
    </row>
    <row r="249" spans="1:1" x14ac:dyDescent="0.55000000000000004">
      <c r="A249" s="253"/>
    </row>
    <row r="250" spans="1:1" x14ac:dyDescent="0.55000000000000004">
      <c r="A250" s="253"/>
    </row>
    <row r="251" spans="1:1" x14ac:dyDescent="0.55000000000000004">
      <c r="A251" s="253"/>
    </row>
    <row r="252" spans="1:1" x14ac:dyDescent="0.55000000000000004">
      <c r="A252" s="253"/>
    </row>
    <row r="253" spans="1:1" x14ac:dyDescent="0.55000000000000004">
      <c r="A253" s="253"/>
    </row>
    <row r="254" spans="1:1" x14ac:dyDescent="0.55000000000000004">
      <c r="A254" s="253"/>
    </row>
    <row r="255" spans="1:1" x14ac:dyDescent="0.55000000000000004">
      <c r="A255" s="253"/>
    </row>
    <row r="256" spans="1:1" x14ac:dyDescent="0.55000000000000004">
      <c r="A256" s="253"/>
    </row>
    <row r="257" spans="1:1" x14ac:dyDescent="0.55000000000000004">
      <c r="A257" s="253"/>
    </row>
    <row r="258" spans="1:1" x14ac:dyDescent="0.55000000000000004">
      <c r="A258" s="253"/>
    </row>
    <row r="259" spans="1:1" x14ac:dyDescent="0.55000000000000004">
      <c r="A259" s="253"/>
    </row>
    <row r="260" spans="1:1" x14ac:dyDescent="0.55000000000000004">
      <c r="A260" s="253"/>
    </row>
    <row r="261" spans="1:1" x14ac:dyDescent="0.55000000000000004">
      <c r="A261" s="253"/>
    </row>
    <row r="262" spans="1:1" x14ac:dyDescent="0.55000000000000004">
      <c r="A262" s="253"/>
    </row>
    <row r="263" spans="1:1" x14ac:dyDescent="0.55000000000000004">
      <c r="A263" s="253"/>
    </row>
    <row r="264" spans="1:1" x14ac:dyDescent="0.55000000000000004">
      <c r="A264" s="253"/>
    </row>
    <row r="265" spans="1:1" x14ac:dyDescent="0.55000000000000004">
      <c r="A265" s="253"/>
    </row>
    <row r="266" spans="1:1" x14ac:dyDescent="0.55000000000000004">
      <c r="A266" s="253"/>
    </row>
    <row r="267" spans="1:1" x14ac:dyDescent="0.55000000000000004">
      <c r="A267" s="253"/>
    </row>
    <row r="268" spans="1:1" x14ac:dyDescent="0.55000000000000004">
      <c r="A268" s="253"/>
    </row>
    <row r="269" spans="1:1" x14ac:dyDescent="0.55000000000000004">
      <c r="A269" s="253"/>
    </row>
    <row r="270" spans="1:1" x14ac:dyDescent="0.55000000000000004">
      <c r="A270" s="253"/>
    </row>
    <row r="271" spans="1:1" x14ac:dyDescent="0.55000000000000004">
      <c r="A271" s="253"/>
    </row>
    <row r="272" spans="1:1" x14ac:dyDescent="0.55000000000000004">
      <c r="A272" s="253"/>
    </row>
    <row r="273" spans="1:1" x14ac:dyDescent="0.55000000000000004">
      <c r="A273" s="253"/>
    </row>
    <row r="274" spans="1:1" x14ac:dyDescent="0.55000000000000004">
      <c r="A274" s="253"/>
    </row>
    <row r="275" spans="1:1" x14ac:dyDescent="0.55000000000000004">
      <c r="A275" s="253"/>
    </row>
    <row r="276" spans="1:1" x14ac:dyDescent="0.55000000000000004">
      <c r="A276" s="253"/>
    </row>
    <row r="277" spans="1:1" x14ac:dyDescent="0.55000000000000004">
      <c r="A277" s="253"/>
    </row>
    <row r="278" spans="1:1" x14ac:dyDescent="0.55000000000000004">
      <c r="A278" s="253"/>
    </row>
    <row r="279" spans="1:1" x14ac:dyDescent="0.55000000000000004">
      <c r="A279" s="253"/>
    </row>
    <row r="280" spans="1:1" x14ac:dyDescent="0.55000000000000004">
      <c r="A280" s="253"/>
    </row>
    <row r="281" spans="1:1" x14ac:dyDescent="0.55000000000000004">
      <c r="A281" s="253"/>
    </row>
    <row r="282" spans="1:1" x14ac:dyDescent="0.55000000000000004">
      <c r="A282" s="253"/>
    </row>
    <row r="283" spans="1:1" x14ac:dyDescent="0.55000000000000004">
      <c r="A283" s="253"/>
    </row>
    <row r="284" spans="1:1" x14ac:dyDescent="0.55000000000000004">
      <c r="A284" s="253"/>
    </row>
    <row r="285" spans="1:1" x14ac:dyDescent="0.55000000000000004">
      <c r="A285" s="253"/>
    </row>
    <row r="286" spans="1:1" x14ac:dyDescent="0.55000000000000004">
      <c r="A286" s="253"/>
    </row>
    <row r="287" spans="1:1" x14ac:dyDescent="0.55000000000000004">
      <c r="A287" s="253"/>
    </row>
    <row r="288" spans="1:1" x14ac:dyDescent="0.55000000000000004">
      <c r="A288" s="253"/>
    </row>
    <row r="289" spans="1:1" x14ac:dyDescent="0.55000000000000004">
      <c r="A289" s="253"/>
    </row>
    <row r="290" spans="1:1" x14ac:dyDescent="0.55000000000000004">
      <c r="A290" s="253"/>
    </row>
    <row r="291" spans="1:1" x14ac:dyDescent="0.55000000000000004">
      <c r="A291" s="253"/>
    </row>
    <row r="292" spans="1:1" x14ac:dyDescent="0.55000000000000004">
      <c r="A292" s="253"/>
    </row>
    <row r="293" spans="1:1" x14ac:dyDescent="0.55000000000000004">
      <c r="A293" s="253"/>
    </row>
    <row r="294" spans="1:1" x14ac:dyDescent="0.55000000000000004">
      <c r="A294" s="253"/>
    </row>
    <row r="295" spans="1:1" x14ac:dyDescent="0.55000000000000004">
      <c r="A295" s="253"/>
    </row>
    <row r="296" spans="1:1" x14ac:dyDescent="0.55000000000000004">
      <c r="A296" s="253"/>
    </row>
    <row r="297" spans="1:1" x14ac:dyDescent="0.55000000000000004">
      <c r="A297" s="253"/>
    </row>
    <row r="298" spans="1:1" x14ac:dyDescent="0.55000000000000004">
      <c r="A298" s="253"/>
    </row>
    <row r="299" spans="1:1" x14ac:dyDescent="0.55000000000000004">
      <c r="A299" s="253"/>
    </row>
    <row r="300" spans="1:1" x14ac:dyDescent="0.55000000000000004">
      <c r="A300" s="253"/>
    </row>
    <row r="301" spans="1:1" x14ac:dyDescent="0.55000000000000004">
      <c r="A301" s="253"/>
    </row>
    <row r="302" spans="1:1" x14ac:dyDescent="0.55000000000000004">
      <c r="A302" s="253"/>
    </row>
    <row r="303" spans="1:1" x14ac:dyDescent="0.55000000000000004">
      <c r="A303" s="253"/>
    </row>
    <row r="304" spans="1:1" x14ac:dyDescent="0.55000000000000004">
      <c r="A304" s="253"/>
    </row>
    <row r="305" spans="1:1" x14ac:dyDescent="0.55000000000000004">
      <c r="A305" s="253"/>
    </row>
    <row r="306" spans="1:1" x14ac:dyDescent="0.55000000000000004">
      <c r="A306" s="253"/>
    </row>
    <row r="307" spans="1:1" x14ac:dyDescent="0.55000000000000004">
      <c r="A307" s="253"/>
    </row>
    <row r="308" spans="1:1" x14ac:dyDescent="0.55000000000000004">
      <c r="A308" s="253"/>
    </row>
    <row r="309" spans="1:1" x14ac:dyDescent="0.55000000000000004">
      <c r="A309" s="253"/>
    </row>
    <row r="310" spans="1:1" x14ac:dyDescent="0.55000000000000004">
      <c r="A310" s="253"/>
    </row>
    <row r="311" spans="1:1" x14ac:dyDescent="0.55000000000000004">
      <c r="A311" s="253"/>
    </row>
    <row r="312" spans="1:1" x14ac:dyDescent="0.55000000000000004">
      <c r="A312" s="253"/>
    </row>
    <row r="313" spans="1:1" x14ac:dyDescent="0.55000000000000004">
      <c r="A313" s="253"/>
    </row>
    <row r="314" spans="1:1" x14ac:dyDescent="0.55000000000000004">
      <c r="A314" s="253"/>
    </row>
    <row r="315" spans="1:1" x14ac:dyDescent="0.55000000000000004">
      <c r="A315" s="253"/>
    </row>
    <row r="316" spans="1:1" x14ac:dyDescent="0.55000000000000004">
      <c r="A316" s="253"/>
    </row>
    <row r="317" spans="1:1" x14ac:dyDescent="0.55000000000000004">
      <c r="A317" s="253"/>
    </row>
    <row r="318" spans="1:1" x14ac:dyDescent="0.55000000000000004">
      <c r="A318" s="253"/>
    </row>
    <row r="319" spans="1:1" x14ac:dyDescent="0.55000000000000004">
      <c r="A319" s="253"/>
    </row>
    <row r="320" spans="1:1" x14ac:dyDescent="0.55000000000000004">
      <c r="A320" s="253"/>
    </row>
    <row r="321" spans="1:1" x14ac:dyDescent="0.55000000000000004">
      <c r="A321" s="253"/>
    </row>
    <row r="322" spans="1:1" x14ac:dyDescent="0.55000000000000004">
      <c r="A322" s="253"/>
    </row>
    <row r="323" spans="1:1" x14ac:dyDescent="0.55000000000000004">
      <c r="A323" s="253"/>
    </row>
    <row r="324" spans="1:1" x14ac:dyDescent="0.55000000000000004">
      <c r="A324" s="253"/>
    </row>
    <row r="325" spans="1:1" x14ac:dyDescent="0.55000000000000004">
      <c r="A325" s="253"/>
    </row>
    <row r="326" spans="1:1" x14ac:dyDescent="0.55000000000000004">
      <c r="A326" s="253"/>
    </row>
    <row r="327" spans="1:1" x14ac:dyDescent="0.55000000000000004">
      <c r="A327" s="253"/>
    </row>
    <row r="328" spans="1:1" x14ac:dyDescent="0.55000000000000004">
      <c r="A328" s="253"/>
    </row>
    <row r="329" spans="1:1" x14ac:dyDescent="0.55000000000000004">
      <c r="A329" s="253"/>
    </row>
    <row r="330" spans="1:1" x14ac:dyDescent="0.55000000000000004">
      <c r="A330" s="253"/>
    </row>
    <row r="331" spans="1:1" x14ac:dyDescent="0.55000000000000004">
      <c r="A331" s="253"/>
    </row>
    <row r="332" spans="1:1" x14ac:dyDescent="0.55000000000000004">
      <c r="A332" s="253"/>
    </row>
    <row r="333" spans="1:1" x14ac:dyDescent="0.55000000000000004">
      <c r="A333" s="253"/>
    </row>
    <row r="334" spans="1:1" x14ac:dyDescent="0.55000000000000004">
      <c r="A334" s="253"/>
    </row>
    <row r="335" spans="1:1" x14ac:dyDescent="0.55000000000000004">
      <c r="A335" s="253"/>
    </row>
    <row r="336" spans="1:1" x14ac:dyDescent="0.55000000000000004">
      <c r="A336" s="253"/>
    </row>
    <row r="337" spans="1:1" x14ac:dyDescent="0.55000000000000004">
      <c r="A337" s="253"/>
    </row>
    <row r="338" spans="1:1" x14ac:dyDescent="0.55000000000000004">
      <c r="A338" s="253"/>
    </row>
    <row r="339" spans="1:1" x14ac:dyDescent="0.55000000000000004">
      <c r="A339" s="253"/>
    </row>
    <row r="340" spans="1:1" x14ac:dyDescent="0.55000000000000004">
      <c r="A340" s="253"/>
    </row>
    <row r="341" spans="1:1" x14ac:dyDescent="0.55000000000000004">
      <c r="A341" s="253"/>
    </row>
    <row r="342" spans="1:1" x14ac:dyDescent="0.55000000000000004">
      <c r="A342" s="253"/>
    </row>
    <row r="343" spans="1:1" x14ac:dyDescent="0.55000000000000004">
      <c r="A343" s="253"/>
    </row>
    <row r="344" spans="1:1" x14ac:dyDescent="0.55000000000000004">
      <c r="A344" s="253"/>
    </row>
    <row r="345" spans="1:1" x14ac:dyDescent="0.55000000000000004">
      <c r="A345" s="253"/>
    </row>
    <row r="346" spans="1:1" x14ac:dyDescent="0.55000000000000004">
      <c r="A346" s="253"/>
    </row>
    <row r="347" spans="1:1" x14ac:dyDescent="0.55000000000000004">
      <c r="A347" s="253"/>
    </row>
    <row r="348" spans="1:1" x14ac:dyDescent="0.55000000000000004">
      <c r="A348" s="253"/>
    </row>
    <row r="349" spans="1:1" x14ac:dyDescent="0.55000000000000004">
      <c r="A349" s="253"/>
    </row>
    <row r="350" spans="1:1" x14ac:dyDescent="0.55000000000000004">
      <c r="A350" s="253"/>
    </row>
    <row r="351" spans="1:1" x14ac:dyDescent="0.55000000000000004">
      <c r="A351" s="253"/>
    </row>
    <row r="352" spans="1:1" x14ac:dyDescent="0.55000000000000004">
      <c r="A352" s="253"/>
    </row>
    <row r="353" spans="1:1" x14ac:dyDescent="0.55000000000000004">
      <c r="A353" s="253"/>
    </row>
    <row r="354" spans="1:1" x14ac:dyDescent="0.55000000000000004">
      <c r="A354" s="253"/>
    </row>
    <row r="355" spans="1:1" x14ac:dyDescent="0.55000000000000004">
      <c r="A355" s="253"/>
    </row>
    <row r="356" spans="1:1" x14ac:dyDescent="0.55000000000000004">
      <c r="A356" s="253"/>
    </row>
    <row r="357" spans="1:1" x14ac:dyDescent="0.55000000000000004">
      <c r="A357" s="253"/>
    </row>
    <row r="358" spans="1:1" x14ac:dyDescent="0.55000000000000004">
      <c r="A358" s="253"/>
    </row>
    <row r="359" spans="1:1" x14ac:dyDescent="0.55000000000000004">
      <c r="A359" s="253"/>
    </row>
    <row r="360" spans="1:1" x14ac:dyDescent="0.55000000000000004">
      <c r="A360" s="253"/>
    </row>
    <row r="361" spans="1:1" x14ac:dyDescent="0.55000000000000004">
      <c r="A361" s="253"/>
    </row>
    <row r="362" spans="1:1" x14ac:dyDescent="0.55000000000000004">
      <c r="A362" s="253"/>
    </row>
    <row r="363" spans="1:1" x14ac:dyDescent="0.55000000000000004">
      <c r="A363" s="253"/>
    </row>
    <row r="364" spans="1:1" x14ac:dyDescent="0.55000000000000004">
      <c r="A364" s="253"/>
    </row>
    <row r="365" spans="1:1" x14ac:dyDescent="0.55000000000000004">
      <c r="A365" s="253"/>
    </row>
    <row r="366" spans="1:1" x14ac:dyDescent="0.55000000000000004">
      <c r="A366" s="253"/>
    </row>
    <row r="367" spans="1:1" x14ac:dyDescent="0.55000000000000004">
      <c r="A367" s="253"/>
    </row>
    <row r="368" spans="1:1" x14ac:dyDescent="0.55000000000000004">
      <c r="A368" s="253"/>
    </row>
    <row r="369" spans="1:1" x14ac:dyDescent="0.55000000000000004">
      <c r="A369" s="253"/>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F681A-2D1B-49C0-BCA1-F167191C8EBF}">
  <sheetPr codeName="Sheet17">
    <pageSetUpPr fitToPage="1"/>
  </sheetPr>
  <dimension ref="A1:AL745"/>
  <sheetViews>
    <sheetView view="pageBreakPreview" zoomScale="60" zoomScaleNormal="100" zoomScaleSheetLayoutView="115" workbookViewId="0">
      <pane ySplit="2" topLeftCell="A3" activePane="bottomLeft" state="frozen"/>
      <selection activeCell="E4" sqref="E4"/>
      <selection pane="bottomLeft" activeCell="E4" sqref="E4"/>
    </sheetView>
  </sheetViews>
  <sheetFormatPr defaultColWidth="8.1640625" defaultRowHeight="14" x14ac:dyDescent="0.55000000000000004"/>
  <cols>
    <col min="1" max="20" width="4.08203125" style="261" customWidth="1"/>
    <col min="21" max="21" width="2.5" style="261" customWidth="1"/>
    <col min="22" max="22" width="8.08203125" style="262" customWidth="1"/>
    <col min="23" max="23" width="3.33203125" style="263" bestFit="1" customWidth="1"/>
    <col min="24" max="24" width="4.5" style="262" bestFit="1" customWidth="1"/>
    <col min="25" max="25" width="4.5" style="262" customWidth="1"/>
    <col min="26" max="26" width="8.5" style="262" customWidth="1"/>
    <col min="27" max="27" width="68.58203125" style="264" customWidth="1"/>
    <col min="28" max="28" width="2.58203125" style="265" customWidth="1"/>
    <col min="29" max="16384" width="8.1640625" style="265"/>
  </cols>
  <sheetData>
    <row r="1" spans="1:38" s="256" customFormat="1" ht="13" x14ac:dyDescent="0.55000000000000004">
      <c r="A1" s="329" t="s">
        <v>6462</v>
      </c>
      <c r="B1" s="330"/>
      <c r="C1" s="330"/>
      <c r="D1" s="330"/>
      <c r="E1" s="330"/>
      <c r="F1" s="330"/>
      <c r="G1" s="330"/>
      <c r="H1" s="330"/>
      <c r="I1" s="330"/>
      <c r="J1" s="330"/>
      <c r="K1" s="330"/>
      <c r="L1" s="330"/>
      <c r="M1" s="330"/>
      <c r="N1" s="330"/>
      <c r="O1" s="330"/>
      <c r="P1" s="330"/>
      <c r="Q1" s="330"/>
      <c r="R1" s="330"/>
      <c r="S1" s="330"/>
      <c r="T1" s="331"/>
      <c r="U1" s="255"/>
      <c r="V1" s="332" t="s">
        <v>6463</v>
      </c>
      <c r="W1" s="329" t="s">
        <v>6464</v>
      </c>
      <c r="X1" s="331"/>
      <c r="Y1" s="334" t="s">
        <v>6465</v>
      </c>
      <c r="Z1" s="334" t="s">
        <v>6466</v>
      </c>
      <c r="AA1" s="328" t="s">
        <v>6467</v>
      </c>
      <c r="AE1" s="257"/>
      <c r="AF1" s="257"/>
      <c r="AG1" s="257"/>
      <c r="AH1" s="257"/>
      <c r="AI1" s="257"/>
      <c r="AJ1" s="257"/>
      <c r="AK1" s="257"/>
      <c r="AL1" s="257"/>
    </row>
    <row r="2" spans="1:38" s="256" customFormat="1" ht="57" customHeight="1" x14ac:dyDescent="0.55000000000000004">
      <c r="A2" s="258" t="s">
        <v>6468</v>
      </c>
      <c r="B2" s="258" t="s">
        <v>6469</v>
      </c>
      <c r="C2" s="258" t="s">
        <v>6470</v>
      </c>
      <c r="D2" s="258" t="s">
        <v>6471</v>
      </c>
      <c r="E2" s="258" t="s">
        <v>6472</v>
      </c>
      <c r="F2" s="258" t="s">
        <v>6473</v>
      </c>
      <c r="G2" s="258" t="s">
        <v>6474</v>
      </c>
      <c r="H2" s="258" t="s">
        <v>6475</v>
      </c>
      <c r="I2" s="258" t="s">
        <v>6476</v>
      </c>
      <c r="J2" s="258" t="s">
        <v>6477</v>
      </c>
      <c r="K2" s="258" t="s">
        <v>6478</v>
      </c>
      <c r="L2" s="258" t="s">
        <v>6479</v>
      </c>
      <c r="M2" s="258" t="s">
        <v>6480</v>
      </c>
      <c r="N2" s="258" t="s">
        <v>6481</v>
      </c>
      <c r="O2" s="258" t="s">
        <v>6482</v>
      </c>
      <c r="P2" s="258" t="s">
        <v>6483</v>
      </c>
      <c r="Q2" s="258" t="s">
        <v>6484</v>
      </c>
      <c r="R2" s="258" t="s">
        <v>6485</v>
      </c>
      <c r="S2" s="258" t="s">
        <v>6486</v>
      </c>
      <c r="T2" s="258" t="s">
        <v>6487</v>
      </c>
      <c r="U2" s="259"/>
      <c r="V2" s="333"/>
      <c r="W2" s="259" t="s">
        <v>6488</v>
      </c>
      <c r="X2" s="260" t="s">
        <v>6489</v>
      </c>
      <c r="Y2" s="334"/>
      <c r="Z2" s="334"/>
      <c r="AA2" s="328"/>
      <c r="AE2" s="257"/>
    </row>
    <row r="112" ht="13.5" customHeight="1" x14ac:dyDescent="0.55000000000000004"/>
    <row r="742" ht="27.5" customHeight="1" x14ac:dyDescent="0.55000000000000004"/>
    <row r="743" ht="27.5" customHeight="1" x14ac:dyDescent="0.55000000000000004"/>
    <row r="745" ht="27.5" customHeight="1" x14ac:dyDescent="0.55000000000000004"/>
  </sheetData>
  <sheetProtection formatCells="0" formatColumns="0" formatRows="0" insertRows="0" deleteRows="0"/>
  <mergeCells count="6">
    <mergeCell ref="AA1:AA2"/>
    <mergeCell ref="A1:T1"/>
    <mergeCell ref="V1:V2"/>
    <mergeCell ref="W1:X1"/>
    <mergeCell ref="Y1:Y2"/>
    <mergeCell ref="Z1:Z2"/>
  </mergeCells>
  <phoneticPr fontId="1"/>
  <conditionalFormatting sqref="A3:N1048576">
    <cfRule type="cellIs" dxfId="21" priority="1" stopIfTrue="1" operator="equal">
      <formula>"T"</formula>
    </cfRule>
  </conditionalFormatting>
  <conditionalFormatting sqref="O3:T1048576">
    <cfRule type="cellIs" dxfId="20" priority="2" stopIfTrue="1" operator="equal">
      <formula>"R"</formula>
    </cfRule>
    <cfRule type="cellIs" dxfId="19" priority="10" stopIfTrue="1" operator="equal">
      <formula>"T"</formula>
    </cfRule>
  </conditionalFormatting>
  <conditionalFormatting sqref="U3:U1048576">
    <cfRule type="cellIs" dxfId="18" priority="13" stopIfTrue="1" operator="equal">
      <formula>"T"</formula>
    </cfRule>
  </conditionalFormatting>
  <conditionalFormatting sqref="V3:V1048576">
    <cfRule type="expression" dxfId="17" priority="9" stopIfTrue="1">
      <formula>AND(AND(OFFSET(V3, -1, 0) &lt;&gt; "ckOut", OFFSET(V3, -1, 0) &lt;&gt; "ckExist", OFFSET(V3, -1, 0) &lt;&gt; "ckNot"), OR(V3 = "ckExist", V3 = "ckNot"))</formula>
    </cfRule>
  </conditionalFormatting>
  <conditionalFormatting sqref="V5488:V70933 V1:V2">
    <cfRule type="expression" dxfId="16" priority="17" stopIfTrue="1">
      <formula>AND(AND(OFFSET(V1, -1, 0) &lt;&gt; "ckOut", OFFSET(V1, -1, 0) &lt;&gt; "ckExist", OFFSET(V1, -1, 0) &lt;&gt; "ckNot"), OR(V1 = "ckExist", V1 = "ckNot"))</formula>
    </cfRule>
  </conditionalFormatting>
  <conditionalFormatting sqref="W1:W2">
    <cfRule type="expression" dxfId="15" priority="14" stopIfTrue="1">
      <formula xml:space="preserve"> AND($W1 &lt;&gt; "on", OR($V1 = "ckOut", $V1 = "ckExist", $V1 = "ckNot", $V1 = "sleep"))</formula>
    </cfRule>
  </conditionalFormatting>
  <conditionalFormatting sqref="W3:W5486">
    <cfRule type="expression" dxfId="14" priority="5" stopIfTrue="1">
      <formula>OR(OFFSET($W3, -1, 0) = "on", $W3 = "on")</formula>
    </cfRule>
  </conditionalFormatting>
  <conditionalFormatting sqref="W3:W1048576">
    <cfRule type="containsText" dxfId="13" priority="3" stopIfTrue="1" operator="containsText" text="ON">
      <formula>NOT(ISERROR(SEARCH("ON",W3)))</formula>
    </cfRule>
    <cfRule type="expression" dxfId="12" priority="4" stopIfTrue="1">
      <formula xml:space="preserve"> AND($W3 &lt;&gt; "on", OR(OFFSET($W3, 1, -1) = "ckExist", OFFSET($W3, 1, -1) = "ckNot"))</formula>
    </cfRule>
  </conditionalFormatting>
  <conditionalFormatting sqref="W5487:W70933">
    <cfRule type="expression" dxfId="11" priority="18" stopIfTrue="1">
      <formula xml:space="preserve"> AND($W5487 &lt;&gt; "on", OR(OFFSET($W5487, 1, -1) = "ckExist", OFFSET($W5487, 1, -1) = "ckNot"))</formula>
    </cfRule>
    <cfRule type="expression" dxfId="10" priority="19" stopIfTrue="1">
      <formula>OR( OFFSET($W5487, -1, 0) = "on", W5487 = "on")</formula>
    </cfRule>
  </conditionalFormatting>
  <conditionalFormatting sqref="X3:X1048576">
    <cfRule type="expression" dxfId="9" priority="6">
      <formula>AND($W3 = "on", $V3 &lt;&gt; "ckExist", $V3 &lt;&gt; "ckNot")</formula>
    </cfRule>
    <cfRule type="expression" dxfId="8" priority="7">
      <formula>OR($W3 &lt;&gt; "on", $V3 = "ckExist", $V3 = "ckNot")</formula>
    </cfRule>
  </conditionalFormatting>
  <conditionalFormatting sqref="X5487:X70933 X1:X2">
    <cfRule type="expression" dxfId="7" priority="16" stopIfTrue="1">
      <formula>OR($W1 &lt;&gt; "on", $V1 = "ckExist", $V1 = "ckNot")</formula>
    </cfRule>
  </conditionalFormatting>
  <conditionalFormatting sqref="Z3:Z1048576">
    <cfRule type="expression" dxfId="6" priority="8">
      <formula>OR($V3="ckExist",$V3="ckNot")</formula>
    </cfRule>
  </conditionalFormatting>
  <conditionalFormatting sqref="Z5487:Z70933 Z1:Z2">
    <cfRule type="expression" dxfId="5" priority="15" stopIfTrue="1">
      <formula xml:space="preserve"> OR($V1 = "ckExist", $V1 = "ckNot")</formula>
    </cfRule>
  </conditionalFormatting>
  <conditionalFormatting sqref="AA1:AA70933">
    <cfRule type="expression" dxfId="4" priority="12" stopIfTrue="1">
      <formula>$V1 = "ckStatus"</formula>
    </cfRule>
  </conditionalFormatting>
  <conditionalFormatting sqref="AA3:AA5486">
    <cfRule type="expression" dxfId="3" priority="11" stopIfTrue="1">
      <formula>$V3="notify"</formula>
    </cfRule>
  </conditionalFormatting>
  <conditionalFormatting sqref="AA3:AA1048576">
    <cfRule type="expression" dxfId="2" priority="20" stopIfTrue="1">
      <formula>$V5 = "ckStatus"</formula>
    </cfRule>
    <cfRule type="expression" dxfId="1" priority="21" stopIfTrue="1">
      <formula>$V5="notify"</formula>
    </cfRule>
  </conditionalFormatting>
  <dataValidations count="3">
    <dataValidation type="list" allowBlank="1" showInputMessage="1" showErrorMessage="1" sqref="A3:U1048576" xr:uid="{DCC83649-02F8-4F78-8576-BE3139B3453E}">
      <formula1>"　,T,R"</formula1>
    </dataValidation>
    <dataValidation type="list" allowBlank="1" showInputMessage="1" showErrorMessage="1" sqref="Y3:Y1048576 W3:W1048576" xr:uid="{6D66F56D-9D17-4149-A3CD-092FE537EFED}">
      <formula1>"on"</formula1>
    </dataValidation>
    <dataValidation type="list" allowBlank="1" showInputMessage="1" showErrorMessage="1" sqref="V3:V1048576" xr:uid="{E4596EC6-1057-48C9-8FF4-4DBEF22DF52E}">
      <formula1>"return,noret,sleep,ckOut,ckExist,ckNot,ckStatus,notify,comment"</formula1>
    </dataValidation>
  </dataValidations>
  <pageMargins left="0.75" right="0.75" top="1" bottom="1" header="0.51200000000000001" footer="0.51200000000000001"/>
  <pageSetup paperSize="9" scale="44"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F14E1-B756-4482-9FD3-EE4BD1BE403B}">
  <sheetPr codeName="Sheet18"/>
  <dimension ref="A1:AO73"/>
  <sheetViews>
    <sheetView zoomScaleNormal="100" workbookViewId="0">
      <selection activeCell="E4" sqref="E4"/>
    </sheetView>
  </sheetViews>
  <sheetFormatPr defaultColWidth="8.6640625" defaultRowHeight="13" x14ac:dyDescent="0.55000000000000004"/>
  <cols>
    <col min="1" max="1" width="8.33203125" style="257" customWidth="1"/>
    <col min="2" max="2" width="14.58203125" style="257" bestFit="1" customWidth="1"/>
    <col min="3" max="3" width="32.08203125" style="296" bestFit="1" customWidth="1"/>
    <col min="4" max="4" width="3.1640625" style="297" customWidth="1"/>
    <col min="5" max="5" width="13.6640625" style="269" customWidth="1"/>
    <col min="6" max="6" width="3.1640625" style="297" customWidth="1"/>
    <col min="7" max="7" width="13.6640625" style="257" customWidth="1"/>
    <col min="8" max="8" width="3.1640625" style="297" customWidth="1"/>
    <col min="9" max="9" width="13.6640625" style="257" customWidth="1"/>
    <col min="10" max="10" width="3.1640625" style="297" customWidth="1"/>
    <col min="11" max="11" width="13.6640625" style="257" customWidth="1"/>
    <col min="12" max="12" width="3.1640625" style="297" customWidth="1"/>
    <col min="13" max="13" width="9" style="257" bestFit="1" customWidth="1"/>
    <col min="14" max="14" width="3.1640625" style="297" customWidth="1"/>
    <col min="15" max="15" width="9" style="257" bestFit="1" customWidth="1"/>
    <col min="16" max="16" width="3.1640625" style="297" customWidth="1"/>
    <col min="17" max="17" width="9" style="257" bestFit="1" customWidth="1"/>
    <col min="18" max="18" width="3.1640625" style="297" customWidth="1"/>
    <col min="19" max="19" width="9" style="257" bestFit="1" customWidth="1"/>
    <col min="20" max="20" width="3.1640625" style="297" customWidth="1"/>
    <col min="21" max="21" width="9" style="257" bestFit="1" customWidth="1"/>
    <col min="22" max="22" width="3.1640625" style="297" customWidth="1"/>
    <col min="23" max="23" width="9" style="257" bestFit="1" customWidth="1"/>
    <col min="24" max="24" width="3.1640625" style="297" customWidth="1"/>
    <col min="25" max="25" width="9" style="257" bestFit="1" customWidth="1"/>
    <col min="26" max="26" width="3.1640625" style="297" customWidth="1"/>
    <col min="27" max="27" width="9" style="257" bestFit="1" customWidth="1"/>
    <col min="28" max="28" width="3.1640625" style="297" customWidth="1"/>
    <col min="29" max="29" width="9" style="257" bestFit="1" customWidth="1"/>
    <col min="30" max="30" width="3.1640625" style="297" customWidth="1"/>
    <col min="31" max="31" width="9" style="257" bestFit="1" customWidth="1"/>
    <col min="32" max="32" width="3.1640625" style="297" customWidth="1"/>
    <col min="33" max="33" width="9" style="257" bestFit="1" customWidth="1"/>
    <col min="34" max="34" width="3.1640625" style="297" customWidth="1"/>
    <col min="35" max="35" width="9" style="257" bestFit="1" customWidth="1"/>
    <col min="36" max="36" width="3.1640625" style="297" customWidth="1"/>
    <col min="37" max="37" width="9" style="257" bestFit="1" customWidth="1"/>
    <col min="38" max="38" width="3.1640625" style="297" customWidth="1"/>
    <col min="39" max="39" width="9" style="257" bestFit="1" customWidth="1"/>
    <col min="40" max="40" width="3.1640625" style="297" customWidth="1"/>
    <col min="41" max="41" width="9" style="257" bestFit="1" customWidth="1"/>
    <col min="42" max="16384" width="8.6640625" style="257"/>
  </cols>
  <sheetData>
    <row r="1" spans="1:40" x14ac:dyDescent="0.55000000000000004">
      <c r="A1" s="266"/>
      <c r="B1" s="267"/>
      <c r="C1" s="267"/>
      <c r="D1" s="268"/>
      <c r="F1" s="268"/>
      <c r="H1" s="268"/>
      <c r="J1" s="268"/>
      <c r="L1" s="268"/>
      <c r="N1" s="268"/>
      <c r="P1" s="268"/>
      <c r="R1" s="268"/>
      <c r="T1" s="268"/>
      <c r="V1" s="268"/>
      <c r="X1" s="268"/>
      <c r="Z1" s="268"/>
      <c r="AB1" s="268"/>
      <c r="AD1" s="268"/>
      <c r="AF1" s="268"/>
      <c r="AH1" s="268"/>
      <c r="AJ1" s="268"/>
      <c r="AL1" s="268"/>
      <c r="AN1" s="268"/>
    </row>
    <row r="2" spans="1:40" x14ac:dyDescent="0.55000000000000004">
      <c r="A2" s="270" t="s">
        <v>6490</v>
      </c>
      <c r="B2" s="271" t="s">
        <v>6491</v>
      </c>
      <c r="C2" s="272" t="s">
        <v>6492</v>
      </c>
      <c r="D2" s="268"/>
      <c r="E2" s="273" t="s">
        <v>6493</v>
      </c>
      <c r="F2" s="274"/>
      <c r="G2" s="275">
        <v>2.1</v>
      </c>
      <c r="H2" s="268"/>
      <c r="J2" s="268"/>
      <c r="L2" s="268"/>
      <c r="N2" s="268"/>
      <c r="P2" s="268"/>
      <c r="R2" s="268"/>
      <c r="T2" s="268"/>
      <c r="V2" s="268"/>
      <c r="X2" s="268"/>
      <c r="Z2" s="268"/>
      <c r="AB2" s="268"/>
      <c r="AD2" s="268"/>
      <c r="AF2" s="268"/>
      <c r="AH2" s="268"/>
      <c r="AJ2" s="268"/>
      <c r="AL2" s="268"/>
      <c r="AN2" s="268"/>
    </row>
    <row r="3" spans="1:40" x14ac:dyDescent="0.55000000000000004">
      <c r="A3" s="276"/>
      <c r="B3" s="271" t="s">
        <v>6494</v>
      </c>
      <c r="C3" s="272" t="s">
        <v>6495</v>
      </c>
      <c r="D3" s="268"/>
      <c r="E3" s="273" t="s">
        <v>6496</v>
      </c>
      <c r="F3" s="274"/>
      <c r="G3" s="277">
        <v>1000</v>
      </c>
      <c r="H3" s="268"/>
      <c r="I3" s="257" t="s">
        <v>6497</v>
      </c>
      <c r="J3" s="268"/>
      <c r="L3" s="268"/>
      <c r="N3" s="268"/>
      <c r="P3" s="268"/>
      <c r="R3" s="268"/>
      <c r="T3" s="268"/>
      <c r="V3" s="268"/>
      <c r="X3" s="268"/>
      <c r="Z3" s="268"/>
      <c r="AB3" s="268"/>
      <c r="AD3" s="268"/>
      <c r="AF3" s="268"/>
      <c r="AH3" s="268"/>
      <c r="AJ3" s="268"/>
      <c r="AL3" s="268"/>
      <c r="AN3" s="268"/>
    </row>
    <row r="4" spans="1:40" x14ac:dyDescent="0.55000000000000004">
      <c r="A4" s="276"/>
      <c r="B4" s="271" t="s">
        <v>6498</v>
      </c>
      <c r="C4" s="272" t="s">
        <v>6499</v>
      </c>
      <c r="D4" s="268"/>
      <c r="F4" s="268"/>
      <c r="H4" s="268"/>
      <c r="J4" s="268"/>
      <c r="L4" s="268"/>
      <c r="N4" s="268"/>
      <c r="P4" s="268"/>
      <c r="R4" s="268"/>
      <c r="T4" s="268"/>
      <c r="V4" s="268"/>
      <c r="X4" s="268"/>
      <c r="Z4" s="268"/>
      <c r="AB4" s="268"/>
      <c r="AD4" s="268"/>
      <c r="AF4" s="268"/>
      <c r="AH4" s="268"/>
      <c r="AJ4" s="268"/>
      <c r="AL4" s="268"/>
      <c r="AN4" s="268"/>
    </row>
    <row r="5" spans="1:40" x14ac:dyDescent="0.55000000000000004">
      <c r="A5" s="276"/>
      <c r="B5" s="259" t="s">
        <v>6500</v>
      </c>
      <c r="C5" s="272" t="s">
        <v>6501</v>
      </c>
      <c r="D5" s="268"/>
      <c r="F5" s="268"/>
      <c r="H5" s="268"/>
      <c r="J5" s="268"/>
      <c r="L5" s="268"/>
      <c r="N5" s="268"/>
      <c r="P5" s="268"/>
      <c r="R5" s="268"/>
      <c r="T5" s="268"/>
      <c r="V5" s="268"/>
      <c r="X5" s="268"/>
      <c r="Z5" s="268"/>
      <c r="AB5" s="268"/>
      <c r="AD5" s="268"/>
      <c r="AF5" s="268"/>
      <c r="AH5" s="268"/>
      <c r="AJ5" s="268"/>
      <c r="AL5" s="268"/>
      <c r="AN5" s="268"/>
    </row>
    <row r="6" spans="1:40" x14ac:dyDescent="0.55000000000000004">
      <c r="A6" s="276"/>
      <c r="B6" s="259" t="s">
        <v>6502</v>
      </c>
      <c r="C6" s="272" t="s">
        <v>6503</v>
      </c>
      <c r="D6" s="268"/>
      <c r="F6" s="268"/>
      <c r="H6" s="268"/>
      <c r="J6" s="268"/>
      <c r="L6" s="268"/>
      <c r="N6" s="268"/>
      <c r="P6" s="268"/>
      <c r="R6" s="268"/>
      <c r="T6" s="268"/>
      <c r="V6" s="268"/>
      <c r="X6" s="268"/>
      <c r="Z6" s="268"/>
      <c r="AB6" s="268"/>
      <c r="AD6" s="268"/>
      <c r="AF6" s="268"/>
      <c r="AH6" s="268"/>
      <c r="AJ6" s="268"/>
      <c r="AL6" s="268"/>
      <c r="AN6" s="268"/>
    </row>
    <row r="7" spans="1:40" x14ac:dyDescent="0.55000000000000004">
      <c r="A7" s="276"/>
      <c r="B7" s="259" t="s">
        <v>6504</v>
      </c>
      <c r="C7" s="272" t="s">
        <v>6505</v>
      </c>
      <c r="D7" s="268"/>
      <c r="F7" s="268"/>
      <c r="H7" s="268"/>
      <c r="J7" s="268"/>
      <c r="L7" s="268"/>
      <c r="N7" s="268"/>
      <c r="P7" s="268"/>
      <c r="R7" s="268"/>
      <c r="T7" s="268"/>
      <c r="V7" s="268"/>
      <c r="X7" s="268"/>
      <c r="Z7" s="268"/>
      <c r="AB7" s="268"/>
      <c r="AD7" s="268"/>
      <c r="AF7" s="268"/>
      <c r="AH7" s="268"/>
      <c r="AJ7" s="268"/>
      <c r="AL7" s="268"/>
      <c r="AN7" s="268"/>
    </row>
    <row r="8" spans="1:40" x14ac:dyDescent="0.55000000000000004">
      <c r="A8" s="276"/>
      <c r="B8" s="259" t="s">
        <v>6506</v>
      </c>
      <c r="C8" s="272" t="s">
        <v>6507</v>
      </c>
      <c r="D8" s="268"/>
      <c r="F8" s="268"/>
      <c r="H8" s="268"/>
      <c r="J8" s="268"/>
      <c r="L8" s="268"/>
      <c r="N8" s="268"/>
      <c r="P8" s="268"/>
      <c r="R8" s="268"/>
      <c r="T8" s="268"/>
      <c r="V8" s="268"/>
      <c r="X8" s="268"/>
      <c r="Z8" s="268"/>
      <c r="AB8" s="268"/>
      <c r="AD8" s="268"/>
      <c r="AF8" s="268"/>
      <c r="AH8" s="268"/>
      <c r="AJ8" s="268"/>
      <c r="AL8" s="268"/>
      <c r="AN8" s="268"/>
    </row>
    <row r="9" spans="1:40" x14ac:dyDescent="0.55000000000000004">
      <c r="A9" s="276"/>
      <c r="B9" s="259" t="s">
        <v>6508</v>
      </c>
      <c r="C9" s="272" t="s">
        <v>6509</v>
      </c>
      <c r="D9" s="268"/>
      <c r="F9" s="268"/>
      <c r="H9" s="268"/>
      <c r="J9" s="268"/>
      <c r="L9" s="268"/>
      <c r="N9" s="268"/>
      <c r="P9" s="268"/>
      <c r="R9" s="268"/>
      <c r="T9" s="268"/>
      <c r="V9" s="268"/>
      <c r="X9" s="268"/>
      <c r="Z9" s="268"/>
      <c r="AB9" s="268"/>
      <c r="AD9" s="268"/>
      <c r="AF9" s="268"/>
      <c r="AH9" s="268"/>
      <c r="AJ9" s="268"/>
      <c r="AL9" s="268"/>
      <c r="AN9" s="268"/>
    </row>
    <row r="10" spans="1:40" x14ac:dyDescent="0.55000000000000004">
      <c r="A10" s="276"/>
      <c r="B10" s="259" t="s">
        <v>6510</v>
      </c>
      <c r="C10" s="272" t="s">
        <v>6511</v>
      </c>
      <c r="D10" s="268"/>
      <c r="F10" s="268"/>
      <c r="H10" s="268"/>
      <c r="J10" s="268"/>
      <c r="L10" s="268"/>
      <c r="N10" s="268"/>
      <c r="P10" s="268"/>
      <c r="R10" s="268"/>
      <c r="T10" s="268"/>
      <c r="V10" s="268"/>
      <c r="X10" s="268"/>
      <c r="Z10" s="268"/>
      <c r="AB10" s="268"/>
      <c r="AD10" s="268"/>
      <c r="AF10" s="268"/>
      <c r="AH10" s="268"/>
      <c r="AJ10" s="268"/>
      <c r="AL10" s="268"/>
      <c r="AN10" s="268"/>
    </row>
    <row r="11" spans="1:40" x14ac:dyDescent="0.55000000000000004">
      <c r="A11" s="276"/>
      <c r="B11" s="259" t="s">
        <v>6512</v>
      </c>
      <c r="C11" s="272" t="s">
        <v>6513</v>
      </c>
      <c r="D11" s="268"/>
      <c r="F11" s="268"/>
      <c r="H11" s="268"/>
      <c r="J11" s="268"/>
      <c r="L11" s="268"/>
      <c r="N11" s="268"/>
      <c r="P11" s="268"/>
      <c r="R11" s="268"/>
      <c r="T11" s="268"/>
      <c r="V11" s="268"/>
      <c r="X11" s="268"/>
      <c r="Z11" s="268"/>
      <c r="AB11" s="268"/>
      <c r="AD11" s="268"/>
      <c r="AF11" s="268"/>
      <c r="AH11" s="268"/>
      <c r="AJ11" s="268"/>
      <c r="AL11" s="268"/>
      <c r="AN11" s="268"/>
    </row>
    <row r="12" spans="1:40" x14ac:dyDescent="0.55000000000000004">
      <c r="A12" s="276"/>
      <c r="B12" s="259" t="s">
        <v>6514</v>
      </c>
      <c r="C12" s="272" t="s">
        <v>6515</v>
      </c>
      <c r="D12" s="268"/>
      <c r="F12" s="268"/>
      <c r="H12" s="268"/>
      <c r="J12" s="268"/>
      <c r="L12" s="268"/>
      <c r="N12" s="268"/>
      <c r="P12" s="268"/>
      <c r="R12" s="268"/>
      <c r="T12" s="268"/>
      <c r="V12" s="268"/>
      <c r="X12" s="268"/>
      <c r="Z12" s="268"/>
      <c r="AB12" s="268"/>
      <c r="AD12" s="268"/>
      <c r="AF12" s="268"/>
      <c r="AH12" s="268"/>
      <c r="AJ12" s="268"/>
      <c r="AL12" s="268"/>
      <c r="AN12" s="268"/>
    </row>
    <row r="13" spans="1:40" x14ac:dyDescent="0.55000000000000004">
      <c r="A13" s="276"/>
      <c r="B13" s="259" t="s">
        <v>6516</v>
      </c>
      <c r="C13" s="272" t="s">
        <v>6517</v>
      </c>
      <c r="D13" s="268"/>
      <c r="F13" s="268"/>
      <c r="H13" s="268"/>
      <c r="J13" s="268"/>
      <c r="L13" s="268"/>
      <c r="N13" s="268"/>
      <c r="P13" s="268"/>
      <c r="R13" s="268"/>
      <c r="T13" s="268"/>
      <c r="V13" s="268"/>
      <c r="X13" s="268"/>
      <c r="Z13" s="268"/>
      <c r="AB13" s="268"/>
      <c r="AD13" s="268"/>
      <c r="AF13" s="268"/>
      <c r="AH13" s="268"/>
      <c r="AJ13" s="268"/>
      <c r="AL13" s="268"/>
      <c r="AN13" s="268"/>
    </row>
    <row r="14" spans="1:40" x14ac:dyDescent="0.55000000000000004">
      <c r="A14" s="276"/>
      <c r="B14" s="259" t="s">
        <v>6518</v>
      </c>
      <c r="C14" s="272" t="s">
        <v>6519</v>
      </c>
      <c r="D14" s="268"/>
      <c r="F14" s="268"/>
      <c r="H14" s="268"/>
      <c r="J14" s="268"/>
      <c r="L14" s="268"/>
      <c r="N14" s="268"/>
      <c r="P14" s="268"/>
      <c r="R14" s="268"/>
      <c r="T14" s="268"/>
      <c r="V14" s="268"/>
      <c r="X14" s="268"/>
      <c r="Z14" s="268"/>
      <c r="AB14" s="268"/>
      <c r="AD14" s="268"/>
      <c r="AF14" s="268"/>
      <c r="AH14" s="268"/>
      <c r="AJ14" s="268"/>
      <c r="AL14" s="268"/>
      <c r="AN14" s="268"/>
    </row>
    <row r="15" spans="1:40" x14ac:dyDescent="0.55000000000000004">
      <c r="A15" s="276"/>
      <c r="B15" s="259" t="s">
        <v>6520</v>
      </c>
      <c r="C15" s="272" t="s">
        <v>6521</v>
      </c>
      <c r="D15" s="268"/>
      <c r="F15" s="268"/>
      <c r="H15" s="268"/>
      <c r="J15" s="268"/>
      <c r="L15" s="268"/>
      <c r="N15" s="268"/>
      <c r="P15" s="268"/>
      <c r="R15" s="268"/>
      <c r="T15" s="268"/>
      <c r="V15" s="268"/>
      <c r="X15" s="268"/>
      <c r="Z15" s="268"/>
      <c r="AB15" s="268"/>
      <c r="AD15" s="268"/>
      <c r="AF15" s="268"/>
      <c r="AH15" s="268"/>
      <c r="AJ15" s="268"/>
      <c r="AL15" s="268"/>
      <c r="AN15" s="268"/>
    </row>
    <row r="16" spans="1:40" x14ac:dyDescent="0.55000000000000004">
      <c r="A16" s="276"/>
      <c r="B16" s="259" t="s">
        <v>6522</v>
      </c>
      <c r="C16" s="272" t="s">
        <v>6523</v>
      </c>
      <c r="D16" s="268"/>
      <c r="F16" s="268"/>
      <c r="H16" s="268"/>
      <c r="J16" s="268"/>
      <c r="L16" s="268"/>
      <c r="N16" s="268"/>
      <c r="P16" s="268"/>
      <c r="R16" s="268"/>
      <c r="T16" s="268"/>
      <c r="V16" s="268"/>
      <c r="X16" s="268"/>
      <c r="Z16" s="268"/>
      <c r="AB16" s="268"/>
      <c r="AD16" s="268"/>
      <c r="AF16" s="268"/>
      <c r="AH16" s="268"/>
      <c r="AJ16" s="268"/>
      <c r="AL16" s="268"/>
      <c r="AN16" s="268"/>
    </row>
    <row r="17" spans="1:40" x14ac:dyDescent="0.55000000000000004">
      <c r="A17" s="276"/>
      <c r="B17" s="259" t="s">
        <v>6524</v>
      </c>
      <c r="C17" s="272" t="s">
        <v>6525</v>
      </c>
      <c r="D17" s="268"/>
      <c r="F17" s="268"/>
      <c r="H17" s="268"/>
      <c r="J17" s="268"/>
      <c r="L17" s="268"/>
      <c r="N17" s="268"/>
      <c r="P17" s="268"/>
      <c r="R17" s="268"/>
      <c r="T17" s="268"/>
      <c r="V17" s="268"/>
      <c r="X17" s="268"/>
      <c r="Z17" s="268"/>
      <c r="AB17" s="268"/>
      <c r="AD17" s="268"/>
      <c r="AF17" s="268"/>
      <c r="AH17" s="268"/>
      <c r="AJ17" s="268"/>
      <c r="AL17" s="268"/>
      <c r="AN17" s="268"/>
    </row>
    <row r="18" spans="1:40" x14ac:dyDescent="0.55000000000000004">
      <c r="A18" s="276"/>
      <c r="B18" s="259" t="s">
        <v>6526</v>
      </c>
      <c r="C18" s="272" t="s">
        <v>6527</v>
      </c>
      <c r="D18" s="268"/>
      <c r="F18" s="268"/>
      <c r="H18" s="268"/>
      <c r="J18" s="268"/>
      <c r="L18" s="268"/>
      <c r="N18" s="268"/>
      <c r="P18" s="268"/>
      <c r="R18" s="268"/>
      <c r="T18" s="268"/>
      <c r="V18" s="268"/>
      <c r="X18" s="268"/>
      <c r="Z18" s="268"/>
      <c r="AB18" s="268"/>
      <c r="AD18" s="268"/>
      <c r="AF18" s="268"/>
      <c r="AH18" s="268"/>
      <c r="AJ18" s="268"/>
      <c r="AL18" s="268"/>
      <c r="AN18" s="268"/>
    </row>
    <row r="19" spans="1:40" x14ac:dyDescent="0.55000000000000004">
      <c r="A19" s="276"/>
      <c r="B19" s="259" t="s">
        <v>6528</v>
      </c>
      <c r="C19" s="272" t="s">
        <v>6529</v>
      </c>
      <c r="D19" s="268"/>
      <c r="F19" s="268"/>
      <c r="H19" s="268"/>
      <c r="J19" s="268"/>
      <c r="L19" s="268"/>
      <c r="N19" s="268"/>
      <c r="P19" s="268"/>
      <c r="R19" s="268"/>
      <c r="T19" s="268"/>
      <c r="V19" s="268"/>
      <c r="X19" s="268"/>
      <c r="Z19" s="268"/>
      <c r="AB19" s="268"/>
      <c r="AD19" s="268"/>
      <c r="AF19" s="268"/>
      <c r="AH19" s="268"/>
      <c r="AJ19" s="268"/>
      <c r="AL19" s="268"/>
      <c r="AN19" s="268"/>
    </row>
    <row r="20" spans="1:40" x14ac:dyDescent="0.55000000000000004">
      <c r="A20" s="276"/>
      <c r="B20" s="259" t="s">
        <v>6530</v>
      </c>
      <c r="C20" s="272" t="s">
        <v>6531</v>
      </c>
      <c r="D20" s="268"/>
      <c r="F20" s="268"/>
      <c r="H20" s="268"/>
      <c r="J20" s="268"/>
      <c r="L20" s="268"/>
      <c r="N20" s="268"/>
      <c r="P20" s="268"/>
      <c r="R20" s="268"/>
      <c r="T20" s="268"/>
      <c r="V20" s="268"/>
      <c r="X20" s="268"/>
      <c r="Z20" s="268"/>
      <c r="AB20" s="268"/>
      <c r="AD20" s="268"/>
      <c r="AF20" s="268"/>
      <c r="AH20" s="268"/>
      <c r="AJ20" s="268"/>
      <c r="AL20" s="268"/>
      <c r="AN20" s="268"/>
    </row>
    <row r="21" spans="1:40" x14ac:dyDescent="0.55000000000000004">
      <c r="A21" s="276"/>
      <c r="B21" s="259" t="s">
        <v>6532</v>
      </c>
      <c r="C21" s="272" t="s">
        <v>6533</v>
      </c>
      <c r="D21" s="268"/>
      <c r="F21" s="268"/>
      <c r="H21" s="268"/>
      <c r="J21" s="268"/>
      <c r="L21" s="268"/>
      <c r="N21" s="268"/>
      <c r="P21" s="268"/>
      <c r="R21" s="268"/>
      <c r="T21" s="268"/>
      <c r="V21" s="268"/>
      <c r="X21" s="268"/>
      <c r="Z21" s="268"/>
      <c r="AB21" s="268"/>
      <c r="AD21" s="268"/>
      <c r="AF21" s="268"/>
      <c r="AH21" s="268"/>
      <c r="AJ21" s="268"/>
      <c r="AL21" s="268"/>
      <c r="AN21" s="268"/>
    </row>
    <row r="22" spans="1:40" x14ac:dyDescent="0.55000000000000004">
      <c r="A22" s="276"/>
      <c r="B22" s="259" t="s">
        <v>6534</v>
      </c>
      <c r="C22" s="272" t="s">
        <v>6535</v>
      </c>
      <c r="D22" s="268"/>
      <c r="F22" s="268"/>
      <c r="H22" s="268"/>
      <c r="J22" s="268"/>
      <c r="L22" s="268"/>
      <c r="N22" s="268"/>
      <c r="P22" s="268"/>
      <c r="R22" s="268"/>
      <c r="T22" s="268"/>
      <c r="V22" s="268"/>
      <c r="X22" s="268"/>
      <c r="Z22" s="268"/>
      <c r="AB22" s="268"/>
      <c r="AD22" s="268"/>
      <c r="AF22" s="268"/>
      <c r="AH22" s="268"/>
      <c r="AJ22" s="268"/>
      <c r="AL22" s="268"/>
      <c r="AN22" s="268"/>
    </row>
    <row r="23" spans="1:40" x14ac:dyDescent="0.55000000000000004">
      <c r="A23" s="276"/>
      <c r="B23" s="259" t="s">
        <v>6536</v>
      </c>
      <c r="C23" s="272" t="s">
        <v>6537</v>
      </c>
      <c r="D23" s="268"/>
      <c r="F23" s="268"/>
      <c r="H23" s="268"/>
      <c r="J23" s="268"/>
      <c r="L23" s="268"/>
      <c r="N23" s="268"/>
      <c r="P23" s="268"/>
      <c r="R23" s="268"/>
      <c r="T23" s="268"/>
      <c r="V23" s="268"/>
      <c r="X23" s="268"/>
      <c r="Z23" s="268"/>
      <c r="AB23" s="268"/>
      <c r="AD23" s="268"/>
      <c r="AF23" s="268"/>
      <c r="AH23" s="268"/>
      <c r="AJ23" s="268"/>
      <c r="AL23" s="268"/>
      <c r="AN23" s="268"/>
    </row>
    <row r="24" spans="1:40" x14ac:dyDescent="0.55000000000000004">
      <c r="A24" s="276"/>
      <c r="B24" s="259" t="s">
        <v>6538</v>
      </c>
      <c r="C24" s="272" t="s">
        <v>6539</v>
      </c>
      <c r="D24" s="268"/>
      <c r="F24" s="268"/>
      <c r="H24" s="268"/>
      <c r="J24" s="268"/>
      <c r="L24" s="268"/>
      <c r="N24" s="268"/>
      <c r="P24" s="268"/>
      <c r="R24" s="268"/>
      <c r="T24" s="268"/>
      <c r="V24" s="268"/>
      <c r="X24" s="268"/>
      <c r="Z24" s="268"/>
      <c r="AB24" s="268"/>
      <c r="AD24" s="268"/>
      <c r="AF24" s="268"/>
      <c r="AH24" s="268"/>
      <c r="AJ24" s="268"/>
      <c r="AL24" s="268"/>
      <c r="AN24" s="268"/>
    </row>
    <row r="25" spans="1:40" x14ac:dyDescent="0.55000000000000004">
      <c r="A25" s="276"/>
      <c r="B25" s="259" t="s">
        <v>6540</v>
      </c>
      <c r="C25" s="272" t="s">
        <v>6541</v>
      </c>
      <c r="D25" s="268"/>
      <c r="F25" s="268"/>
      <c r="H25" s="268"/>
      <c r="J25" s="268"/>
      <c r="L25" s="268"/>
      <c r="N25" s="268"/>
      <c r="P25" s="268"/>
      <c r="R25" s="268"/>
      <c r="T25" s="268"/>
      <c r="V25" s="268"/>
      <c r="X25" s="268"/>
      <c r="Z25" s="268"/>
      <c r="AB25" s="268"/>
      <c r="AD25" s="268"/>
      <c r="AF25" s="268"/>
      <c r="AH25" s="268"/>
      <c r="AJ25" s="268"/>
      <c r="AL25" s="268"/>
      <c r="AN25" s="268"/>
    </row>
    <row r="26" spans="1:40" x14ac:dyDescent="0.55000000000000004">
      <c r="A26" s="276"/>
      <c r="B26" s="259" t="s">
        <v>6542</v>
      </c>
      <c r="C26" s="272" t="s">
        <v>6543</v>
      </c>
      <c r="D26" s="268"/>
      <c r="F26" s="268"/>
      <c r="H26" s="268"/>
      <c r="J26" s="268"/>
      <c r="L26" s="268"/>
      <c r="N26" s="268"/>
      <c r="P26" s="268"/>
      <c r="R26" s="268"/>
      <c r="T26" s="268"/>
      <c r="V26" s="268"/>
      <c r="X26" s="268"/>
      <c r="Z26" s="268"/>
      <c r="AB26" s="268"/>
      <c r="AD26" s="268"/>
      <c r="AF26" s="268"/>
      <c r="AH26" s="268"/>
      <c r="AJ26" s="268"/>
      <c r="AL26" s="268"/>
      <c r="AN26" s="268"/>
    </row>
    <row r="27" spans="1:40" x14ac:dyDescent="0.55000000000000004">
      <c r="A27" s="276"/>
      <c r="B27" s="259" t="s">
        <v>6544</v>
      </c>
      <c r="C27" s="272" t="s">
        <v>6545</v>
      </c>
      <c r="D27" s="268"/>
      <c r="F27" s="268"/>
      <c r="H27" s="268"/>
      <c r="J27" s="268"/>
      <c r="L27" s="268"/>
      <c r="N27" s="268"/>
      <c r="P27" s="268"/>
      <c r="R27" s="268"/>
      <c r="T27" s="268"/>
      <c r="V27" s="268"/>
      <c r="X27" s="268"/>
      <c r="Z27" s="268"/>
      <c r="AB27" s="268"/>
      <c r="AD27" s="268"/>
      <c r="AF27" s="268"/>
      <c r="AH27" s="268"/>
      <c r="AJ27" s="268"/>
      <c r="AL27" s="268"/>
      <c r="AN27" s="268"/>
    </row>
    <row r="28" spans="1:40" x14ac:dyDescent="0.55000000000000004">
      <c r="A28" s="276"/>
      <c r="B28" s="259" t="s">
        <v>6546</v>
      </c>
      <c r="C28" s="272" t="s">
        <v>6547</v>
      </c>
      <c r="D28" s="268"/>
      <c r="F28" s="268"/>
      <c r="H28" s="268"/>
      <c r="J28" s="268"/>
      <c r="L28" s="268"/>
      <c r="N28" s="268"/>
      <c r="P28" s="268"/>
      <c r="R28" s="268"/>
      <c r="T28" s="268"/>
      <c r="V28" s="268"/>
      <c r="X28" s="268"/>
      <c r="Z28" s="268"/>
      <c r="AB28" s="268"/>
      <c r="AD28" s="268"/>
      <c r="AF28" s="268"/>
      <c r="AH28" s="268"/>
      <c r="AJ28" s="268"/>
      <c r="AL28" s="268"/>
      <c r="AN28" s="268"/>
    </row>
    <row r="29" spans="1:40" x14ac:dyDescent="0.55000000000000004">
      <c r="A29" s="276"/>
      <c r="B29" s="259" t="s">
        <v>6548</v>
      </c>
      <c r="C29" s="272" t="s">
        <v>6549</v>
      </c>
      <c r="D29" s="268"/>
      <c r="F29" s="268"/>
      <c r="H29" s="268"/>
      <c r="J29" s="268"/>
      <c r="L29" s="268"/>
      <c r="N29" s="268"/>
      <c r="P29" s="268"/>
      <c r="R29" s="268"/>
      <c r="T29" s="268"/>
      <c r="V29" s="268"/>
      <c r="X29" s="268"/>
      <c r="Z29" s="268"/>
      <c r="AB29" s="268"/>
      <c r="AD29" s="268"/>
      <c r="AF29" s="268"/>
      <c r="AH29" s="268"/>
      <c r="AJ29" s="268"/>
      <c r="AL29" s="268"/>
      <c r="AN29" s="268"/>
    </row>
    <row r="30" spans="1:40" x14ac:dyDescent="0.55000000000000004">
      <c r="A30" s="276"/>
      <c r="B30" s="259" t="s">
        <v>6550</v>
      </c>
      <c r="C30" s="272" t="s">
        <v>6551</v>
      </c>
      <c r="D30" s="268"/>
      <c r="F30" s="268"/>
      <c r="H30" s="268"/>
      <c r="J30" s="268"/>
      <c r="L30" s="268"/>
      <c r="N30" s="268"/>
      <c r="P30" s="268"/>
      <c r="R30" s="268"/>
      <c r="T30" s="268"/>
      <c r="V30" s="268"/>
      <c r="X30" s="268"/>
      <c r="Z30" s="268"/>
      <c r="AB30" s="268"/>
      <c r="AD30" s="268"/>
      <c r="AF30" s="268"/>
      <c r="AH30" s="268"/>
      <c r="AJ30" s="268"/>
      <c r="AL30" s="268"/>
      <c r="AN30" s="268"/>
    </row>
    <row r="31" spans="1:40" x14ac:dyDescent="0.55000000000000004">
      <c r="A31" s="276"/>
      <c r="B31" s="259" t="s">
        <v>6552</v>
      </c>
      <c r="C31" s="272" t="s">
        <v>6553</v>
      </c>
      <c r="D31" s="268"/>
      <c r="F31" s="268"/>
      <c r="H31" s="268"/>
      <c r="J31" s="268"/>
      <c r="L31" s="268"/>
      <c r="N31" s="268"/>
      <c r="P31" s="268"/>
      <c r="R31" s="268"/>
      <c r="T31" s="268"/>
      <c r="V31" s="268"/>
      <c r="X31" s="268"/>
      <c r="Z31" s="268"/>
      <c r="AB31" s="268"/>
      <c r="AD31" s="268"/>
      <c r="AF31" s="268"/>
      <c r="AH31" s="268"/>
      <c r="AJ31" s="268"/>
      <c r="AL31" s="268"/>
      <c r="AN31" s="268"/>
    </row>
    <row r="32" spans="1:40" x14ac:dyDescent="0.55000000000000004">
      <c r="A32" s="276"/>
      <c r="B32" s="259" t="s">
        <v>6554</v>
      </c>
      <c r="C32" s="272" t="s">
        <v>6555</v>
      </c>
      <c r="D32" s="268"/>
      <c r="F32" s="268"/>
      <c r="H32" s="268"/>
      <c r="J32" s="268"/>
      <c r="L32" s="268"/>
      <c r="N32" s="268"/>
      <c r="P32" s="268"/>
      <c r="R32" s="268"/>
      <c r="T32" s="268"/>
      <c r="V32" s="268"/>
      <c r="X32" s="268"/>
      <c r="Z32" s="268"/>
      <c r="AB32" s="268"/>
      <c r="AD32" s="268"/>
      <c r="AF32" s="268"/>
      <c r="AH32" s="268"/>
      <c r="AJ32" s="268"/>
      <c r="AL32" s="268"/>
      <c r="AN32" s="268"/>
    </row>
    <row r="33" spans="1:41" x14ac:dyDescent="0.55000000000000004">
      <c r="A33" s="276"/>
      <c r="B33" s="259" t="s">
        <v>6556</v>
      </c>
      <c r="C33" s="272" t="s">
        <v>6557</v>
      </c>
      <c r="D33" s="268"/>
      <c r="F33" s="268"/>
      <c r="H33" s="268"/>
      <c r="J33" s="268"/>
      <c r="L33" s="268"/>
      <c r="N33" s="268"/>
      <c r="P33" s="268"/>
      <c r="R33" s="268"/>
      <c r="T33" s="268"/>
      <c r="V33" s="268"/>
      <c r="X33" s="268"/>
      <c r="Z33" s="268"/>
      <c r="AB33" s="268"/>
      <c r="AD33" s="268"/>
      <c r="AF33" s="268"/>
      <c r="AH33" s="268"/>
      <c r="AJ33" s="268"/>
      <c r="AL33" s="268"/>
      <c r="AN33" s="268"/>
    </row>
    <row r="34" spans="1:41" x14ac:dyDescent="0.55000000000000004">
      <c r="A34" s="278"/>
      <c r="B34" s="259" t="s">
        <v>6558</v>
      </c>
      <c r="C34" s="272" t="s">
        <v>6559</v>
      </c>
      <c r="D34" s="268"/>
      <c r="F34" s="268"/>
      <c r="H34" s="268"/>
      <c r="J34" s="268"/>
      <c r="L34" s="268"/>
      <c r="N34" s="268"/>
      <c r="P34" s="268"/>
      <c r="R34" s="268"/>
      <c r="T34" s="268"/>
      <c r="V34" s="268"/>
      <c r="X34" s="268"/>
      <c r="Z34" s="268"/>
      <c r="AB34" s="268"/>
      <c r="AD34" s="268"/>
      <c r="AF34" s="268"/>
      <c r="AH34" s="268"/>
      <c r="AJ34" s="268"/>
      <c r="AL34" s="268"/>
      <c r="AN34" s="268"/>
    </row>
    <row r="35" spans="1:41" x14ac:dyDescent="0.55000000000000004">
      <c r="A35" s="266" t="s">
        <v>6560</v>
      </c>
      <c r="B35" s="267"/>
      <c r="C35" s="279"/>
      <c r="D35" s="280"/>
      <c r="E35" s="281"/>
      <c r="F35" s="280"/>
      <c r="G35" s="279"/>
      <c r="H35" s="280"/>
      <c r="I35" s="279"/>
      <c r="J35" s="280"/>
      <c r="K35" s="279"/>
      <c r="L35" s="280"/>
      <c r="M35" s="279"/>
      <c r="N35" s="280"/>
      <c r="O35" s="279"/>
      <c r="P35" s="280"/>
      <c r="Q35" s="279"/>
      <c r="R35" s="280"/>
      <c r="S35" s="279"/>
      <c r="T35" s="280"/>
      <c r="U35" s="279"/>
      <c r="V35" s="280"/>
      <c r="W35" s="279"/>
      <c r="X35" s="280"/>
      <c r="Y35" s="279"/>
      <c r="Z35" s="280"/>
      <c r="AA35" s="279"/>
      <c r="AB35" s="280"/>
      <c r="AC35" s="279"/>
      <c r="AD35" s="280"/>
      <c r="AE35" s="279"/>
      <c r="AF35" s="280"/>
      <c r="AG35" s="279"/>
      <c r="AH35" s="280"/>
      <c r="AI35" s="279"/>
      <c r="AJ35" s="280"/>
      <c r="AK35" s="279"/>
      <c r="AL35" s="280"/>
      <c r="AM35" s="279"/>
      <c r="AN35" s="280"/>
      <c r="AO35" s="279"/>
    </row>
    <row r="36" spans="1:41" x14ac:dyDescent="0.55000000000000004">
      <c r="A36" s="282">
        <v>1</v>
      </c>
      <c r="B36" s="259" t="s">
        <v>6561</v>
      </c>
      <c r="C36" s="272" t="s">
        <v>6562</v>
      </c>
      <c r="D36" s="283">
        <v>2</v>
      </c>
      <c r="E36" s="272" t="s">
        <v>6563</v>
      </c>
      <c r="F36" s="283">
        <v>3</v>
      </c>
      <c r="G36" s="262" t="s">
        <v>6564</v>
      </c>
      <c r="H36" s="283">
        <v>4</v>
      </c>
      <c r="I36" s="262" t="s">
        <v>6565</v>
      </c>
      <c r="J36" s="283">
        <v>5</v>
      </c>
      <c r="K36" s="262" t="s">
        <v>6566</v>
      </c>
      <c r="L36" s="283">
        <v>6</v>
      </c>
      <c r="M36" s="262" t="s">
        <v>6567</v>
      </c>
      <c r="N36" s="283">
        <v>7</v>
      </c>
      <c r="O36" s="262" t="s">
        <v>6568</v>
      </c>
      <c r="P36" s="283">
        <v>8</v>
      </c>
      <c r="Q36" s="262" t="s">
        <v>6569</v>
      </c>
      <c r="R36" s="283">
        <v>9</v>
      </c>
      <c r="S36" s="262" t="s">
        <v>6570</v>
      </c>
      <c r="T36" s="283">
        <v>10</v>
      </c>
      <c r="U36" s="262" t="s">
        <v>6571</v>
      </c>
      <c r="V36" s="283">
        <v>11</v>
      </c>
      <c r="W36" s="262" t="s">
        <v>6572</v>
      </c>
      <c r="X36" s="283">
        <v>12</v>
      </c>
      <c r="Y36" s="262" t="s">
        <v>6573</v>
      </c>
      <c r="Z36" s="283">
        <v>13</v>
      </c>
      <c r="AA36" s="262" t="s">
        <v>6574</v>
      </c>
      <c r="AB36" s="283">
        <v>14</v>
      </c>
      <c r="AC36" s="262" t="s">
        <v>6575</v>
      </c>
      <c r="AD36" s="283">
        <v>15</v>
      </c>
      <c r="AE36" s="262" t="s">
        <v>6576</v>
      </c>
      <c r="AF36" s="283">
        <v>16</v>
      </c>
      <c r="AG36" s="262" t="s">
        <v>6577</v>
      </c>
      <c r="AH36" s="283">
        <v>17</v>
      </c>
      <c r="AI36" s="262" t="s">
        <v>6578</v>
      </c>
      <c r="AJ36" s="283">
        <v>18</v>
      </c>
      <c r="AK36" s="262" t="s">
        <v>6579</v>
      </c>
      <c r="AL36" s="283">
        <v>19</v>
      </c>
      <c r="AM36" s="262" t="s">
        <v>6580</v>
      </c>
      <c r="AN36" s="283">
        <v>20</v>
      </c>
      <c r="AO36" s="262" t="s">
        <v>6581</v>
      </c>
    </row>
    <row r="37" spans="1:41" x14ac:dyDescent="0.55000000000000004">
      <c r="A37" s="284"/>
      <c r="B37" s="259" t="s">
        <v>6582</v>
      </c>
      <c r="C37" s="285"/>
      <c r="D37" s="283"/>
      <c r="E37" s="285"/>
      <c r="F37" s="283"/>
      <c r="G37" s="285"/>
      <c r="H37" s="283"/>
      <c r="I37" s="285"/>
      <c r="J37" s="283"/>
      <c r="K37" s="286"/>
      <c r="L37" s="283"/>
      <c r="M37" s="286"/>
      <c r="N37" s="283"/>
      <c r="O37" s="286"/>
      <c r="P37" s="283"/>
      <c r="Q37" s="286"/>
      <c r="R37" s="283"/>
      <c r="S37" s="286"/>
      <c r="T37" s="283"/>
      <c r="U37" s="286"/>
      <c r="V37" s="283"/>
      <c r="W37" s="286"/>
      <c r="X37" s="283"/>
      <c r="Y37" s="286"/>
      <c r="Z37" s="283"/>
      <c r="AA37" s="286"/>
      <c r="AB37" s="283"/>
      <c r="AC37" s="286"/>
      <c r="AD37" s="283"/>
      <c r="AE37" s="286"/>
      <c r="AF37" s="283"/>
      <c r="AG37" s="286"/>
      <c r="AH37" s="283"/>
      <c r="AI37" s="286"/>
      <c r="AJ37" s="283"/>
      <c r="AK37" s="286"/>
      <c r="AL37" s="283"/>
      <c r="AM37" s="286"/>
      <c r="AN37" s="283"/>
      <c r="AO37" s="286"/>
    </row>
    <row r="38" spans="1:41" x14ac:dyDescent="0.55000000000000004">
      <c r="A38" s="287"/>
      <c r="B38" s="259" t="s">
        <v>6583</v>
      </c>
      <c r="C38" s="272" t="s">
        <v>6584</v>
      </c>
      <c r="D38" s="283"/>
      <c r="E38" s="288" t="s">
        <v>6584</v>
      </c>
      <c r="F38" s="283"/>
      <c r="G38" s="289" t="s">
        <v>6584</v>
      </c>
      <c r="H38" s="283"/>
      <c r="I38" s="289" t="s">
        <v>6584</v>
      </c>
      <c r="J38" s="283"/>
      <c r="K38" s="289" t="s">
        <v>6584</v>
      </c>
      <c r="L38" s="283"/>
      <c r="M38" s="289" t="s">
        <v>6584</v>
      </c>
      <c r="N38" s="283"/>
      <c r="O38" s="289" t="s">
        <v>6584</v>
      </c>
      <c r="P38" s="283"/>
      <c r="Q38" s="289" t="s">
        <v>6584</v>
      </c>
      <c r="R38" s="283"/>
      <c r="S38" s="289" t="s">
        <v>6584</v>
      </c>
      <c r="T38" s="283"/>
      <c r="U38" s="289" t="s">
        <v>6584</v>
      </c>
      <c r="V38" s="283"/>
      <c r="W38" s="289" t="s">
        <v>6584</v>
      </c>
      <c r="X38" s="283"/>
      <c r="Y38" s="289" t="s">
        <v>6584</v>
      </c>
      <c r="Z38" s="283"/>
      <c r="AA38" s="289" t="s">
        <v>6584</v>
      </c>
      <c r="AB38" s="283"/>
      <c r="AC38" s="289" t="s">
        <v>6584</v>
      </c>
      <c r="AD38" s="283"/>
      <c r="AE38" s="289" t="s">
        <v>6584</v>
      </c>
      <c r="AF38" s="283"/>
      <c r="AG38" s="289" t="s">
        <v>6584</v>
      </c>
      <c r="AH38" s="283"/>
      <c r="AI38" s="289" t="s">
        <v>6584</v>
      </c>
      <c r="AJ38" s="283"/>
      <c r="AK38" s="289" t="s">
        <v>6584</v>
      </c>
      <c r="AL38" s="283"/>
      <c r="AM38" s="289" t="s">
        <v>6584</v>
      </c>
      <c r="AN38" s="283"/>
      <c r="AO38" s="289" t="s">
        <v>6584</v>
      </c>
    </row>
    <row r="39" spans="1:41" x14ac:dyDescent="0.55000000000000004">
      <c r="A39" s="287"/>
      <c r="B39" s="259" t="s">
        <v>6585</v>
      </c>
      <c r="C39" s="290"/>
      <c r="D39" s="283"/>
      <c r="E39" s="290"/>
      <c r="F39" s="283"/>
      <c r="G39" s="290"/>
      <c r="H39" s="283"/>
      <c r="I39" s="290"/>
      <c r="J39" s="283"/>
      <c r="K39" s="290"/>
      <c r="L39" s="283"/>
      <c r="M39" s="290"/>
      <c r="N39" s="283"/>
      <c r="O39" s="290"/>
      <c r="P39" s="283"/>
      <c r="Q39" s="290"/>
      <c r="R39" s="283"/>
      <c r="S39" s="290"/>
      <c r="T39" s="283"/>
      <c r="U39" s="290"/>
      <c r="V39" s="283"/>
      <c r="W39" s="290"/>
      <c r="X39" s="283"/>
      <c r="Y39" s="290"/>
      <c r="Z39" s="283"/>
      <c r="AA39" s="290"/>
      <c r="AB39" s="283"/>
      <c r="AC39" s="290"/>
      <c r="AD39" s="283"/>
      <c r="AE39" s="290"/>
      <c r="AF39" s="283"/>
      <c r="AG39" s="290"/>
      <c r="AH39" s="283"/>
      <c r="AI39" s="290"/>
      <c r="AJ39" s="283"/>
      <c r="AK39" s="290"/>
      <c r="AL39" s="283"/>
      <c r="AM39" s="290"/>
      <c r="AN39" s="283"/>
      <c r="AO39" s="290"/>
    </row>
    <row r="40" spans="1:41" x14ac:dyDescent="0.55000000000000004">
      <c r="A40" s="287"/>
      <c r="B40" s="259" t="s">
        <v>6586</v>
      </c>
      <c r="C40" s="272" t="s">
        <v>6587</v>
      </c>
      <c r="D40" s="283"/>
      <c r="E40" s="272" t="s">
        <v>6587</v>
      </c>
      <c r="F40" s="283"/>
      <c r="G40" s="272" t="s">
        <v>6587</v>
      </c>
      <c r="H40" s="283"/>
      <c r="I40" s="272" t="s">
        <v>6587</v>
      </c>
      <c r="J40" s="283"/>
      <c r="K40" s="272" t="s">
        <v>6587</v>
      </c>
      <c r="L40" s="283"/>
      <c r="M40" s="272" t="s">
        <v>6587</v>
      </c>
      <c r="N40" s="283"/>
      <c r="O40" s="272" t="s">
        <v>6587</v>
      </c>
      <c r="P40" s="283"/>
      <c r="Q40" s="272" t="s">
        <v>6587</v>
      </c>
      <c r="R40" s="283"/>
      <c r="S40" s="272" t="s">
        <v>6587</v>
      </c>
      <c r="T40" s="283"/>
      <c r="U40" s="272" t="s">
        <v>6587</v>
      </c>
      <c r="V40" s="283"/>
      <c r="W40" s="272" t="s">
        <v>6587</v>
      </c>
      <c r="X40" s="283"/>
      <c r="Y40" s="272" t="s">
        <v>6587</v>
      </c>
      <c r="Z40" s="283"/>
      <c r="AA40" s="272" t="s">
        <v>6587</v>
      </c>
      <c r="AB40" s="283"/>
      <c r="AC40" s="272" t="s">
        <v>6587</v>
      </c>
      <c r="AD40" s="283"/>
      <c r="AE40" s="272" t="s">
        <v>6587</v>
      </c>
      <c r="AF40" s="283"/>
      <c r="AG40" s="272" t="s">
        <v>6587</v>
      </c>
      <c r="AH40" s="283"/>
      <c r="AI40" s="272" t="s">
        <v>6587</v>
      </c>
      <c r="AJ40" s="283"/>
      <c r="AK40" s="272" t="s">
        <v>6587</v>
      </c>
      <c r="AL40" s="283"/>
      <c r="AM40" s="272" t="s">
        <v>6587</v>
      </c>
      <c r="AN40" s="283"/>
      <c r="AO40" s="272" t="s">
        <v>6587</v>
      </c>
    </row>
    <row r="41" spans="1:41" x14ac:dyDescent="0.55000000000000004">
      <c r="A41" s="287"/>
      <c r="B41" s="259" t="s">
        <v>6588</v>
      </c>
      <c r="C41" s="272"/>
      <c r="D41" s="283"/>
      <c r="E41" s="291"/>
      <c r="F41" s="283"/>
      <c r="G41" s="292"/>
      <c r="H41" s="283"/>
      <c r="I41" s="292"/>
      <c r="J41" s="283"/>
      <c r="K41" s="292"/>
      <c r="L41" s="283"/>
      <c r="M41" s="292"/>
      <c r="N41" s="283"/>
      <c r="O41" s="292"/>
      <c r="P41" s="283"/>
      <c r="Q41" s="292"/>
      <c r="R41" s="283"/>
      <c r="S41" s="292"/>
      <c r="T41" s="283"/>
      <c r="U41" s="292"/>
      <c r="V41" s="283"/>
      <c r="W41" s="292"/>
      <c r="X41" s="283"/>
      <c r="Y41" s="292"/>
      <c r="Z41" s="283"/>
      <c r="AA41" s="292"/>
      <c r="AB41" s="283"/>
      <c r="AC41" s="292"/>
      <c r="AD41" s="283"/>
      <c r="AE41" s="292"/>
      <c r="AF41" s="283"/>
      <c r="AG41" s="292"/>
      <c r="AH41" s="283"/>
      <c r="AI41" s="292"/>
      <c r="AJ41" s="283"/>
      <c r="AK41" s="292"/>
      <c r="AL41" s="283"/>
      <c r="AM41" s="292"/>
      <c r="AN41" s="283"/>
      <c r="AO41" s="292"/>
    </row>
    <row r="42" spans="1:41" x14ac:dyDescent="0.55000000000000004">
      <c r="A42" s="287"/>
      <c r="B42" s="259" t="s">
        <v>6589</v>
      </c>
      <c r="C42" s="272" t="s">
        <v>6452</v>
      </c>
      <c r="D42" s="283"/>
      <c r="E42" s="291" t="s">
        <v>6452</v>
      </c>
      <c r="F42" s="283"/>
      <c r="G42" s="292" t="s">
        <v>6452</v>
      </c>
      <c r="H42" s="283"/>
      <c r="I42" s="292" t="s">
        <v>6452</v>
      </c>
      <c r="J42" s="283"/>
      <c r="K42" s="292" t="s">
        <v>6452</v>
      </c>
      <c r="L42" s="283"/>
      <c r="M42" s="292" t="s">
        <v>6452</v>
      </c>
      <c r="N42" s="283"/>
      <c r="O42" s="292" t="s">
        <v>6452</v>
      </c>
      <c r="P42" s="283"/>
      <c r="Q42" s="292" t="s">
        <v>6452</v>
      </c>
      <c r="R42" s="283"/>
      <c r="S42" s="292" t="s">
        <v>6452</v>
      </c>
      <c r="T42" s="283"/>
      <c r="U42" s="292" t="s">
        <v>6452</v>
      </c>
      <c r="V42" s="283"/>
      <c r="W42" s="292" t="s">
        <v>6452</v>
      </c>
      <c r="X42" s="283"/>
      <c r="Y42" s="292" t="s">
        <v>6452</v>
      </c>
      <c r="Z42" s="283"/>
      <c r="AA42" s="292" t="s">
        <v>6452</v>
      </c>
      <c r="AB42" s="283"/>
      <c r="AC42" s="292" t="s">
        <v>6452</v>
      </c>
      <c r="AD42" s="283"/>
      <c r="AE42" s="292" t="s">
        <v>6452</v>
      </c>
      <c r="AF42" s="283"/>
      <c r="AG42" s="292" t="s">
        <v>6452</v>
      </c>
      <c r="AH42" s="283"/>
      <c r="AI42" s="292" t="s">
        <v>6452</v>
      </c>
      <c r="AJ42" s="283"/>
      <c r="AK42" s="292" t="s">
        <v>6452</v>
      </c>
      <c r="AL42" s="283"/>
      <c r="AM42" s="292" t="s">
        <v>6452</v>
      </c>
      <c r="AN42" s="283"/>
      <c r="AO42" s="292" t="s">
        <v>6452</v>
      </c>
    </row>
    <row r="43" spans="1:41" x14ac:dyDescent="0.55000000000000004">
      <c r="A43" s="287"/>
      <c r="B43" s="259" t="s">
        <v>6590</v>
      </c>
      <c r="C43" s="272" t="s">
        <v>6591</v>
      </c>
      <c r="D43" s="283"/>
      <c r="E43" s="272" t="s">
        <v>6592</v>
      </c>
      <c r="F43" s="283"/>
      <c r="G43" s="272" t="s">
        <v>6593</v>
      </c>
      <c r="H43" s="283"/>
      <c r="I43" s="272" t="s">
        <v>6594</v>
      </c>
      <c r="J43" s="283"/>
      <c r="K43" s="272" t="s">
        <v>6595</v>
      </c>
      <c r="L43" s="283"/>
      <c r="M43" s="272" t="s">
        <v>6596</v>
      </c>
      <c r="N43" s="283"/>
      <c r="O43" s="272" t="s">
        <v>6597</v>
      </c>
      <c r="P43" s="283"/>
      <c r="Q43" s="272" t="s">
        <v>6598</v>
      </c>
      <c r="R43" s="283"/>
      <c r="S43" s="272" t="s">
        <v>6599</v>
      </c>
      <c r="T43" s="283"/>
      <c r="U43" s="272" t="s">
        <v>6600</v>
      </c>
      <c r="V43" s="283"/>
      <c r="W43" s="272" t="s">
        <v>6601</v>
      </c>
      <c r="X43" s="283"/>
      <c r="Y43" s="272" t="s">
        <v>6602</v>
      </c>
      <c r="Z43" s="283"/>
      <c r="AA43" s="272" t="s">
        <v>6603</v>
      </c>
      <c r="AB43" s="283"/>
      <c r="AC43" s="272" t="s">
        <v>6604</v>
      </c>
      <c r="AD43" s="283"/>
      <c r="AE43" s="272" t="s">
        <v>6605</v>
      </c>
      <c r="AF43" s="283"/>
      <c r="AG43" s="272" t="s">
        <v>6606</v>
      </c>
      <c r="AH43" s="283"/>
      <c r="AI43" s="272" t="s">
        <v>6607</v>
      </c>
      <c r="AJ43" s="283"/>
      <c r="AK43" s="272" t="s">
        <v>6608</v>
      </c>
      <c r="AL43" s="283"/>
      <c r="AM43" s="272" t="s">
        <v>6609</v>
      </c>
      <c r="AN43" s="283"/>
      <c r="AO43" s="272" t="s">
        <v>6610</v>
      </c>
    </row>
    <row r="44" spans="1:41" x14ac:dyDescent="0.55000000000000004">
      <c r="A44" s="276"/>
      <c r="B44" s="259" t="str">
        <f>IF($C$5 = "", "", $C$5)</f>
        <v>[パスワード]</v>
      </c>
      <c r="C44" s="293" t="s">
        <v>6611</v>
      </c>
      <c r="D44" s="294"/>
      <c r="E44" s="293" t="s">
        <v>6612</v>
      </c>
      <c r="F44" s="294"/>
      <c r="G44" s="293" t="s">
        <v>6613</v>
      </c>
      <c r="H44" s="294"/>
      <c r="I44" s="293" t="s">
        <v>6614</v>
      </c>
      <c r="J44" s="294"/>
      <c r="K44" s="293" t="s">
        <v>6615</v>
      </c>
      <c r="L44" s="294"/>
      <c r="M44" s="293" t="s">
        <v>6616</v>
      </c>
      <c r="N44" s="294"/>
      <c r="O44" s="293" t="s">
        <v>6617</v>
      </c>
      <c r="P44" s="294"/>
      <c r="Q44" s="293" t="s">
        <v>6618</v>
      </c>
      <c r="R44" s="294"/>
      <c r="S44" s="293" t="s">
        <v>6619</v>
      </c>
      <c r="T44" s="294"/>
      <c r="U44" s="293" t="s">
        <v>6620</v>
      </c>
      <c r="V44" s="294"/>
      <c r="W44" s="293" t="s">
        <v>6621</v>
      </c>
      <c r="X44" s="294"/>
      <c r="Y44" s="293" t="s">
        <v>6622</v>
      </c>
      <c r="Z44" s="294"/>
      <c r="AA44" s="293" t="s">
        <v>6623</v>
      </c>
      <c r="AB44" s="294"/>
      <c r="AC44" s="293" t="s">
        <v>6624</v>
      </c>
      <c r="AD44" s="294"/>
      <c r="AE44" s="293" t="s">
        <v>6625</v>
      </c>
      <c r="AF44" s="294"/>
      <c r="AG44" s="293" t="s">
        <v>6626</v>
      </c>
      <c r="AH44" s="294"/>
      <c r="AI44" s="293" t="s">
        <v>6627</v>
      </c>
      <c r="AJ44" s="294"/>
      <c r="AK44" s="293" t="s">
        <v>6628</v>
      </c>
      <c r="AL44" s="294"/>
      <c r="AM44" s="293" t="s">
        <v>6629</v>
      </c>
      <c r="AN44" s="294"/>
      <c r="AO44" s="293" t="s">
        <v>6630</v>
      </c>
    </row>
    <row r="45" spans="1:41" x14ac:dyDescent="0.55000000000000004">
      <c r="A45" s="276"/>
      <c r="B45" s="259" t="str">
        <f>IF($C$6 = "", "", $C$6)</f>
        <v>[作業者名]</v>
      </c>
      <c r="C45" s="293" t="s">
        <v>6631</v>
      </c>
      <c r="D45" s="294"/>
      <c r="E45" s="293" t="s">
        <v>6632</v>
      </c>
      <c r="F45" s="294"/>
      <c r="G45" s="293" t="s">
        <v>6633</v>
      </c>
      <c r="H45" s="294"/>
      <c r="I45" s="293" t="s">
        <v>6634</v>
      </c>
      <c r="J45" s="294"/>
      <c r="K45" s="293" t="s">
        <v>6635</v>
      </c>
      <c r="L45" s="294"/>
      <c r="M45" s="293" t="s">
        <v>6636</v>
      </c>
      <c r="N45" s="294"/>
      <c r="O45" s="293" t="s">
        <v>6637</v>
      </c>
      <c r="P45" s="294"/>
      <c r="Q45" s="293" t="s">
        <v>6638</v>
      </c>
      <c r="R45" s="294"/>
      <c r="S45" s="293" t="s">
        <v>6639</v>
      </c>
      <c r="T45" s="294"/>
      <c r="U45" s="293" t="s">
        <v>6640</v>
      </c>
      <c r="V45" s="294"/>
      <c r="W45" s="293" t="s">
        <v>6641</v>
      </c>
      <c r="X45" s="294"/>
      <c r="Y45" s="293" t="s">
        <v>6642</v>
      </c>
      <c r="Z45" s="294"/>
      <c r="AA45" s="293" t="s">
        <v>6643</v>
      </c>
      <c r="AB45" s="294"/>
      <c r="AC45" s="293" t="s">
        <v>6644</v>
      </c>
      <c r="AD45" s="294"/>
      <c r="AE45" s="293" t="s">
        <v>6645</v>
      </c>
      <c r="AF45" s="294"/>
      <c r="AG45" s="293" t="s">
        <v>6646</v>
      </c>
      <c r="AH45" s="294"/>
      <c r="AI45" s="293" t="s">
        <v>6647</v>
      </c>
      <c r="AJ45" s="294"/>
      <c r="AK45" s="293" t="s">
        <v>6648</v>
      </c>
      <c r="AL45" s="294"/>
      <c r="AM45" s="293" t="s">
        <v>6649</v>
      </c>
      <c r="AN45" s="294"/>
      <c r="AO45" s="293" t="s">
        <v>6650</v>
      </c>
    </row>
    <row r="46" spans="1:41" x14ac:dyDescent="0.55000000000000004">
      <c r="A46" s="276"/>
      <c r="B46" s="259" t="str">
        <f>IF($C$7 = "", "", $C$7)</f>
        <v>[日付]</v>
      </c>
      <c r="C46" s="272" t="str">
        <f ca="1">TEXT(TODAY(),"yyyymmdd")</f>
        <v>20260508</v>
      </c>
      <c r="D46" s="294"/>
      <c r="E46" s="293" t="s">
        <v>6651</v>
      </c>
      <c r="F46" s="294"/>
      <c r="G46" s="293" t="s">
        <v>6652</v>
      </c>
      <c r="H46" s="294"/>
      <c r="I46" s="293" t="s">
        <v>6653</v>
      </c>
      <c r="J46" s="294"/>
      <c r="K46" s="293" t="s">
        <v>6654</v>
      </c>
      <c r="L46" s="294"/>
      <c r="M46" s="293" t="s">
        <v>6655</v>
      </c>
      <c r="N46" s="294"/>
      <c r="O46" s="293" t="s">
        <v>6656</v>
      </c>
      <c r="P46" s="294"/>
      <c r="Q46" s="293" t="s">
        <v>6657</v>
      </c>
      <c r="R46" s="294"/>
      <c r="S46" s="293" t="s">
        <v>6658</v>
      </c>
      <c r="T46" s="294"/>
      <c r="U46" s="293" t="s">
        <v>6659</v>
      </c>
      <c r="V46" s="294"/>
      <c r="W46" s="293" t="s">
        <v>6660</v>
      </c>
      <c r="X46" s="294"/>
      <c r="Y46" s="293" t="s">
        <v>6661</v>
      </c>
      <c r="Z46" s="294"/>
      <c r="AA46" s="293" t="s">
        <v>6662</v>
      </c>
      <c r="AB46" s="294"/>
      <c r="AC46" s="293" t="s">
        <v>6663</v>
      </c>
      <c r="AD46" s="294"/>
      <c r="AE46" s="293" t="s">
        <v>6664</v>
      </c>
      <c r="AF46" s="294"/>
      <c r="AG46" s="293" t="s">
        <v>6665</v>
      </c>
      <c r="AH46" s="294"/>
      <c r="AI46" s="293" t="s">
        <v>6666</v>
      </c>
      <c r="AJ46" s="294"/>
      <c r="AK46" s="293" t="s">
        <v>6667</v>
      </c>
      <c r="AL46" s="294"/>
      <c r="AM46" s="293" t="s">
        <v>6668</v>
      </c>
      <c r="AN46" s="294"/>
      <c r="AO46" s="293" t="s">
        <v>6669</v>
      </c>
    </row>
    <row r="47" spans="1:41" x14ac:dyDescent="0.55000000000000004">
      <c r="A47" s="276"/>
      <c r="B47" s="259" t="str">
        <f>IF($C$8 = "", "", $C$8)</f>
        <v>para4</v>
      </c>
      <c r="C47" s="293" t="s">
        <v>6670</v>
      </c>
      <c r="D47" s="294"/>
      <c r="E47" s="293" t="s">
        <v>6671</v>
      </c>
      <c r="F47" s="294"/>
      <c r="G47" s="293" t="s">
        <v>6672</v>
      </c>
      <c r="H47" s="294"/>
      <c r="I47" s="293" t="s">
        <v>6673</v>
      </c>
      <c r="J47" s="294"/>
      <c r="K47" s="293" t="s">
        <v>6674</v>
      </c>
      <c r="L47" s="294"/>
      <c r="M47" s="293" t="s">
        <v>6675</v>
      </c>
      <c r="N47" s="294"/>
      <c r="O47" s="293" t="s">
        <v>6676</v>
      </c>
      <c r="P47" s="294"/>
      <c r="Q47" s="293" t="s">
        <v>6677</v>
      </c>
      <c r="R47" s="294"/>
      <c r="S47" s="293" t="s">
        <v>6678</v>
      </c>
      <c r="T47" s="294"/>
      <c r="U47" s="293" t="s">
        <v>6679</v>
      </c>
      <c r="V47" s="294"/>
      <c r="W47" s="293" t="s">
        <v>6680</v>
      </c>
      <c r="X47" s="294"/>
      <c r="Y47" s="293" t="s">
        <v>6681</v>
      </c>
      <c r="Z47" s="294"/>
      <c r="AA47" s="293" t="s">
        <v>6682</v>
      </c>
      <c r="AB47" s="294"/>
      <c r="AC47" s="293" t="s">
        <v>6683</v>
      </c>
      <c r="AD47" s="294"/>
      <c r="AE47" s="293" t="s">
        <v>6684</v>
      </c>
      <c r="AF47" s="294"/>
      <c r="AG47" s="293" t="s">
        <v>6685</v>
      </c>
      <c r="AH47" s="294"/>
      <c r="AI47" s="293" t="s">
        <v>6686</v>
      </c>
      <c r="AJ47" s="294"/>
      <c r="AK47" s="293" t="s">
        <v>6687</v>
      </c>
      <c r="AL47" s="294"/>
      <c r="AM47" s="293" t="s">
        <v>6688</v>
      </c>
      <c r="AN47" s="294"/>
      <c r="AO47" s="293" t="s">
        <v>6689</v>
      </c>
    </row>
    <row r="48" spans="1:41" x14ac:dyDescent="0.55000000000000004">
      <c r="A48" s="276"/>
      <c r="B48" s="259" t="str">
        <f>IF($C$9 = "", "", $C$9)</f>
        <v>para5</v>
      </c>
      <c r="C48" s="293" t="s">
        <v>6690</v>
      </c>
      <c r="D48" s="294"/>
      <c r="E48" s="293" t="s">
        <v>6691</v>
      </c>
      <c r="F48" s="294"/>
      <c r="G48" s="293" t="s">
        <v>6692</v>
      </c>
      <c r="H48" s="294"/>
      <c r="I48" s="293" t="s">
        <v>6693</v>
      </c>
      <c r="J48" s="294"/>
      <c r="K48" s="293" t="s">
        <v>6694</v>
      </c>
      <c r="L48" s="294"/>
      <c r="M48" s="293" t="s">
        <v>6695</v>
      </c>
      <c r="N48" s="294"/>
      <c r="O48" s="293" t="s">
        <v>6696</v>
      </c>
      <c r="P48" s="294"/>
      <c r="Q48" s="293" t="s">
        <v>6697</v>
      </c>
      <c r="R48" s="294"/>
      <c r="S48" s="293" t="s">
        <v>6698</v>
      </c>
      <c r="T48" s="294"/>
      <c r="U48" s="293" t="s">
        <v>6699</v>
      </c>
      <c r="V48" s="294"/>
      <c r="W48" s="293" t="s">
        <v>6700</v>
      </c>
      <c r="X48" s="294"/>
      <c r="Y48" s="293" t="s">
        <v>6701</v>
      </c>
      <c r="Z48" s="294"/>
      <c r="AA48" s="293" t="s">
        <v>6702</v>
      </c>
      <c r="AB48" s="294"/>
      <c r="AC48" s="293" t="s">
        <v>6703</v>
      </c>
      <c r="AD48" s="294"/>
      <c r="AE48" s="293" t="s">
        <v>6704</v>
      </c>
      <c r="AF48" s="294"/>
      <c r="AG48" s="293" t="s">
        <v>6705</v>
      </c>
      <c r="AH48" s="294"/>
      <c r="AI48" s="293" t="s">
        <v>6706</v>
      </c>
      <c r="AJ48" s="294"/>
      <c r="AK48" s="293" t="s">
        <v>6707</v>
      </c>
      <c r="AL48" s="294"/>
      <c r="AM48" s="293" t="s">
        <v>6708</v>
      </c>
      <c r="AN48" s="294"/>
      <c r="AO48" s="293" t="s">
        <v>6709</v>
      </c>
    </row>
    <row r="49" spans="1:41" x14ac:dyDescent="0.55000000000000004">
      <c r="A49" s="276"/>
      <c r="B49" s="259" t="str">
        <f>IF($C$10 = "", "", $C$10)</f>
        <v>para6</v>
      </c>
      <c r="C49" s="293" t="s">
        <v>6710</v>
      </c>
      <c r="D49" s="294"/>
      <c r="E49" s="293" t="s">
        <v>6711</v>
      </c>
      <c r="F49" s="294"/>
      <c r="G49" s="293" t="s">
        <v>6712</v>
      </c>
      <c r="H49" s="294"/>
      <c r="I49" s="293" t="s">
        <v>6713</v>
      </c>
      <c r="J49" s="294"/>
      <c r="K49" s="293" t="s">
        <v>6714</v>
      </c>
      <c r="L49" s="294"/>
      <c r="M49" s="293" t="s">
        <v>6715</v>
      </c>
      <c r="N49" s="294"/>
      <c r="O49" s="293" t="s">
        <v>6716</v>
      </c>
      <c r="P49" s="294"/>
      <c r="Q49" s="293" t="s">
        <v>6717</v>
      </c>
      <c r="R49" s="294"/>
      <c r="S49" s="293" t="s">
        <v>6718</v>
      </c>
      <c r="T49" s="294"/>
      <c r="U49" s="293" t="s">
        <v>6719</v>
      </c>
      <c r="V49" s="294"/>
      <c r="W49" s="293" t="s">
        <v>6720</v>
      </c>
      <c r="X49" s="294"/>
      <c r="Y49" s="293" t="s">
        <v>6721</v>
      </c>
      <c r="Z49" s="294"/>
      <c r="AA49" s="293" t="s">
        <v>6722</v>
      </c>
      <c r="AB49" s="294"/>
      <c r="AC49" s="293" t="s">
        <v>6723</v>
      </c>
      <c r="AD49" s="294"/>
      <c r="AE49" s="293" t="s">
        <v>6724</v>
      </c>
      <c r="AF49" s="294"/>
      <c r="AG49" s="293" t="s">
        <v>6725</v>
      </c>
      <c r="AH49" s="294"/>
      <c r="AI49" s="293" t="s">
        <v>6726</v>
      </c>
      <c r="AJ49" s="294"/>
      <c r="AK49" s="293" t="s">
        <v>6727</v>
      </c>
      <c r="AL49" s="294"/>
      <c r="AM49" s="293" t="s">
        <v>6728</v>
      </c>
      <c r="AN49" s="294"/>
      <c r="AO49" s="293" t="s">
        <v>6729</v>
      </c>
    </row>
    <row r="50" spans="1:41" x14ac:dyDescent="0.55000000000000004">
      <c r="A50" s="276"/>
      <c r="B50" s="259" t="str">
        <f>IF($C$11 = "", "", $C$11)</f>
        <v>para7</v>
      </c>
      <c r="C50" s="293" t="s">
        <v>6730</v>
      </c>
      <c r="D50" s="294"/>
      <c r="E50" s="293" t="s">
        <v>6731</v>
      </c>
      <c r="F50" s="294"/>
      <c r="G50" s="293" t="s">
        <v>6732</v>
      </c>
      <c r="H50" s="294"/>
      <c r="I50" s="293" t="s">
        <v>6733</v>
      </c>
      <c r="J50" s="294"/>
      <c r="K50" s="293" t="s">
        <v>6734</v>
      </c>
      <c r="L50" s="294"/>
      <c r="M50" s="293" t="s">
        <v>6735</v>
      </c>
      <c r="N50" s="294"/>
      <c r="O50" s="293" t="s">
        <v>6736</v>
      </c>
      <c r="P50" s="294"/>
      <c r="Q50" s="293" t="s">
        <v>6737</v>
      </c>
      <c r="R50" s="294"/>
      <c r="S50" s="293" t="s">
        <v>6738</v>
      </c>
      <c r="T50" s="294"/>
      <c r="U50" s="293" t="s">
        <v>6739</v>
      </c>
      <c r="V50" s="294"/>
      <c r="W50" s="293" t="s">
        <v>6740</v>
      </c>
      <c r="X50" s="294"/>
      <c r="Y50" s="293" t="s">
        <v>6741</v>
      </c>
      <c r="Z50" s="294"/>
      <c r="AA50" s="293" t="s">
        <v>6742</v>
      </c>
      <c r="AB50" s="294"/>
      <c r="AC50" s="293" t="s">
        <v>6743</v>
      </c>
      <c r="AD50" s="294"/>
      <c r="AE50" s="293" t="s">
        <v>6744</v>
      </c>
      <c r="AF50" s="294"/>
      <c r="AG50" s="293" t="s">
        <v>6745</v>
      </c>
      <c r="AH50" s="294"/>
      <c r="AI50" s="293" t="s">
        <v>6746</v>
      </c>
      <c r="AJ50" s="294"/>
      <c r="AK50" s="293" t="s">
        <v>6747</v>
      </c>
      <c r="AL50" s="294"/>
      <c r="AM50" s="293" t="s">
        <v>6748</v>
      </c>
      <c r="AN50" s="294"/>
      <c r="AO50" s="293" t="s">
        <v>6749</v>
      </c>
    </row>
    <row r="51" spans="1:41" x14ac:dyDescent="0.55000000000000004">
      <c r="A51" s="276"/>
      <c r="B51" s="259" t="str">
        <f>IF($C$12 = "", "", $C$12)</f>
        <v>para8</v>
      </c>
      <c r="C51" s="293" t="s">
        <v>6750</v>
      </c>
      <c r="D51" s="294"/>
      <c r="E51" s="293" t="s">
        <v>6751</v>
      </c>
      <c r="F51" s="294"/>
      <c r="G51" s="293" t="s">
        <v>6752</v>
      </c>
      <c r="H51" s="294"/>
      <c r="I51" s="293" t="s">
        <v>6753</v>
      </c>
      <c r="J51" s="294"/>
      <c r="K51" s="293" t="s">
        <v>6754</v>
      </c>
      <c r="L51" s="294"/>
      <c r="M51" s="293" t="s">
        <v>6755</v>
      </c>
      <c r="N51" s="294"/>
      <c r="O51" s="293" t="s">
        <v>6756</v>
      </c>
      <c r="P51" s="294"/>
      <c r="Q51" s="293" t="s">
        <v>6757</v>
      </c>
      <c r="R51" s="294"/>
      <c r="S51" s="293" t="s">
        <v>6758</v>
      </c>
      <c r="T51" s="294"/>
      <c r="U51" s="293" t="s">
        <v>6759</v>
      </c>
      <c r="V51" s="294"/>
      <c r="W51" s="293" t="s">
        <v>6760</v>
      </c>
      <c r="X51" s="294"/>
      <c r="Y51" s="293" t="s">
        <v>6761</v>
      </c>
      <c r="Z51" s="294"/>
      <c r="AA51" s="293" t="s">
        <v>6762</v>
      </c>
      <c r="AB51" s="294"/>
      <c r="AC51" s="293" t="s">
        <v>6763</v>
      </c>
      <c r="AD51" s="294"/>
      <c r="AE51" s="293" t="s">
        <v>6764</v>
      </c>
      <c r="AF51" s="294"/>
      <c r="AG51" s="293" t="s">
        <v>6765</v>
      </c>
      <c r="AH51" s="294"/>
      <c r="AI51" s="293" t="s">
        <v>6766</v>
      </c>
      <c r="AJ51" s="294"/>
      <c r="AK51" s="293" t="s">
        <v>6767</v>
      </c>
      <c r="AL51" s="294"/>
      <c r="AM51" s="293" t="s">
        <v>6768</v>
      </c>
      <c r="AN51" s="294"/>
      <c r="AO51" s="293" t="s">
        <v>6769</v>
      </c>
    </row>
    <row r="52" spans="1:41" x14ac:dyDescent="0.55000000000000004">
      <c r="A52" s="276"/>
      <c r="B52" s="259" t="str">
        <f>IF($C$13 = "", "", $C$13)</f>
        <v>para9</v>
      </c>
      <c r="C52" s="293" t="s">
        <v>6770</v>
      </c>
      <c r="D52" s="294"/>
      <c r="E52" s="293" t="s">
        <v>6771</v>
      </c>
      <c r="F52" s="294"/>
      <c r="G52" s="293" t="s">
        <v>6772</v>
      </c>
      <c r="H52" s="294"/>
      <c r="I52" s="293" t="s">
        <v>6773</v>
      </c>
      <c r="J52" s="294"/>
      <c r="K52" s="293" t="s">
        <v>6774</v>
      </c>
      <c r="L52" s="294"/>
      <c r="M52" s="293" t="s">
        <v>6775</v>
      </c>
      <c r="N52" s="294"/>
      <c r="O52" s="293" t="s">
        <v>6776</v>
      </c>
      <c r="P52" s="294"/>
      <c r="Q52" s="293" t="s">
        <v>6777</v>
      </c>
      <c r="R52" s="294"/>
      <c r="S52" s="293" t="s">
        <v>6778</v>
      </c>
      <c r="T52" s="294"/>
      <c r="U52" s="293" t="s">
        <v>6779</v>
      </c>
      <c r="V52" s="294"/>
      <c r="W52" s="293" t="s">
        <v>6780</v>
      </c>
      <c r="X52" s="294"/>
      <c r="Y52" s="293" t="s">
        <v>6781</v>
      </c>
      <c r="Z52" s="294"/>
      <c r="AA52" s="293" t="s">
        <v>6782</v>
      </c>
      <c r="AB52" s="294"/>
      <c r="AC52" s="293" t="s">
        <v>6783</v>
      </c>
      <c r="AD52" s="294"/>
      <c r="AE52" s="293" t="s">
        <v>6784</v>
      </c>
      <c r="AF52" s="294"/>
      <c r="AG52" s="293" t="s">
        <v>6785</v>
      </c>
      <c r="AH52" s="294"/>
      <c r="AI52" s="293" t="s">
        <v>6786</v>
      </c>
      <c r="AJ52" s="294"/>
      <c r="AK52" s="293" t="s">
        <v>6787</v>
      </c>
      <c r="AL52" s="294"/>
      <c r="AM52" s="293" t="s">
        <v>6788</v>
      </c>
      <c r="AN52" s="294"/>
      <c r="AO52" s="293" t="s">
        <v>6789</v>
      </c>
    </row>
    <row r="53" spans="1:41" x14ac:dyDescent="0.55000000000000004">
      <c r="A53" s="276"/>
      <c r="B53" s="259" t="str">
        <f>IF($C$14 = "", "", $C$14)</f>
        <v>para10</v>
      </c>
      <c r="C53" s="293" t="s">
        <v>6790</v>
      </c>
      <c r="D53" s="294"/>
      <c r="E53" s="293" t="s">
        <v>6791</v>
      </c>
      <c r="F53" s="294"/>
      <c r="G53" s="293" t="s">
        <v>6792</v>
      </c>
      <c r="H53" s="294"/>
      <c r="I53" s="293" t="s">
        <v>6793</v>
      </c>
      <c r="J53" s="294"/>
      <c r="K53" s="293" t="s">
        <v>6794</v>
      </c>
      <c r="L53" s="294"/>
      <c r="M53" s="293" t="s">
        <v>6795</v>
      </c>
      <c r="N53" s="294"/>
      <c r="O53" s="293" t="s">
        <v>6796</v>
      </c>
      <c r="P53" s="294"/>
      <c r="Q53" s="293" t="s">
        <v>6797</v>
      </c>
      <c r="R53" s="294"/>
      <c r="S53" s="293" t="s">
        <v>6798</v>
      </c>
      <c r="T53" s="294"/>
      <c r="U53" s="293" t="s">
        <v>6799</v>
      </c>
      <c r="V53" s="294"/>
      <c r="W53" s="293" t="s">
        <v>6800</v>
      </c>
      <c r="X53" s="294"/>
      <c r="Y53" s="293" t="s">
        <v>6801</v>
      </c>
      <c r="Z53" s="294"/>
      <c r="AA53" s="293" t="s">
        <v>6802</v>
      </c>
      <c r="AB53" s="294"/>
      <c r="AC53" s="293" t="s">
        <v>6803</v>
      </c>
      <c r="AD53" s="294"/>
      <c r="AE53" s="293" t="s">
        <v>6804</v>
      </c>
      <c r="AF53" s="294"/>
      <c r="AG53" s="293" t="s">
        <v>6805</v>
      </c>
      <c r="AH53" s="294"/>
      <c r="AI53" s="293" t="s">
        <v>6806</v>
      </c>
      <c r="AJ53" s="294"/>
      <c r="AK53" s="293" t="s">
        <v>6807</v>
      </c>
      <c r="AL53" s="294"/>
      <c r="AM53" s="293" t="s">
        <v>6808</v>
      </c>
      <c r="AN53" s="294"/>
      <c r="AO53" s="293" t="s">
        <v>6809</v>
      </c>
    </row>
    <row r="54" spans="1:41" x14ac:dyDescent="0.55000000000000004">
      <c r="A54" s="276"/>
      <c r="B54" s="259" t="str">
        <f>IF($C$15 = "", "", $C$15)</f>
        <v>para11</v>
      </c>
      <c r="C54" s="293" t="s">
        <v>6810</v>
      </c>
      <c r="D54" s="294"/>
      <c r="E54" s="293" t="s">
        <v>6811</v>
      </c>
      <c r="F54" s="294"/>
      <c r="G54" s="293" t="s">
        <v>6812</v>
      </c>
      <c r="H54" s="294"/>
      <c r="I54" s="293" t="s">
        <v>6813</v>
      </c>
      <c r="J54" s="294"/>
      <c r="K54" s="293" t="s">
        <v>6814</v>
      </c>
      <c r="L54" s="294"/>
      <c r="M54" s="293" t="s">
        <v>6815</v>
      </c>
      <c r="N54" s="294"/>
      <c r="O54" s="293" t="s">
        <v>6816</v>
      </c>
      <c r="P54" s="294"/>
      <c r="Q54" s="293" t="s">
        <v>6817</v>
      </c>
      <c r="R54" s="294"/>
      <c r="S54" s="293" t="s">
        <v>6818</v>
      </c>
      <c r="T54" s="294"/>
      <c r="U54" s="293" t="s">
        <v>6819</v>
      </c>
      <c r="V54" s="294"/>
      <c r="W54" s="293" t="s">
        <v>6820</v>
      </c>
      <c r="X54" s="294"/>
      <c r="Y54" s="293" t="s">
        <v>6821</v>
      </c>
      <c r="Z54" s="294"/>
      <c r="AA54" s="293" t="s">
        <v>6822</v>
      </c>
      <c r="AB54" s="294"/>
      <c r="AC54" s="293" t="s">
        <v>6823</v>
      </c>
      <c r="AD54" s="294"/>
      <c r="AE54" s="293" t="s">
        <v>6824</v>
      </c>
      <c r="AF54" s="294"/>
      <c r="AG54" s="293" t="s">
        <v>6825</v>
      </c>
      <c r="AH54" s="294"/>
      <c r="AI54" s="293" t="s">
        <v>6826</v>
      </c>
      <c r="AJ54" s="294"/>
      <c r="AK54" s="293" t="s">
        <v>6827</v>
      </c>
      <c r="AL54" s="294"/>
      <c r="AM54" s="293" t="s">
        <v>6828</v>
      </c>
      <c r="AN54" s="294"/>
      <c r="AO54" s="293" t="s">
        <v>6829</v>
      </c>
    </row>
    <row r="55" spans="1:41" x14ac:dyDescent="0.55000000000000004">
      <c r="A55" s="276"/>
      <c r="B55" s="259" t="str">
        <f>IF($C$16 = "", "", $C$16)</f>
        <v>para12</v>
      </c>
      <c r="C55" s="293" t="s">
        <v>6830</v>
      </c>
      <c r="D55" s="294"/>
      <c r="E55" s="293" t="s">
        <v>6831</v>
      </c>
      <c r="F55" s="294"/>
      <c r="G55" s="293" t="s">
        <v>6832</v>
      </c>
      <c r="H55" s="294"/>
      <c r="I55" s="293" t="s">
        <v>6833</v>
      </c>
      <c r="J55" s="294"/>
      <c r="K55" s="293" t="s">
        <v>6834</v>
      </c>
      <c r="L55" s="294"/>
      <c r="M55" s="293" t="s">
        <v>6835</v>
      </c>
      <c r="N55" s="294"/>
      <c r="O55" s="293" t="s">
        <v>6836</v>
      </c>
      <c r="P55" s="294"/>
      <c r="Q55" s="293" t="s">
        <v>6837</v>
      </c>
      <c r="R55" s="294"/>
      <c r="S55" s="293" t="s">
        <v>6838</v>
      </c>
      <c r="T55" s="294"/>
      <c r="U55" s="293" t="s">
        <v>6839</v>
      </c>
      <c r="V55" s="294"/>
      <c r="W55" s="293" t="s">
        <v>6840</v>
      </c>
      <c r="X55" s="294"/>
      <c r="Y55" s="293" t="s">
        <v>6841</v>
      </c>
      <c r="Z55" s="294"/>
      <c r="AA55" s="293" t="s">
        <v>6842</v>
      </c>
      <c r="AB55" s="294"/>
      <c r="AC55" s="293" t="s">
        <v>6843</v>
      </c>
      <c r="AD55" s="294"/>
      <c r="AE55" s="293" t="s">
        <v>6844</v>
      </c>
      <c r="AF55" s="294"/>
      <c r="AG55" s="293" t="s">
        <v>6845</v>
      </c>
      <c r="AH55" s="294"/>
      <c r="AI55" s="293" t="s">
        <v>6846</v>
      </c>
      <c r="AJ55" s="294"/>
      <c r="AK55" s="293" t="s">
        <v>6847</v>
      </c>
      <c r="AL55" s="294"/>
      <c r="AM55" s="293" t="s">
        <v>6848</v>
      </c>
      <c r="AN55" s="294"/>
      <c r="AO55" s="293" t="s">
        <v>6849</v>
      </c>
    </row>
    <row r="56" spans="1:41" x14ac:dyDescent="0.55000000000000004">
      <c r="A56" s="276"/>
      <c r="B56" s="259" t="str">
        <f>IF($C$17 = "", "", $C$17)</f>
        <v>para13</v>
      </c>
      <c r="C56" s="293" t="s">
        <v>6850</v>
      </c>
      <c r="D56" s="294"/>
      <c r="E56" s="293" t="s">
        <v>6851</v>
      </c>
      <c r="F56" s="294"/>
      <c r="G56" s="293" t="s">
        <v>6852</v>
      </c>
      <c r="H56" s="294"/>
      <c r="I56" s="293" t="s">
        <v>6853</v>
      </c>
      <c r="J56" s="294"/>
      <c r="K56" s="293" t="s">
        <v>6854</v>
      </c>
      <c r="L56" s="294"/>
      <c r="M56" s="293" t="s">
        <v>6855</v>
      </c>
      <c r="N56" s="294"/>
      <c r="O56" s="293" t="s">
        <v>6856</v>
      </c>
      <c r="P56" s="294"/>
      <c r="Q56" s="293" t="s">
        <v>6857</v>
      </c>
      <c r="R56" s="294"/>
      <c r="S56" s="293" t="s">
        <v>6858</v>
      </c>
      <c r="T56" s="294"/>
      <c r="U56" s="293" t="s">
        <v>6859</v>
      </c>
      <c r="V56" s="294"/>
      <c r="W56" s="293" t="s">
        <v>6860</v>
      </c>
      <c r="X56" s="294"/>
      <c r="Y56" s="293" t="s">
        <v>6861</v>
      </c>
      <c r="Z56" s="294"/>
      <c r="AA56" s="293" t="s">
        <v>6862</v>
      </c>
      <c r="AB56" s="294"/>
      <c r="AC56" s="293" t="s">
        <v>6863</v>
      </c>
      <c r="AD56" s="294"/>
      <c r="AE56" s="293" t="s">
        <v>6864</v>
      </c>
      <c r="AF56" s="294"/>
      <c r="AG56" s="293" t="s">
        <v>6865</v>
      </c>
      <c r="AH56" s="294"/>
      <c r="AI56" s="293" t="s">
        <v>6866</v>
      </c>
      <c r="AJ56" s="294"/>
      <c r="AK56" s="293" t="s">
        <v>6867</v>
      </c>
      <c r="AL56" s="294"/>
      <c r="AM56" s="293" t="s">
        <v>6868</v>
      </c>
      <c r="AN56" s="294"/>
      <c r="AO56" s="293" t="s">
        <v>6869</v>
      </c>
    </row>
    <row r="57" spans="1:41" x14ac:dyDescent="0.55000000000000004">
      <c r="A57" s="276"/>
      <c r="B57" s="259" t="str">
        <f>IF($C$18 = "", "", $C$18)</f>
        <v>para14</v>
      </c>
      <c r="C57" s="293" t="s">
        <v>6870</v>
      </c>
      <c r="D57" s="294"/>
      <c r="E57" s="293" t="s">
        <v>6871</v>
      </c>
      <c r="F57" s="294"/>
      <c r="G57" s="293" t="s">
        <v>6872</v>
      </c>
      <c r="H57" s="294"/>
      <c r="I57" s="293" t="s">
        <v>6873</v>
      </c>
      <c r="J57" s="294"/>
      <c r="K57" s="293" t="s">
        <v>6874</v>
      </c>
      <c r="L57" s="294"/>
      <c r="M57" s="293" t="s">
        <v>6875</v>
      </c>
      <c r="N57" s="294"/>
      <c r="O57" s="293" t="s">
        <v>6876</v>
      </c>
      <c r="P57" s="294"/>
      <c r="Q57" s="293" t="s">
        <v>6877</v>
      </c>
      <c r="R57" s="294"/>
      <c r="S57" s="293" t="s">
        <v>6878</v>
      </c>
      <c r="T57" s="294"/>
      <c r="U57" s="293" t="s">
        <v>6879</v>
      </c>
      <c r="V57" s="294"/>
      <c r="W57" s="293" t="s">
        <v>6880</v>
      </c>
      <c r="X57" s="294"/>
      <c r="Y57" s="293" t="s">
        <v>6881</v>
      </c>
      <c r="Z57" s="294"/>
      <c r="AA57" s="293" t="s">
        <v>6882</v>
      </c>
      <c r="AB57" s="294"/>
      <c r="AC57" s="293" t="s">
        <v>6883</v>
      </c>
      <c r="AD57" s="294"/>
      <c r="AE57" s="293" t="s">
        <v>6884</v>
      </c>
      <c r="AF57" s="294"/>
      <c r="AG57" s="293" t="s">
        <v>6885</v>
      </c>
      <c r="AH57" s="294"/>
      <c r="AI57" s="293" t="s">
        <v>6886</v>
      </c>
      <c r="AJ57" s="294"/>
      <c r="AK57" s="293" t="s">
        <v>6887</v>
      </c>
      <c r="AL57" s="294"/>
      <c r="AM57" s="293" t="s">
        <v>6888</v>
      </c>
      <c r="AN57" s="294"/>
      <c r="AO57" s="293" t="s">
        <v>6889</v>
      </c>
    </row>
    <row r="58" spans="1:41" x14ac:dyDescent="0.55000000000000004">
      <c r="A58" s="276"/>
      <c r="B58" s="259" t="str">
        <f>IF($C$19 = "", "", $C$19)</f>
        <v>para15</v>
      </c>
      <c r="C58" s="293" t="s">
        <v>6890</v>
      </c>
      <c r="D58" s="294"/>
      <c r="E58" s="293" t="s">
        <v>6891</v>
      </c>
      <c r="F58" s="294"/>
      <c r="G58" s="293" t="s">
        <v>6892</v>
      </c>
      <c r="H58" s="294"/>
      <c r="I58" s="293" t="s">
        <v>6893</v>
      </c>
      <c r="J58" s="294"/>
      <c r="K58" s="293" t="s">
        <v>6894</v>
      </c>
      <c r="L58" s="294"/>
      <c r="M58" s="293" t="s">
        <v>6895</v>
      </c>
      <c r="N58" s="294"/>
      <c r="O58" s="293" t="s">
        <v>6896</v>
      </c>
      <c r="P58" s="294"/>
      <c r="Q58" s="293" t="s">
        <v>6897</v>
      </c>
      <c r="R58" s="294"/>
      <c r="S58" s="293" t="s">
        <v>6898</v>
      </c>
      <c r="T58" s="294"/>
      <c r="U58" s="293" t="s">
        <v>6899</v>
      </c>
      <c r="V58" s="294"/>
      <c r="W58" s="293" t="s">
        <v>6900</v>
      </c>
      <c r="X58" s="294"/>
      <c r="Y58" s="293" t="s">
        <v>6901</v>
      </c>
      <c r="Z58" s="294"/>
      <c r="AA58" s="293" t="s">
        <v>6902</v>
      </c>
      <c r="AB58" s="294"/>
      <c r="AC58" s="293" t="s">
        <v>6903</v>
      </c>
      <c r="AD58" s="294"/>
      <c r="AE58" s="293" t="s">
        <v>6904</v>
      </c>
      <c r="AF58" s="294"/>
      <c r="AG58" s="293" t="s">
        <v>6905</v>
      </c>
      <c r="AH58" s="294"/>
      <c r="AI58" s="293" t="s">
        <v>6906</v>
      </c>
      <c r="AJ58" s="294"/>
      <c r="AK58" s="293" t="s">
        <v>6907</v>
      </c>
      <c r="AL58" s="294"/>
      <c r="AM58" s="293" t="s">
        <v>6908</v>
      </c>
      <c r="AN58" s="294"/>
      <c r="AO58" s="293" t="s">
        <v>6909</v>
      </c>
    </row>
    <row r="59" spans="1:41" x14ac:dyDescent="0.55000000000000004">
      <c r="A59" s="276"/>
      <c r="B59" s="259" t="str">
        <f>IF($C$20 = "", "", $C$20)</f>
        <v>para16</v>
      </c>
      <c r="C59" s="293" t="s">
        <v>6910</v>
      </c>
      <c r="D59" s="294"/>
      <c r="E59" s="293" t="s">
        <v>6911</v>
      </c>
      <c r="F59" s="294"/>
      <c r="G59" s="293" t="s">
        <v>6912</v>
      </c>
      <c r="H59" s="294"/>
      <c r="I59" s="293" t="s">
        <v>6913</v>
      </c>
      <c r="J59" s="294"/>
      <c r="K59" s="293" t="s">
        <v>6914</v>
      </c>
      <c r="L59" s="294"/>
      <c r="M59" s="293" t="s">
        <v>6915</v>
      </c>
      <c r="N59" s="294"/>
      <c r="O59" s="293" t="s">
        <v>6916</v>
      </c>
      <c r="P59" s="294"/>
      <c r="Q59" s="293" t="s">
        <v>6917</v>
      </c>
      <c r="R59" s="294"/>
      <c r="S59" s="293" t="s">
        <v>6918</v>
      </c>
      <c r="T59" s="294"/>
      <c r="U59" s="293" t="s">
        <v>6919</v>
      </c>
      <c r="V59" s="294"/>
      <c r="W59" s="293" t="s">
        <v>6920</v>
      </c>
      <c r="X59" s="294"/>
      <c r="Y59" s="293" t="s">
        <v>6921</v>
      </c>
      <c r="Z59" s="294"/>
      <c r="AA59" s="293" t="s">
        <v>6922</v>
      </c>
      <c r="AB59" s="294"/>
      <c r="AC59" s="293" t="s">
        <v>6923</v>
      </c>
      <c r="AD59" s="294"/>
      <c r="AE59" s="293" t="s">
        <v>6924</v>
      </c>
      <c r="AF59" s="294"/>
      <c r="AG59" s="293" t="s">
        <v>6925</v>
      </c>
      <c r="AH59" s="294"/>
      <c r="AI59" s="293" t="s">
        <v>6926</v>
      </c>
      <c r="AJ59" s="294"/>
      <c r="AK59" s="293" t="s">
        <v>6927</v>
      </c>
      <c r="AL59" s="294"/>
      <c r="AM59" s="293" t="s">
        <v>6928</v>
      </c>
      <c r="AN59" s="294"/>
      <c r="AO59" s="293" t="s">
        <v>6929</v>
      </c>
    </row>
    <row r="60" spans="1:41" x14ac:dyDescent="0.55000000000000004">
      <c r="A60" s="276"/>
      <c r="B60" s="259" t="str">
        <f>IF($C$21 = "", "", $C$21)</f>
        <v>para17</v>
      </c>
      <c r="C60" s="293" t="s">
        <v>6930</v>
      </c>
      <c r="D60" s="294"/>
      <c r="E60" s="293" t="s">
        <v>6931</v>
      </c>
      <c r="F60" s="294"/>
      <c r="G60" s="293" t="s">
        <v>6932</v>
      </c>
      <c r="H60" s="294"/>
      <c r="I60" s="293" t="s">
        <v>6933</v>
      </c>
      <c r="J60" s="294"/>
      <c r="K60" s="293" t="s">
        <v>6934</v>
      </c>
      <c r="L60" s="294"/>
      <c r="M60" s="293" t="s">
        <v>6935</v>
      </c>
      <c r="N60" s="294"/>
      <c r="O60" s="293" t="s">
        <v>6936</v>
      </c>
      <c r="P60" s="294"/>
      <c r="Q60" s="293" t="s">
        <v>6937</v>
      </c>
      <c r="R60" s="294"/>
      <c r="S60" s="293" t="s">
        <v>6938</v>
      </c>
      <c r="T60" s="294"/>
      <c r="U60" s="293" t="s">
        <v>6939</v>
      </c>
      <c r="V60" s="294"/>
      <c r="W60" s="293" t="s">
        <v>6940</v>
      </c>
      <c r="X60" s="294"/>
      <c r="Y60" s="293" t="s">
        <v>6941</v>
      </c>
      <c r="Z60" s="294"/>
      <c r="AA60" s="293" t="s">
        <v>6942</v>
      </c>
      <c r="AB60" s="294"/>
      <c r="AC60" s="293" t="s">
        <v>6943</v>
      </c>
      <c r="AD60" s="294"/>
      <c r="AE60" s="293" t="s">
        <v>6944</v>
      </c>
      <c r="AF60" s="294"/>
      <c r="AG60" s="293" t="s">
        <v>6945</v>
      </c>
      <c r="AH60" s="294"/>
      <c r="AI60" s="293" t="s">
        <v>6946</v>
      </c>
      <c r="AJ60" s="294"/>
      <c r="AK60" s="293" t="s">
        <v>6947</v>
      </c>
      <c r="AL60" s="294"/>
      <c r="AM60" s="293" t="s">
        <v>6948</v>
      </c>
      <c r="AN60" s="294"/>
      <c r="AO60" s="293" t="s">
        <v>6949</v>
      </c>
    </row>
    <row r="61" spans="1:41" x14ac:dyDescent="0.55000000000000004">
      <c r="A61" s="276"/>
      <c r="B61" s="259" t="str">
        <f>IF($C$22 = "", "", $C$22)</f>
        <v>para18</v>
      </c>
      <c r="C61" s="293" t="s">
        <v>6950</v>
      </c>
      <c r="D61" s="294"/>
      <c r="E61" s="293" t="s">
        <v>6951</v>
      </c>
      <c r="F61" s="294"/>
      <c r="G61" s="293" t="s">
        <v>6952</v>
      </c>
      <c r="H61" s="294"/>
      <c r="I61" s="293" t="s">
        <v>6953</v>
      </c>
      <c r="J61" s="294"/>
      <c r="K61" s="293" t="s">
        <v>6954</v>
      </c>
      <c r="L61" s="294"/>
      <c r="M61" s="293" t="s">
        <v>6955</v>
      </c>
      <c r="N61" s="294"/>
      <c r="O61" s="293" t="s">
        <v>6956</v>
      </c>
      <c r="P61" s="294"/>
      <c r="Q61" s="293" t="s">
        <v>6957</v>
      </c>
      <c r="R61" s="294"/>
      <c r="S61" s="293" t="s">
        <v>6958</v>
      </c>
      <c r="T61" s="294"/>
      <c r="U61" s="293" t="s">
        <v>6959</v>
      </c>
      <c r="V61" s="294"/>
      <c r="W61" s="293" t="s">
        <v>6960</v>
      </c>
      <c r="X61" s="294"/>
      <c r="Y61" s="293" t="s">
        <v>6961</v>
      </c>
      <c r="Z61" s="294"/>
      <c r="AA61" s="293" t="s">
        <v>6962</v>
      </c>
      <c r="AB61" s="294"/>
      <c r="AC61" s="293" t="s">
        <v>6963</v>
      </c>
      <c r="AD61" s="294"/>
      <c r="AE61" s="293" t="s">
        <v>6964</v>
      </c>
      <c r="AF61" s="294"/>
      <c r="AG61" s="293" t="s">
        <v>6965</v>
      </c>
      <c r="AH61" s="294"/>
      <c r="AI61" s="293" t="s">
        <v>6966</v>
      </c>
      <c r="AJ61" s="294"/>
      <c r="AK61" s="293" t="s">
        <v>6967</v>
      </c>
      <c r="AL61" s="294"/>
      <c r="AM61" s="293" t="s">
        <v>6968</v>
      </c>
      <c r="AN61" s="294"/>
      <c r="AO61" s="293" t="s">
        <v>6969</v>
      </c>
    </row>
    <row r="62" spans="1:41" x14ac:dyDescent="0.55000000000000004">
      <c r="A62" s="276"/>
      <c r="B62" s="259" t="str">
        <f>IF($C$23 = "", "", $C$23)</f>
        <v>para19</v>
      </c>
      <c r="C62" s="293" t="s">
        <v>6970</v>
      </c>
      <c r="D62" s="294"/>
      <c r="E62" s="293" t="s">
        <v>6971</v>
      </c>
      <c r="F62" s="294"/>
      <c r="G62" s="293" t="s">
        <v>6972</v>
      </c>
      <c r="H62" s="294"/>
      <c r="I62" s="293" t="s">
        <v>6973</v>
      </c>
      <c r="J62" s="294"/>
      <c r="K62" s="293" t="s">
        <v>6974</v>
      </c>
      <c r="L62" s="294"/>
      <c r="M62" s="293" t="s">
        <v>6975</v>
      </c>
      <c r="N62" s="294"/>
      <c r="O62" s="293" t="s">
        <v>6976</v>
      </c>
      <c r="P62" s="294"/>
      <c r="Q62" s="293" t="s">
        <v>6977</v>
      </c>
      <c r="R62" s="294"/>
      <c r="S62" s="293" t="s">
        <v>6978</v>
      </c>
      <c r="T62" s="294"/>
      <c r="U62" s="293" t="s">
        <v>6979</v>
      </c>
      <c r="V62" s="294"/>
      <c r="W62" s="293" t="s">
        <v>6980</v>
      </c>
      <c r="X62" s="294"/>
      <c r="Y62" s="293" t="s">
        <v>6981</v>
      </c>
      <c r="Z62" s="294"/>
      <c r="AA62" s="293" t="s">
        <v>6982</v>
      </c>
      <c r="AB62" s="294"/>
      <c r="AC62" s="293" t="s">
        <v>6983</v>
      </c>
      <c r="AD62" s="294"/>
      <c r="AE62" s="293" t="s">
        <v>6984</v>
      </c>
      <c r="AF62" s="294"/>
      <c r="AG62" s="293" t="s">
        <v>6985</v>
      </c>
      <c r="AH62" s="294"/>
      <c r="AI62" s="293" t="s">
        <v>6986</v>
      </c>
      <c r="AJ62" s="294"/>
      <c r="AK62" s="293" t="s">
        <v>6987</v>
      </c>
      <c r="AL62" s="294"/>
      <c r="AM62" s="293" t="s">
        <v>6988</v>
      </c>
      <c r="AN62" s="294"/>
      <c r="AO62" s="293" t="s">
        <v>6989</v>
      </c>
    </row>
    <row r="63" spans="1:41" x14ac:dyDescent="0.55000000000000004">
      <c r="A63" s="276"/>
      <c r="B63" s="259" t="str">
        <f>IF($C$24 = "", "", $C$24)</f>
        <v>para20</v>
      </c>
      <c r="C63" s="293" t="s">
        <v>6990</v>
      </c>
      <c r="D63" s="294"/>
      <c r="E63" s="293" t="s">
        <v>6991</v>
      </c>
      <c r="F63" s="294"/>
      <c r="G63" s="293" t="s">
        <v>6992</v>
      </c>
      <c r="H63" s="294"/>
      <c r="I63" s="293" t="s">
        <v>6993</v>
      </c>
      <c r="J63" s="294"/>
      <c r="K63" s="293" t="s">
        <v>6994</v>
      </c>
      <c r="L63" s="294"/>
      <c r="M63" s="293" t="s">
        <v>6995</v>
      </c>
      <c r="N63" s="294"/>
      <c r="O63" s="293" t="s">
        <v>6996</v>
      </c>
      <c r="P63" s="294"/>
      <c r="Q63" s="293" t="s">
        <v>6997</v>
      </c>
      <c r="R63" s="294"/>
      <c r="S63" s="293" t="s">
        <v>6998</v>
      </c>
      <c r="T63" s="294"/>
      <c r="U63" s="293" t="s">
        <v>6999</v>
      </c>
      <c r="V63" s="294"/>
      <c r="W63" s="293" t="s">
        <v>7000</v>
      </c>
      <c r="X63" s="294"/>
      <c r="Y63" s="293" t="s">
        <v>7001</v>
      </c>
      <c r="Z63" s="294"/>
      <c r="AA63" s="293" t="s">
        <v>7002</v>
      </c>
      <c r="AB63" s="294"/>
      <c r="AC63" s="293" t="s">
        <v>7003</v>
      </c>
      <c r="AD63" s="294"/>
      <c r="AE63" s="293" t="s">
        <v>7004</v>
      </c>
      <c r="AF63" s="294"/>
      <c r="AG63" s="293" t="s">
        <v>7005</v>
      </c>
      <c r="AH63" s="294"/>
      <c r="AI63" s="293" t="s">
        <v>7006</v>
      </c>
      <c r="AJ63" s="294"/>
      <c r="AK63" s="293" t="s">
        <v>7007</v>
      </c>
      <c r="AL63" s="294"/>
      <c r="AM63" s="293" t="s">
        <v>7008</v>
      </c>
      <c r="AN63" s="294"/>
      <c r="AO63" s="293" t="s">
        <v>7009</v>
      </c>
    </row>
    <row r="64" spans="1:41" x14ac:dyDescent="0.55000000000000004">
      <c r="A64" s="276"/>
      <c r="B64" s="259" t="str">
        <f>IF($C$25 = "", "", $C$25)</f>
        <v>para21</v>
      </c>
      <c r="C64" s="293" t="s">
        <v>7010</v>
      </c>
      <c r="D64" s="294"/>
      <c r="E64" s="293" t="s">
        <v>7011</v>
      </c>
      <c r="F64" s="294"/>
      <c r="G64" s="293" t="s">
        <v>7012</v>
      </c>
      <c r="H64" s="294"/>
      <c r="I64" s="293" t="s">
        <v>7013</v>
      </c>
      <c r="J64" s="294"/>
      <c r="K64" s="293" t="s">
        <v>7014</v>
      </c>
      <c r="L64" s="294"/>
      <c r="M64" s="293" t="s">
        <v>7015</v>
      </c>
      <c r="N64" s="294"/>
      <c r="O64" s="293" t="s">
        <v>7016</v>
      </c>
      <c r="P64" s="294"/>
      <c r="Q64" s="293" t="s">
        <v>7017</v>
      </c>
      <c r="R64" s="294"/>
      <c r="S64" s="293" t="s">
        <v>7018</v>
      </c>
      <c r="T64" s="294"/>
      <c r="U64" s="293" t="s">
        <v>7019</v>
      </c>
      <c r="V64" s="294"/>
      <c r="W64" s="293" t="s">
        <v>7020</v>
      </c>
      <c r="X64" s="294"/>
      <c r="Y64" s="293" t="s">
        <v>7021</v>
      </c>
      <c r="Z64" s="294"/>
      <c r="AA64" s="293" t="s">
        <v>7022</v>
      </c>
      <c r="AB64" s="294"/>
      <c r="AC64" s="293" t="s">
        <v>7023</v>
      </c>
      <c r="AD64" s="294"/>
      <c r="AE64" s="293" t="s">
        <v>7024</v>
      </c>
      <c r="AF64" s="294"/>
      <c r="AG64" s="293" t="s">
        <v>7025</v>
      </c>
      <c r="AH64" s="294"/>
      <c r="AI64" s="293" t="s">
        <v>7026</v>
      </c>
      <c r="AJ64" s="294"/>
      <c r="AK64" s="293" t="s">
        <v>7027</v>
      </c>
      <c r="AL64" s="294"/>
      <c r="AM64" s="293" t="s">
        <v>7028</v>
      </c>
      <c r="AN64" s="294"/>
      <c r="AO64" s="293" t="s">
        <v>7029</v>
      </c>
    </row>
    <row r="65" spans="1:41" x14ac:dyDescent="0.55000000000000004">
      <c r="A65" s="276"/>
      <c r="B65" s="259" t="str">
        <f>IF($C$26 = "", "", $C$26)</f>
        <v>para22</v>
      </c>
      <c r="C65" s="293" t="s">
        <v>7030</v>
      </c>
      <c r="D65" s="294"/>
      <c r="E65" s="293" t="s">
        <v>7031</v>
      </c>
      <c r="F65" s="294"/>
      <c r="G65" s="293" t="s">
        <v>7032</v>
      </c>
      <c r="H65" s="294"/>
      <c r="I65" s="293" t="s">
        <v>7033</v>
      </c>
      <c r="J65" s="294"/>
      <c r="K65" s="293" t="s">
        <v>7034</v>
      </c>
      <c r="L65" s="294"/>
      <c r="M65" s="293" t="s">
        <v>7035</v>
      </c>
      <c r="N65" s="294"/>
      <c r="O65" s="293" t="s">
        <v>7036</v>
      </c>
      <c r="P65" s="294"/>
      <c r="Q65" s="293" t="s">
        <v>7037</v>
      </c>
      <c r="R65" s="294"/>
      <c r="S65" s="293" t="s">
        <v>7038</v>
      </c>
      <c r="T65" s="294"/>
      <c r="U65" s="293" t="s">
        <v>7039</v>
      </c>
      <c r="V65" s="294"/>
      <c r="W65" s="293" t="s">
        <v>7040</v>
      </c>
      <c r="X65" s="294"/>
      <c r="Y65" s="293" t="s">
        <v>7041</v>
      </c>
      <c r="Z65" s="294"/>
      <c r="AA65" s="293" t="s">
        <v>7042</v>
      </c>
      <c r="AB65" s="294"/>
      <c r="AC65" s="293" t="s">
        <v>7043</v>
      </c>
      <c r="AD65" s="294"/>
      <c r="AE65" s="293" t="s">
        <v>7044</v>
      </c>
      <c r="AF65" s="294"/>
      <c r="AG65" s="293" t="s">
        <v>7045</v>
      </c>
      <c r="AH65" s="294"/>
      <c r="AI65" s="293" t="s">
        <v>7046</v>
      </c>
      <c r="AJ65" s="294"/>
      <c r="AK65" s="293" t="s">
        <v>7047</v>
      </c>
      <c r="AL65" s="294"/>
      <c r="AM65" s="293" t="s">
        <v>7048</v>
      </c>
      <c r="AN65" s="294"/>
      <c r="AO65" s="293" t="s">
        <v>7049</v>
      </c>
    </row>
    <row r="66" spans="1:41" x14ac:dyDescent="0.55000000000000004">
      <c r="A66" s="276"/>
      <c r="B66" s="259" t="str">
        <f>IF($C$27 = "", "", $C$27)</f>
        <v>para23</v>
      </c>
      <c r="C66" s="293" t="s">
        <v>7050</v>
      </c>
      <c r="D66" s="294"/>
      <c r="E66" s="293" t="s">
        <v>7051</v>
      </c>
      <c r="F66" s="294"/>
      <c r="G66" s="293" t="s">
        <v>7052</v>
      </c>
      <c r="H66" s="294"/>
      <c r="I66" s="293" t="s">
        <v>7053</v>
      </c>
      <c r="J66" s="294"/>
      <c r="K66" s="293" t="s">
        <v>7054</v>
      </c>
      <c r="L66" s="294"/>
      <c r="M66" s="293" t="s">
        <v>7055</v>
      </c>
      <c r="N66" s="294"/>
      <c r="O66" s="293" t="s">
        <v>7056</v>
      </c>
      <c r="P66" s="294"/>
      <c r="Q66" s="293" t="s">
        <v>7057</v>
      </c>
      <c r="R66" s="294"/>
      <c r="S66" s="293" t="s">
        <v>7058</v>
      </c>
      <c r="T66" s="294"/>
      <c r="U66" s="293" t="s">
        <v>7059</v>
      </c>
      <c r="V66" s="294"/>
      <c r="W66" s="293" t="s">
        <v>7060</v>
      </c>
      <c r="X66" s="294"/>
      <c r="Y66" s="293" t="s">
        <v>7061</v>
      </c>
      <c r="Z66" s="294"/>
      <c r="AA66" s="293" t="s">
        <v>7062</v>
      </c>
      <c r="AB66" s="294"/>
      <c r="AC66" s="293" t="s">
        <v>7063</v>
      </c>
      <c r="AD66" s="294"/>
      <c r="AE66" s="293" t="s">
        <v>7064</v>
      </c>
      <c r="AF66" s="294"/>
      <c r="AG66" s="293" t="s">
        <v>7065</v>
      </c>
      <c r="AH66" s="294"/>
      <c r="AI66" s="293" t="s">
        <v>7066</v>
      </c>
      <c r="AJ66" s="294"/>
      <c r="AK66" s="293" t="s">
        <v>7067</v>
      </c>
      <c r="AL66" s="294"/>
      <c r="AM66" s="293" t="s">
        <v>7068</v>
      </c>
      <c r="AN66" s="294"/>
      <c r="AO66" s="293" t="s">
        <v>7069</v>
      </c>
    </row>
    <row r="67" spans="1:41" x14ac:dyDescent="0.55000000000000004">
      <c r="A67" s="276"/>
      <c r="B67" s="259" t="str">
        <f>IF($C$28 = "", "", $C$28)</f>
        <v>para24</v>
      </c>
      <c r="C67" s="293" t="s">
        <v>7070</v>
      </c>
      <c r="D67" s="294"/>
      <c r="E67" s="293" t="s">
        <v>7071</v>
      </c>
      <c r="F67" s="294"/>
      <c r="G67" s="293" t="s">
        <v>7072</v>
      </c>
      <c r="H67" s="294"/>
      <c r="I67" s="293" t="s">
        <v>7073</v>
      </c>
      <c r="J67" s="294"/>
      <c r="K67" s="293" t="s">
        <v>7074</v>
      </c>
      <c r="L67" s="294"/>
      <c r="M67" s="293" t="s">
        <v>7075</v>
      </c>
      <c r="N67" s="294"/>
      <c r="O67" s="293" t="s">
        <v>7076</v>
      </c>
      <c r="P67" s="294"/>
      <c r="Q67" s="293" t="s">
        <v>7077</v>
      </c>
      <c r="R67" s="294"/>
      <c r="S67" s="293" t="s">
        <v>7078</v>
      </c>
      <c r="T67" s="294"/>
      <c r="U67" s="293" t="s">
        <v>7079</v>
      </c>
      <c r="V67" s="294"/>
      <c r="W67" s="293" t="s">
        <v>7080</v>
      </c>
      <c r="X67" s="294"/>
      <c r="Y67" s="293" t="s">
        <v>7081</v>
      </c>
      <c r="Z67" s="294"/>
      <c r="AA67" s="293" t="s">
        <v>7082</v>
      </c>
      <c r="AB67" s="294"/>
      <c r="AC67" s="293" t="s">
        <v>7083</v>
      </c>
      <c r="AD67" s="294"/>
      <c r="AE67" s="293" t="s">
        <v>7084</v>
      </c>
      <c r="AF67" s="294"/>
      <c r="AG67" s="293" t="s">
        <v>7085</v>
      </c>
      <c r="AH67" s="294"/>
      <c r="AI67" s="293" t="s">
        <v>7086</v>
      </c>
      <c r="AJ67" s="294"/>
      <c r="AK67" s="293" t="s">
        <v>7087</v>
      </c>
      <c r="AL67" s="294"/>
      <c r="AM67" s="293" t="s">
        <v>7088</v>
      </c>
      <c r="AN67" s="294"/>
      <c r="AO67" s="293" t="s">
        <v>7089</v>
      </c>
    </row>
    <row r="68" spans="1:41" x14ac:dyDescent="0.55000000000000004">
      <c r="A68" s="276"/>
      <c r="B68" s="259" t="str">
        <f>IF($C$29 = "", "", $C$29)</f>
        <v>para25</v>
      </c>
      <c r="C68" s="293" t="s">
        <v>7090</v>
      </c>
      <c r="D68" s="294"/>
      <c r="E68" s="293" t="s">
        <v>7091</v>
      </c>
      <c r="F68" s="294"/>
      <c r="G68" s="293" t="s">
        <v>7092</v>
      </c>
      <c r="H68" s="294"/>
      <c r="I68" s="293" t="s">
        <v>7093</v>
      </c>
      <c r="J68" s="294"/>
      <c r="K68" s="293" t="s">
        <v>7094</v>
      </c>
      <c r="L68" s="294"/>
      <c r="M68" s="293" t="s">
        <v>7095</v>
      </c>
      <c r="N68" s="294"/>
      <c r="O68" s="293" t="s">
        <v>7096</v>
      </c>
      <c r="P68" s="294"/>
      <c r="Q68" s="293" t="s">
        <v>7097</v>
      </c>
      <c r="R68" s="294"/>
      <c r="S68" s="293" t="s">
        <v>7098</v>
      </c>
      <c r="T68" s="294"/>
      <c r="U68" s="293" t="s">
        <v>7099</v>
      </c>
      <c r="V68" s="294"/>
      <c r="W68" s="293" t="s">
        <v>7100</v>
      </c>
      <c r="X68" s="294"/>
      <c r="Y68" s="293" t="s">
        <v>7101</v>
      </c>
      <c r="Z68" s="294"/>
      <c r="AA68" s="293" t="s">
        <v>7102</v>
      </c>
      <c r="AB68" s="294"/>
      <c r="AC68" s="293" t="s">
        <v>7103</v>
      </c>
      <c r="AD68" s="294"/>
      <c r="AE68" s="293" t="s">
        <v>7104</v>
      </c>
      <c r="AF68" s="294"/>
      <c r="AG68" s="293" t="s">
        <v>7105</v>
      </c>
      <c r="AH68" s="294"/>
      <c r="AI68" s="293" t="s">
        <v>7106</v>
      </c>
      <c r="AJ68" s="294"/>
      <c r="AK68" s="293" t="s">
        <v>7107</v>
      </c>
      <c r="AL68" s="294"/>
      <c r="AM68" s="293" t="s">
        <v>7108</v>
      </c>
      <c r="AN68" s="294"/>
      <c r="AO68" s="293" t="s">
        <v>7109</v>
      </c>
    </row>
    <row r="69" spans="1:41" x14ac:dyDescent="0.55000000000000004">
      <c r="A69" s="276"/>
      <c r="B69" s="259" t="str">
        <f>IF($C$30 = "", "", $C$30)</f>
        <v>para26</v>
      </c>
      <c r="C69" s="293" t="s">
        <v>7110</v>
      </c>
      <c r="D69" s="294"/>
      <c r="E69" s="293" t="s">
        <v>7111</v>
      </c>
      <c r="F69" s="294"/>
      <c r="G69" s="293" t="s">
        <v>7112</v>
      </c>
      <c r="H69" s="294"/>
      <c r="I69" s="293" t="s">
        <v>7113</v>
      </c>
      <c r="J69" s="294"/>
      <c r="K69" s="293" t="s">
        <v>7114</v>
      </c>
      <c r="L69" s="294"/>
      <c r="M69" s="293" t="s">
        <v>7115</v>
      </c>
      <c r="N69" s="294"/>
      <c r="O69" s="293" t="s">
        <v>7116</v>
      </c>
      <c r="P69" s="294"/>
      <c r="Q69" s="293" t="s">
        <v>7117</v>
      </c>
      <c r="R69" s="294"/>
      <c r="S69" s="293" t="s">
        <v>7118</v>
      </c>
      <c r="T69" s="294"/>
      <c r="U69" s="293" t="s">
        <v>7119</v>
      </c>
      <c r="V69" s="294"/>
      <c r="W69" s="293" t="s">
        <v>7120</v>
      </c>
      <c r="X69" s="294"/>
      <c r="Y69" s="293" t="s">
        <v>7121</v>
      </c>
      <c r="Z69" s="294"/>
      <c r="AA69" s="293" t="s">
        <v>7122</v>
      </c>
      <c r="AB69" s="294"/>
      <c r="AC69" s="293" t="s">
        <v>7123</v>
      </c>
      <c r="AD69" s="294"/>
      <c r="AE69" s="293" t="s">
        <v>7124</v>
      </c>
      <c r="AF69" s="294"/>
      <c r="AG69" s="293" t="s">
        <v>7125</v>
      </c>
      <c r="AH69" s="294"/>
      <c r="AI69" s="293" t="s">
        <v>7126</v>
      </c>
      <c r="AJ69" s="294"/>
      <c r="AK69" s="293" t="s">
        <v>7127</v>
      </c>
      <c r="AL69" s="294"/>
      <c r="AM69" s="293" t="s">
        <v>7128</v>
      </c>
      <c r="AN69" s="294"/>
      <c r="AO69" s="293" t="s">
        <v>7129</v>
      </c>
    </row>
    <row r="70" spans="1:41" x14ac:dyDescent="0.55000000000000004">
      <c r="A70" s="276"/>
      <c r="B70" s="259" t="str">
        <f>IF($C$31 = "", "", $C$31)</f>
        <v>para27</v>
      </c>
      <c r="C70" s="293" t="s">
        <v>7130</v>
      </c>
      <c r="D70" s="294"/>
      <c r="E70" s="293" t="s">
        <v>7131</v>
      </c>
      <c r="F70" s="294"/>
      <c r="G70" s="293" t="s">
        <v>7132</v>
      </c>
      <c r="H70" s="294"/>
      <c r="I70" s="293" t="s">
        <v>7133</v>
      </c>
      <c r="J70" s="294"/>
      <c r="K70" s="293" t="s">
        <v>7134</v>
      </c>
      <c r="L70" s="294"/>
      <c r="M70" s="293" t="s">
        <v>7135</v>
      </c>
      <c r="N70" s="294"/>
      <c r="O70" s="293" t="s">
        <v>7136</v>
      </c>
      <c r="P70" s="294"/>
      <c r="Q70" s="293" t="s">
        <v>7137</v>
      </c>
      <c r="R70" s="294"/>
      <c r="S70" s="293" t="s">
        <v>7138</v>
      </c>
      <c r="T70" s="294"/>
      <c r="U70" s="293" t="s">
        <v>7139</v>
      </c>
      <c r="V70" s="294"/>
      <c r="W70" s="293" t="s">
        <v>7140</v>
      </c>
      <c r="X70" s="294"/>
      <c r="Y70" s="293" t="s">
        <v>7141</v>
      </c>
      <c r="Z70" s="294"/>
      <c r="AA70" s="293" t="s">
        <v>7142</v>
      </c>
      <c r="AB70" s="294"/>
      <c r="AC70" s="293" t="s">
        <v>7143</v>
      </c>
      <c r="AD70" s="294"/>
      <c r="AE70" s="293" t="s">
        <v>7144</v>
      </c>
      <c r="AF70" s="294"/>
      <c r="AG70" s="293" t="s">
        <v>7145</v>
      </c>
      <c r="AH70" s="294"/>
      <c r="AI70" s="293" t="s">
        <v>7146</v>
      </c>
      <c r="AJ70" s="294"/>
      <c r="AK70" s="293" t="s">
        <v>7147</v>
      </c>
      <c r="AL70" s="294"/>
      <c r="AM70" s="293" t="s">
        <v>7148</v>
      </c>
      <c r="AN70" s="294"/>
      <c r="AO70" s="293" t="s">
        <v>7149</v>
      </c>
    </row>
    <row r="71" spans="1:41" x14ac:dyDescent="0.55000000000000004">
      <c r="A71" s="276"/>
      <c r="B71" s="259" t="str">
        <f>IF($C$32 = "", "", $C$32)</f>
        <v>para28</v>
      </c>
      <c r="C71" s="293" t="s">
        <v>7150</v>
      </c>
      <c r="D71" s="294"/>
      <c r="E71" s="293" t="s">
        <v>7151</v>
      </c>
      <c r="F71" s="294"/>
      <c r="G71" s="293" t="s">
        <v>7152</v>
      </c>
      <c r="H71" s="294"/>
      <c r="I71" s="293" t="s">
        <v>7153</v>
      </c>
      <c r="J71" s="294"/>
      <c r="K71" s="293" t="s">
        <v>7154</v>
      </c>
      <c r="L71" s="294"/>
      <c r="M71" s="293" t="s">
        <v>7155</v>
      </c>
      <c r="N71" s="294"/>
      <c r="O71" s="293" t="s">
        <v>7156</v>
      </c>
      <c r="P71" s="294"/>
      <c r="Q71" s="293" t="s">
        <v>7157</v>
      </c>
      <c r="R71" s="294"/>
      <c r="S71" s="293" t="s">
        <v>7158</v>
      </c>
      <c r="T71" s="294"/>
      <c r="U71" s="293" t="s">
        <v>7159</v>
      </c>
      <c r="V71" s="294"/>
      <c r="W71" s="293" t="s">
        <v>7160</v>
      </c>
      <c r="X71" s="294"/>
      <c r="Y71" s="293" t="s">
        <v>7161</v>
      </c>
      <c r="Z71" s="294"/>
      <c r="AA71" s="293" t="s">
        <v>7162</v>
      </c>
      <c r="AB71" s="294"/>
      <c r="AC71" s="293" t="s">
        <v>7163</v>
      </c>
      <c r="AD71" s="294"/>
      <c r="AE71" s="293" t="s">
        <v>7164</v>
      </c>
      <c r="AF71" s="294"/>
      <c r="AG71" s="293" t="s">
        <v>7165</v>
      </c>
      <c r="AH71" s="294"/>
      <c r="AI71" s="293" t="s">
        <v>7166</v>
      </c>
      <c r="AJ71" s="294"/>
      <c r="AK71" s="293" t="s">
        <v>7167</v>
      </c>
      <c r="AL71" s="294"/>
      <c r="AM71" s="293" t="s">
        <v>7168</v>
      </c>
      <c r="AN71" s="294"/>
      <c r="AO71" s="293" t="s">
        <v>7169</v>
      </c>
    </row>
    <row r="72" spans="1:41" x14ac:dyDescent="0.55000000000000004">
      <c r="A72" s="276"/>
      <c r="B72" s="259" t="str">
        <f>IF($C$33 = "", "", $C$33)</f>
        <v>para29</v>
      </c>
      <c r="C72" s="293" t="s">
        <v>7170</v>
      </c>
      <c r="D72" s="294"/>
      <c r="E72" s="293" t="s">
        <v>7171</v>
      </c>
      <c r="F72" s="294"/>
      <c r="G72" s="293" t="s">
        <v>7172</v>
      </c>
      <c r="H72" s="294"/>
      <c r="I72" s="293" t="s">
        <v>7173</v>
      </c>
      <c r="J72" s="294"/>
      <c r="K72" s="293" t="s">
        <v>7174</v>
      </c>
      <c r="L72" s="294"/>
      <c r="M72" s="293" t="s">
        <v>7175</v>
      </c>
      <c r="N72" s="294"/>
      <c r="O72" s="293" t="s">
        <v>7176</v>
      </c>
      <c r="P72" s="294"/>
      <c r="Q72" s="293" t="s">
        <v>7177</v>
      </c>
      <c r="R72" s="294"/>
      <c r="S72" s="293" t="s">
        <v>7178</v>
      </c>
      <c r="T72" s="294"/>
      <c r="U72" s="293" t="s">
        <v>7179</v>
      </c>
      <c r="V72" s="294"/>
      <c r="W72" s="293" t="s">
        <v>7180</v>
      </c>
      <c r="X72" s="294"/>
      <c r="Y72" s="293" t="s">
        <v>7181</v>
      </c>
      <c r="Z72" s="294"/>
      <c r="AA72" s="293" t="s">
        <v>7182</v>
      </c>
      <c r="AB72" s="294"/>
      <c r="AC72" s="293" t="s">
        <v>7183</v>
      </c>
      <c r="AD72" s="294"/>
      <c r="AE72" s="293" t="s">
        <v>7184</v>
      </c>
      <c r="AF72" s="294"/>
      <c r="AG72" s="293" t="s">
        <v>7185</v>
      </c>
      <c r="AH72" s="294"/>
      <c r="AI72" s="293" t="s">
        <v>7186</v>
      </c>
      <c r="AJ72" s="294"/>
      <c r="AK72" s="293" t="s">
        <v>7187</v>
      </c>
      <c r="AL72" s="294"/>
      <c r="AM72" s="293" t="s">
        <v>7188</v>
      </c>
      <c r="AN72" s="294"/>
      <c r="AO72" s="293" t="s">
        <v>7189</v>
      </c>
    </row>
    <row r="73" spans="1:41" x14ac:dyDescent="0.55000000000000004">
      <c r="A73" s="295"/>
      <c r="B73" s="259" t="str">
        <f>IF($C$34 = "", "", $C$34)</f>
        <v>para30</v>
      </c>
      <c r="C73" s="293" t="s">
        <v>7190</v>
      </c>
      <c r="D73" s="294"/>
      <c r="E73" s="293" t="s">
        <v>7191</v>
      </c>
      <c r="F73" s="294"/>
      <c r="G73" s="293" t="s">
        <v>7192</v>
      </c>
      <c r="H73" s="294"/>
      <c r="I73" s="293" t="s">
        <v>7193</v>
      </c>
      <c r="J73" s="294"/>
      <c r="K73" s="293" t="s">
        <v>7194</v>
      </c>
      <c r="L73" s="294"/>
      <c r="M73" s="293" t="s">
        <v>7195</v>
      </c>
      <c r="N73" s="294"/>
      <c r="O73" s="293" t="s">
        <v>7196</v>
      </c>
      <c r="P73" s="294"/>
      <c r="Q73" s="293" t="s">
        <v>7197</v>
      </c>
      <c r="R73" s="294"/>
      <c r="S73" s="293" t="s">
        <v>7198</v>
      </c>
      <c r="T73" s="294"/>
      <c r="U73" s="293" t="s">
        <v>7199</v>
      </c>
      <c r="V73" s="294"/>
      <c r="W73" s="293" t="s">
        <v>7200</v>
      </c>
      <c r="X73" s="294"/>
      <c r="Y73" s="293" t="s">
        <v>7201</v>
      </c>
      <c r="Z73" s="294"/>
      <c r="AA73" s="293" t="s">
        <v>7202</v>
      </c>
      <c r="AB73" s="294"/>
      <c r="AC73" s="293" t="s">
        <v>7203</v>
      </c>
      <c r="AD73" s="294"/>
      <c r="AE73" s="293" t="s">
        <v>7204</v>
      </c>
      <c r="AF73" s="294"/>
      <c r="AG73" s="293" t="s">
        <v>7205</v>
      </c>
      <c r="AH73" s="294"/>
      <c r="AI73" s="293" t="s">
        <v>7206</v>
      </c>
      <c r="AJ73" s="294"/>
      <c r="AK73" s="293" t="s">
        <v>7207</v>
      </c>
      <c r="AL73" s="294"/>
      <c r="AM73" s="293" t="s">
        <v>7208</v>
      </c>
      <c r="AN73" s="294"/>
      <c r="AO73" s="293" t="s">
        <v>7209</v>
      </c>
    </row>
  </sheetData>
  <sheetProtection formatCells="0" formatColumns="0" formatRows="0"/>
  <phoneticPr fontId="1"/>
  <conditionalFormatting sqref="A73">
    <cfRule type="expression" dxfId="0" priority="1" stopIfTrue="1">
      <formula>LEFT(#REF!, 8) &lt;&gt; "teraterm"</formula>
    </cfRule>
  </conditionalFormatting>
  <dataValidations count="3">
    <dataValidation type="list" allowBlank="1" showInputMessage="1" showErrorMessage="1" sqref="C41:C42 E41:E42 G41:G42 I41:I42 K41:K42 M41:M42 O41:O42 Q41:Q42 S41:S42 U41:U42 W41:W42 Y41:Y42 AA41:AA42 AC41:AC42 AE41:AE42 AG41:AG42 AI41:AI42 AK41:AK42 AM41:AM42 AO41:AO42" xr:uid="{B747126B-19CC-4D49-AC36-6C9F70E13286}">
      <formula1>"on,off"</formula1>
    </dataValidation>
    <dataValidation type="list" allowBlank="1" showInputMessage="1" showErrorMessage="1" sqref="C40 E40 G40 I40 K40 M40 O40 Q40 S40 U40 W40 Y40 AA40 AC40 AE40 AG40 AI40 AK40 AM40 AO40" xr:uid="{2F22D1CE-665E-43AA-BE00-D47F410125F1}">
      <formula1>"EUC-JP,UTF-8"</formula1>
    </dataValidation>
    <dataValidation type="list" allowBlank="1" showInputMessage="1" showErrorMessage="1" sqref="C38 E38 G38 I38 K38 M38 O38 Q38 S38 U38 W38 Y38 AA38 AC38 AE38 AG38 AI38 AK38 AM38 AO38" xr:uid="{E0024D84-123A-47D6-B8C2-101B37D91B37}">
      <formula1>"putty-Neo,コマンドプロンプト"</formula1>
    </dataValidation>
  </dataValidations>
  <pageMargins left="0.75" right="0.75" top="1" bottom="1" header="0.51200000000000001" footer="0.51200000000000001"/>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F039ED7-7E43-490E-A8F2-543263E75DDE}">
  <ds:schemaRefs>
    <ds:schemaRef ds:uri="http://schemas.microsoft.com/DataMashup"/>
  </ds:schemaRefs>
</ds:datastoreItem>
</file>

<file path=docMetadata/LabelInfo.xml><?xml version="1.0" encoding="utf-8"?>
<clbl:labelList xmlns:clbl="http://schemas.microsoft.com/office/2020/mipLabelMetadata">
  <clbl:label id="{bcae2628-3d58-4866-a8d1-0a09376000e7}" enabled="1" method="Privileged" siteId="{053bc3c0-99f1-4468-9505-23e01f9865ed}"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2</vt:i4>
      </vt:variant>
    </vt:vector>
  </HeadingPairs>
  <TitlesOfParts>
    <vt:vector size="20" baseType="lpstr">
      <vt:lpstr>工事情報入力シート_FS</vt:lpstr>
      <vt:lpstr>旧雛形</vt:lpstr>
      <vt:lpstr>雛型</vt:lpstr>
      <vt:lpstr>アラームリスト</vt:lpstr>
      <vt:lpstr>手順書パーツ</vt:lpstr>
      <vt:lpstr>ユニット構成</vt:lpstr>
      <vt:lpstr>SCCE</vt:lpstr>
      <vt:lpstr>SBC</vt:lpstr>
      <vt:lpstr>RAID</vt:lpstr>
      <vt:lpstr>MSW</vt:lpstr>
      <vt:lpstr>HSS</vt:lpstr>
      <vt:lpstr>HFS</vt:lpstr>
      <vt:lpstr>GUI</vt:lpstr>
      <vt:lpstr>FS</vt:lpstr>
      <vt:lpstr>プロンプト</vt:lpstr>
      <vt:lpstr>Log</vt:lpstr>
      <vt:lpstr>command_template</vt:lpstr>
      <vt:lpstr>application</vt:lpstr>
      <vt:lpstr>command_template!Print_Area</vt:lpstr>
      <vt:lpstr>プロンプトリスト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 砂川 尚規</dc:creator>
  <cp:lastModifiedBy>Isamu Chiba (千葉 勇武)</cp:lastModifiedBy>
  <dcterms:created xsi:type="dcterms:W3CDTF">2024-07-02T07:19:05Z</dcterms:created>
  <dcterms:modified xsi:type="dcterms:W3CDTF">2026-05-08T11:19:20Z</dcterms:modified>
</cp:coreProperties>
</file>